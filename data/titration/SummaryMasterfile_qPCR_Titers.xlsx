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limos313/Downloads/"/>
    </mc:Choice>
  </mc:AlternateContent>
  <xr:revisionPtr revIDLastSave="0" documentId="13_ncr:1_{38F08B36-03A4-BA46-902A-7B272C211CE2}" xr6:coauthVersionLast="47" xr6:coauthVersionMax="47" xr10:uidLastSave="{00000000-0000-0000-0000-000000000000}"/>
  <bookViews>
    <workbookView xWindow="30240" yWindow="-620" windowWidth="38400" windowHeight="21100" tabRatio="709" xr2:uid="{00000000-000D-0000-FFFF-FFFF00000000}"/>
  </bookViews>
  <sheets>
    <sheet name="SUMMARY" sheetId="1" r:id="rId1"/>
    <sheet name="transfer" sheetId="12" r:id="rId2"/>
    <sheet name="VPIII p10-450" sheetId="2" r:id="rId3"/>
    <sheet name="VPIII p460-550" sheetId="3" r:id="rId4"/>
    <sheet name="VPIII p560-570" sheetId="8" r:id="rId5"/>
    <sheet name="VPIV p10-450" sheetId="4" r:id="rId6"/>
    <sheet name="VPIV p460-550" sheetId="5" r:id="rId7"/>
    <sheet name="VPIV p560-630" sheetId="6" r:id="rId8"/>
    <sheet name="VPIII13_p20-440" sheetId="19" r:id="rId9"/>
    <sheet name="VPIII14_p20-440" sheetId="13" r:id="rId10"/>
    <sheet name="VPIII15_p20-440" sheetId="14" r:id="rId11"/>
    <sheet name="VPIII16_p20-440" sheetId="15" r:id="rId12"/>
    <sheet name="VPIV17_p20-440" sheetId="16" r:id="rId13"/>
    <sheet name="VPIV18_p20-440" sheetId="17" r:id="rId14"/>
    <sheet name="VPIV19_p20-440" sheetId="18" r:id="rId15"/>
    <sheet name="VPIV20_p20-440" sheetId="20" r:id="rId16"/>
    <sheet name="2015 VPp10-110" sheetId="7" r:id="rId17"/>
    <sheet name="2015 VPp10-110dilRep" sheetId="11" r:id="rId18"/>
    <sheet name="2015 VPp80-180" sheetId="10" r:id="rId19"/>
    <sheet name="VPIII13-16p580-630" sheetId="21" r:id="rId20"/>
  </sheets>
  <definedNames>
    <definedName name="_xlnm._FilterDatabase" localSheetId="0" hidden="1">SUMMARY!$A$2:$Q$661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2" i="1" l="1"/>
  <c r="Q512" i="1" s="1"/>
  <c r="O512" i="1"/>
  <c r="P512" i="1" s="1"/>
  <c r="N513" i="1"/>
  <c r="Q513" i="1" s="1"/>
  <c r="O513" i="1"/>
  <c r="P513" i="1" s="1"/>
  <c r="N514" i="1"/>
  <c r="Q514" i="1" s="1"/>
  <c r="O514" i="1"/>
  <c r="P514" i="1" s="1"/>
  <c r="N515" i="1"/>
  <c r="O515" i="1"/>
  <c r="Q515" i="1"/>
  <c r="N516" i="1"/>
  <c r="Q516" i="1" s="1"/>
  <c r="O516" i="1"/>
  <c r="N517" i="1"/>
  <c r="Q517" i="1" s="1"/>
  <c r="O517" i="1"/>
  <c r="N518" i="1"/>
  <c r="Q518" i="1" s="1"/>
  <c r="O518" i="1"/>
  <c r="P518" i="1" s="1"/>
  <c r="N519" i="1"/>
  <c r="Q519" i="1" s="1"/>
  <c r="O519" i="1"/>
  <c r="P519" i="1" s="1"/>
  <c r="N520" i="1"/>
  <c r="Q520" i="1" s="1"/>
  <c r="O520" i="1"/>
  <c r="N521" i="1"/>
  <c r="O521" i="1"/>
  <c r="P521" i="1" s="1"/>
  <c r="Q521" i="1"/>
  <c r="N522" i="1"/>
  <c r="Q522" i="1" s="1"/>
  <c r="O522" i="1"/>
  <c r="P522" i="1" s="1"/>
  <c r="N523" i="1"/>
  <c r="Q523" i="1" s="1"/>
  <c r="O523" i="1"/>
  <c r="P523" i="1" s="1"/>
  <c r="N524" i="1"/>
  <c r="O524" i="1"/>
  <c r="Q524" i="1"/>
  <c r="N525" i="1"/>
  <c r="Q525" i="1" s="1"/>
  <c r="O525" i="1"/>
  <c r="N526" i="1"/>
  <c r="Q526" i="1" s="1"/>
  <c r="O526" i="1"/>
  <c r="P526" i="1" s="1"/>
  <c r="N527" i="1"/>
  <c r="Q527" i="1" s="1"/>
  <c r="O527" i="1"/>
  <c r="N528" i="1"/>
  <c r="Q528" i="1" s="1"/>
  <c r="O528" i="1"/>
  <c r="P528" i="1" s="1"/>
  <c r="N529" i="1"/>
  <c r="Q529" i="1" s="1"/>
  <c r="O529" i="1"/>
  <c r="P529" i="1" s="1"/>
  <c r="N530" i="1"/>
  <c r="Q530" i="1" s="1"/>
  <c r="O530" i="1"/>
  <c r="P530" i="1" s="1"/>
  <c r="N531" i="1"/>
  <c r="Q531" i="1" s="1"/>
  <c r="O531" i="1"/>
  <c r="P531" i="1" s="1"/>
  <c r="N532" i="1"/>
  <c r="Q532" i="1" s="1"/>
  <c r="O532" i="1"/>
  <c r="N533" i="1"/>
  <c r="O533" i="1"/>
  <c r="P533" i="1" s="1"/>
  <c r="Q533" i="1"/>
  <c r="N534" i="1"/>
  <c r="Q534" i="1" s="1"/>
  <c r="O534" i="1"/>
  <c r="P534" i="1" s="1"/>
  <c r="N535" i="1"/>
  <c r="Q535" i="1" s="1"/>
  <c r="O535" i="1"/>
  <c r="P535" i="1" s="1"/>
  <c r="M34" i="12"/>
  <c r="P524" i="1" l="1"/>
  <c r="P517" i="1"/>
  <c r="P527" i="1"/>
  <c r="P520" i="1"/>
  <c r="P516" i="1"/>
  <c r="P532" i="1"/>
  <c r="P525" i="1"/>
  <c r="P515" i="1"/>
  <c r="N485" i="1"/>
  <c r="N488" i="1"/>
  <c r="O488" i="1"/>
  <c r="P488" i="1" s="1"/>
  <c r="Q488" i="1"/>
  <c r="N489" i="1"/>
  <c r="O489" i="1"/>
  <c r="P489" i="1" s="1"/>
  <c r="Q489" i="1"/>
  <c r="N490" i="1"/>
  <c r="O490" i="1"/>
  <c r="P490" i="1" s="1"/>
  <c r="Q490" i="1"/>
  <c r="N491" i="1"/>
  <c r="O491" i="1"/>
  <c r="P491" i="1" s="1"/>
  <c r="Q491" i="1"/>
  <c r="N492" i="1"/>
  <c r="Q492" i="1" s="1"/>
  <c r="O492" i="1"/>
  <c r="P492" i="1" s="1"/>
  <c r="N493" i="1"/>
  <c r="O493" i="1"/>
  <c r="P493" i="1" s="1"/>
  <c r="Q493" i="1"/>
  <c r="N494" i="1"/>
  <c r="O494" i="1"/>
  <c r="P494" i="1" s="1"/>
  <c r="Q494" i="1"/>
  <c r="N495" i="1"/>
  <c r="Q495" i="1" s="1"/>
  <c r="O495" i="1"/>
  <c r="N496" i="1"/>
  <c r="O496" i="1"/>
  <c r="P496" i="1" s="1"/>
  <c r="Q496" i="1"/>
  <c r="N497" i="1"/>
  <c r="O497" i="1"/>
  <c r="P497" i="1" s="1"/>
  <c r="Q497" i="1"/>
  <c r="N498" i="1"/>
  <c r="O498" i="1"/>
  <c r="P498" i="1" s="1"/>
  <c r="Q498" i="1"/>
  <c r="N499" i="1"/>
  <c r="O499" i="1"/>
  <c r="P499" i="1" s="1"/>
  <c r="Q499" i="1"/>
  <c r="N500" i="1"/>
  <c r="Q500" i="1" s="1"/>
  <c r="O500" i="1"/>
  <c r="P500" i="1" s="1"/>
  <c r="N501" i="1"/>
  <c r="O501" i="1"/>
  <c r="P501" i="1" s="1"/>
  <c r="Q501" i="1"/>
  <c r="N502" i="1"/>
  <c r="O502" i="1"/>
  <c r="P502" i="1" s="1"/>
  <c r="Q502" i="1"/>
  <c r="N503" i="1"/>
  <c r="Q503" i="1" s="1"/>
  <c r="O503" i="1"/>
  <c r="N504" i="1"/>
  <c r="O504" i="1"/>
  <c r="P504" i="1" s="1"/>
  <c r="Q504" i="1"/>
  <c r="N505" i="1"/>
  <c r="O505" i="1"/>
  <c r="P505" i="1" s="1"/>
  <c r="Q505" i="1"/>
  <c r="N506" i="1"/>
  <c r="O506" i="1"/>
  <c r="P506" i="1" s="1"/>
  <c r="Q506" i="1"/>
  <c r="N507" i="1"/>
  <c r="O507" i="1"/>
  <c r="P507" i="1" s="1"/>
  <c r="Q507" i="1"/>
  <c r="N508" i="1"/>
  <c r="Q508" i="1" s="1"/>
  <c r="O508" i="1"/>
  <c r="P508" i="1" s="1"/>
  <c r="N509" i="1"/>
  <c r="O509" i="1"/>
  <c r="P509" i="1" s="1"/>
  <c r="Q509" i="1"/>
  <c r="N510" i="1"/>
  <c r="O510" i="1"/>
  <c r="P510" i="1" s="1"/>
  <c r="Q510" i="1"/>
  <c r="N511" i="1"/>
  <c r="Q511" i="1" s="1"/>
  <c r="O511" i="1"/>
  <c r="M12" i="12"/>
  <c r="M10" i="12"/>
  <c r="N31" i="12"/>
  <c r="M31" i="12"/>
  <c r="O31" i="12"/>
  <c r="P511" i="1" l="1"/>
  <c r="P503" i="1"/>
  <c r="P495" i="1"/>
  <c r="N334" i="1"/>
  <c r="P334" i="1" s="1"/>
  <c r="N269" i="1"/>
  <c r="P269" i="1" s="1"/>
  <c r="N263" i="1"/>
  <c r="N407" i="1"/>
  <c r="P407" i="1" s="1"/>
  <c r="N283" i="1"/>
  <c r="P283" i="1" s="1"/>
  <c r="N444" i="1"/>
  <c r="P444" i="1" s="1"/>
  <c r="N396" i="1"/>
  <c r="P396" i="1" s="1"/>
  <c r="N371" i="1"/>
  <c r="P371" i="1" s="1"/>
  <c r="N343" i="1"/>
  <c r="P343" i="1" s="1"/>
  <c r="N338" i="1"/>
  <c r="P338" i="1" s="1"/>
  <c r="P263" i="1"/>
  <c r="P12" i="12" l="1"/>
  <c r="P11" i="12"/>
  <c r="P10" i="12"/>
  <c r="O10" i="12"/>
  <c r="N10" i="12"/>
  <c r="N217" i="1" l="1"/>
  <c r="N467" i="1"/>
  <c r="P467" i="1" s="1"/>
  <c r="N429" i="1"/>
  <c r="Q429" i="1" s="1"/>
  <c r="O429" i="1"/>
  <c r="N431" i="1"/>
  <c r="Q431" i="1" s="1"/>
  <c r="O431" i="1"/>
  <c r="N432" i="1"/>
  <c r="Q432" i="1" s="1"/>
  <c r="O432" i="1"/>
  <c r="N433" i="1"/>
  <c r="Q433" i="1" s="1"/>
  <c r="O433" i="1"/>
  <c r="N435" i="1"/>
  <c r="Q435" i="1" s="1"/>
  <c r="O435" i="1"/>
  <c r="N436" i="1"/>
  <c r="Q436" i="1" s="1"/>
  <c r="O436" i="1"/>
  <c r="N437" i="1"/>
  <c r="Q437" i="1" s="1"/>
  <c r="O437" i="1"/>
  <c r="N438" i="1"/>
  <c r="Q438" i="1" s="1"/>
  <c r="O438" i="1"/>
  <c r="N440" i="1"/>
  <c r="Q440" i="1" s="1"/>
  <c r="O440" i="1"/>
  <c r="N441" i="1"/>
  <c r="Q441" i="1" s="1"/>
  <c r="O441" i="1"/>
  <c r="N442" i="1"/>
  <c r="Q442" i="1" s="1"/>
  <c r="O442" i="1"/>
  <c r="N443" i="1"/>
  <c r="Q443" i="1" s="1"/>
  <c r="O443" i="1"/>
  <c r="N445" i="1"/>
  <c r="Q445" i="1" s="1"/>
  <c r="O445" i="1"/>
  <c r="N446" i="1"/>
  <c r="Q446" i="1" s="1"/>
  <c r="O446" i="1"/>
  <c r="N447" i="1"/>
  <c r="Q447" i="1" s="1"/>
  <c r="O447" i="1"/>
  <c r="N448" i="1"/>
  <c r="Q448" i="1" s="1"/>
  <c r="O448" i="1"/>
  <c r="N450" i="1"/>
  <c r="Q450" i="1" s="1"/>
  <c r="O450" i="1"/>
  <c r="N451" i="1"/>
  <c r="Q451" i="1" s="1"/>
  <c r="O451" i="1"/>
  <c r="N452" i="1"/>
  <c r="Q452" i="1" s="1"/>
  <c r="O452" i="1"/>
  <c r="N453" i="1"/>
  <c r="Q453" i="1" s="1"/>
  <c r="O453" i="1"/>
  <c r="N455" i="1"/>
  <c r="Q455" i="1" s="1"/>
  <c r="O455" i="1"/>
  <c r="N456" i="1"/>
  <c r="Q456" i="1" s="1"/>
  <c r="O456" i="1"/>
  <c r="N457" i="1"/>
  <c r="Q457" i="1" s="1"/>
  <c r="O457" i="1"/>
  <c r="N458" i="1"/>
  <c r="Q458" i="1" s="1"/>
  <c r="O458" i="1"/>
  <c r="N460" i="1"/>
  <c r="Q460" i="1" s="1"/>
  <c r="O460" i="1"/>
  <c r="N461" i="1"/>
  <c r="Q461" i="1" s="1"/>
  <c r="O461" i="1"/>
  <c r="N462" i="1"/>
  <c r="Q462" i="1" s="1"/>
  <c r="O462" i="1"/>
  <c r="N463" i="1"/>
  <c r="Q463" i="1" s="1"/>
  <c r="O463" i="1"/>
  <c r="N465" i="1"/>
  <c r="Q465" i="1" s="1"/>
  <c r="O465" i="1"/>
  <c r="N466" i="1"/>
  <c r="Q466" i="1" s="1"/>
  <c r="O466" i="1"/>
  <c r="N468" i="1"/>
  <c r="Q468" i="1" s="1"/>
  <c r="O468" i="1"/>
  <c r="N215" i="1"/>
  <c r="Q215" i="1" s="1"/>
  <c r="R215" i="1" s="1"/>
  <c r="O215" i="1"/>
  <c r="P458" i="1" l="1"/>
  <c r="P460" i="1"/>
  <c r="P433" i="1"/>
  <c r="P463" i="1"/>
  <c r="P468" i="1"/>
  <c r="P462" i="1"/>
  <c r="P447" i="1"/>
  <c r="P443" i="1"/>
  <c r="P438" i="1"/>
  <c r="P437" i="1"/>
  <c r="P453" i="1"/>
  <c r="P440" i="1"/>
  <c r="P457" i="1"/>
  <c r="P442" i="1"/>
  <c r="P450" i="1"/>
  <c r="P429" i="1"/>
  <c r="P215" i="1"/>
  <c r="P452" i="1"/>
  <c r="P448" i="1"/>
  <c r="P432" i="1"/>
  <c r="P461" i="1"/>
  <c r="P451" i="1"/>
  <c r="P441" i="1"/>
  <c r="P431" i="1"/>
  <c r="P466" i="1"/>
  <c r="P456" i="1"/>
  <c r="P446" i="1"/>
  <c r="P436" i="1"/>
  <c r="Q217" i="1"/>
  <c r="R217" i="1" s="1"/>
  <c r="P217" i="1"/>
  <c r="P465" i="1"/>
  <c r="P455" i="1"/>
  <c r="P445" i="1"/>
  <c r="P435" i="1"/>
  <c r="Q467" i="1"/>
  <c r="N380" i="1"/>
  <c r="Q380" i="1" s="1"/>
  <c r="O380" i="1"/>
  <c r="N382" i="1"/>
  <c r="Q382" i="1" s="1"/>
  <c r="O382" i="1"/>
  <c r="N383" i="1"/>
  <c r="Q383" i="1" s="1"/>
  <c r="O383" i="1"/>
  <c r="N384" i="1"/>
  <c r="Q384" i="1" s="1"/>
  <c r="O384" i="1"/>
  <c r="N385" i="1"/>
  <c r="Q385" i="1" s="1"/>
  <c r="O385" i="1"/>
  <c r="N387" i="1"/>
  <c r="Q387" i="1" s="1"/>
  <c r="O387" i="1"/>
  <c r="N388" i="1"/>
  <c r="Q388" i="1" s="1"/>
  <c r="O388" i="1"/>
  <c r="N389" i="1"/>
  <c r="Q389" i="1" s="1"/>
  <c r="O389" i="1"/>
  <c r="N390" i="1"/>
  <c r="Q390" i="1" s="1"/>
  <c r="O390" i="1"/>
  <c r="N392" i="1"/>
  <c r="Q392" i="1" s="1"/>
  <c r="O392" i="1"/>
  <c r="N393" i="1"/>
  <c r="Q393" i="1" s="1"/>
  <c r="O393" i="1"/>
  <c r="N394" i="1"/>
  <c r="Q394" i="1" s="1"/>
  <c r="O394" i="1"/>
  <c r="N395" i="1"/>
  <c r="Q395" i="1" s="1"/>
  <c r="O395" i="1"/>
  <c r="N397" i="1"/>
  <c r="Q397" i="1" s="1"/>
  <c r="O397" i="1"/>
  <c r="N398" i="1"/>
  <c r="Q398" i="1" s="1"/>
  <c r="O398" i="1"/>
  <c r="N399" i="1"/>
  <c r="Q399" i="1" s="1"/>
  <c r="O399" i="1"/>
  <c r="N400" i="1"/>
  <c r="Q400" i="1" s="1"/>
  <c r="O400" i="1"/>
  <c r="N402" i="1"/>
  <c r="Q402" i="1" s="1"/>
  <c r="O402" i="1"/>
  <c r="N403" i="1"/>
  <c r="Q403" i="1" s="1"/>
  <c r="O403" i="1"/>
  <c r="N404" i="1"/>
  <c r="Q404" i="1" s="1"/>
  <c r="O404" i="1"/>
  <c r="N405" i="1"/>
  <c r="Q405" i="1" s="1"/>
  <c r="O405" i="1"/>
  <c r="N426" i="1"/>
  <c r="Q426" i="1" s="1"/>
  <c r="O426" i="1"/>
  <c r="N427" i="1"/>
  <c r="Q427" i="1" s="1"/>
  <c r="O427" i="1"/>
  <c r="N428" i="1"/>
  <c r="Q428" i="1" s="1"/>
  <c r="O428" i="1"/>
  <c r="P428" i="1" l="1"/>
  <c r="P404" i="1"/>
  <c r="P399" i="1"/>
  <c r="P394" i="1"/>
  <c r="P389" i="1"/>
  <c r="P384" i="1"/>
  <c r="P427" i="1"/>
  <c r="P403" i="1"/>
  <c r="P398" i="1"/>
  <c r="P393" i="1"/>
  <c r="P388" i="1"/>
  <c r="P383" i="1"/>
  <c r="P426" i="1"/>
  <c r="P402" i="1"/>
  <c r="P397" i="1"/>
  <c r="P392" i="1"/>
  <c r="P387" i="1"/>
  <c r="P382" i="1"/>
  <c r="P405" i="1"/>
  <c r="P400" i="1"/>
  <c r="P395" i="1"/>
  <c r="P390" i="1"/>
  <c r="P385" i="1"/>
  <c r="P380" i="1"/>
  <c r="N307" i="1"/>
  <c r="Q307" i="1" s="1"/>
  <c r="O307" i="1"/>
  <c r="N309" i="1"/>
  <c r="Q309" i="1" s="1"/>
  <c r="O309" i="1"/>
  <c r="N310" i="1"/>
  <c r="Q310" i="1" s="1"/>
  <c r="O310" i="1"/>
  <c r="N311" i="1"/>
  <c r="Q311" i="1" s="1"/>
  <c r="O311" i="1"/>
  <c r="N312" i="1"/>
  <c r="Q312" i="1" s="1"/>
  <c r="O312" i="1"/>
  <c r="N314" i="1"/>
  <c r="Q314" i="1" s="1"/>
  <c r="O314" i="1"/>
  <c r="N315" i="1"/>
  <c r="Q315" i="1" s="1"/>
  <c r="O315" i="1"/>
  <c r="N316" i="1"/>
  <c r="Q316" i="1" s="1"/>
  <c r="O316" i="1"/>
  <c r="N317" i="1"/>
  <c r="Q317" i="1" s="1"/>
  <c r="O317" i="1"/>
  <c r="N319" i="1"/>
  <c r="Q319" i="1" s="1"/>
  <c r="O319" i="1"/>
  <c r="N320" i="1"/>
  <c r="Q320" i="1" s="1"/>
  <c r="O320" i="1"/>
  <c r="N321" i="1"/>
  <c r="Q321" i="1" s="1"/>
  <c r="O321" i="1"/>
  <c r="N322" i="1"/>
  <c r="Q322" i="1" s="1"/>
  <c r="O322" i="1"/>
  <c r="N324" i="1"/>
  <c r="Q324" i="1" s="1"/>
  <c r="O324" i="1"/>
  <c r="N325" i="1"/>
  <c r="Q325" i="1" s="1"/>
  <c r="O325" i="1"/>
  <c r="N326" i="1"/>
  <c r="Q326" i="1" s="1"/>
  <c r="O326" i="1"/>
  <c r="N327" i="1"/>
  <c r="Q327" i="1" s="1"/>
  <c r="O327" i="1"/>
  <c r="N329" i="1"/>
  <c r="Q329" i="1" s="1"/>
  <c r="O329" i="1"/>
  <c r="N330" i="1"/>
  <c r="Q330" i="1" s="1"/>
  <c r="O330" i="1"/>
  <c r="N331" i="1"/>
  <c r="Q331" i="1" s="1"/>
  <c r="O331" i="1"/>
  <c r="N332" i="1"/>
  <c r="Q332" i="1" s="1"/>
  <c r="O332" i="1"/>
  <c r="Q334" i="1"/>
  <c r="N335" i="1"/>
  <c r="Q335" i="1" s="1"/>
  <c r="O335" i="1"/>
  <c r="N336" i="1"/>
  <c r="Q336" i="1" s="1"/>
  <c r="O336" i="1"/>
  <c r="N337" i="1"/>
  <c r="Q337" i="1" s="1"/>
  <c r="O337" i="1"/>
  <c r="N339" i="1"/>
  <c r="Q339" i="1" s="1"/>
  <c r="O339" i="1"/>
  <c r="N340" i="1"/>
  <c r="Q340" i="1" s="1"/>
  <c r="O340" i="1"/>
  <c r="N341" i="1"/>
  <c r="Q341" i="1" s="1"/>
  <c r="O341" i="1"/>
  <c r="N342" i="1"/>
  <c r="Q342" i="1" s="1"/>
  <c r="O342" i="1"/>
  <c r="N363" i="1"/>
  <c r="Q363" i="1" s="1"/>
  <c r="O363" i="1"/>
  <c r="N364" i="1"/>
  <c r="Q364" i="1" s="1"/>
  <c r="O364" i="1"/>
  <c r="N365" i="1"/>
  <c r="Q365" i="1" s="1"/>
  <c r="O365" i="1"/>
  <c r="N366" i="1"/>
  <c r="Q366" i="1" s="1"/>
  <c r="O366" i="1"/>
  <c r="N368" i="1"/>
  <c r="Q368" i="1" s="1"/>
  <c r="O368" i="1"/>
  <c r="N369" i="1"/>
  <c r="Q369" i="1" s="1"/>
  <c r="O369" i="1"/>
  <c r="N370" i="1"/>
  <c r="Q370" i="1" s="1"/>
  <c r="O370" i="1"/>
  <c r="N372" i="1"/>
  <c r="Q372" i="1" s="1"/>
  <c r="O372" i="1"/>
  <c r="N373" i="1"/>
  <c r="Q373" i="1" s="1"/>
  <c r="O373" i="1"/>
  <c r="N374" i="1"/>
  <c r="Q374" i="1" s="1"/>
  <c r="O374" i="1"/>
  <c r="N375" i="1"/>
  <c r="Q375" i="1" s="1"/>
  <c r="O375" i="1"/>
  <c r="N377" i="1"/>
  <c r="Q377" i="1" s="1"/>
  <c r="O377" i="1"/>
  <c r="N378" i="1"/>
  <c r="Q378" i="1" s="1"/>
  <c r="O378" i="1"/>
  <c r="N379" i="1"/>
  <c r="Q379" i="1" s="1"/>
  <c r="O379" i="1"/>
  <c r="P330" i="1" l="1"/>
  <c r="P325" i="1"/>
  <c r="P320" i="1"/>
  <c r="P315" i="1"/>
  <c r="P310" i="1"/>
  <c r="P329" i="1"/>
  <c r="P324" i="1"/>
  <c r="P319" i="1"/>
  <c r="P314" i="1"/>
  <c r="P309" i="1"/>
  <c r="P327" i="1"/>
  <c r="P322" i="1"/>
  <c r="P317" i="1"/>
  <c r="P312" i="1"/>
  <c r="P307" i="1"/>
  <c r="P378" i="1"/>
  <c r="P373" i="1"/>
  <c r="P368" i="1"/>
  <c r="P363" i="1"/>
  <c r="P339" i="1"/>
  <c r="P377" i="1"/>
  <c r="P372" i="1"/>
  <c r="P366" i="1"/>
  <c r="P342" i="1"/>
  <c r="P337" i="1"/>
  <c r="P332" i="1"/>
  <c r="P375" i="1"/>
  <c r="P370" i="1"/>
  <c r="P365" i="1"/>
  <c r="P341" i="1"/>
  <c r="P336" i="1"/>
  <c r="P331" i="1"/>
  <c r="P326" i="1"/>
  <c r="P321" i="1"/>
  <c r="P316" i="1"/>
  <c r="P311" i="1"/>
  <c r="P379" i="1"/>
  <c r="P374" i="1"/>
  <c r="P369" i="1"/>
  <c r="P364" i="1"/>
  <c r="P340" i="1"/>
  <c r="P335" i="1"/>
  <c r="N248" i="1"/>
  <c r="Q248" i="1" s="1"/>
  <c r="O248" i="1"/>
  <c r="N249" i="1"/>
  <c r="Q249" i="1" s="1"/>
  <c r="O249" i="1"/>
  <c r="N251" i="1"/>
  <c r="Q251" i="1" s="1"/>
  <c r="O251" i="1"/>
  <c r="N252" i="1"/>
  <c r="Q252" i="1" s="1"/>
  <c r="O252" i="1"/>
  <c r="N253" i="1"/>
  <c r="Q253" i="1" s="1"/>
  <c r="O253" i="1"/>
  <c r="N254" i="1"/>
  <c r="Q254" i="1" s="1"/>
  <c r="O254" i="1"/>
  <c r="N256" i="1"/>
  <c r="Q256" i="1" s="1"/>
  <c r="O256" i="1"/>
  <c r="N257" i="1"/>
  <c r="Q257" i="1" s="1"/>
  <c r="O257" i="1"/>
  <c r="N258" i="1"/>
  <c r="Q258" i="1" s="1"/>
  <c r="O258" i="1"/>
  <c r="N259" i="1"/>
  <c r="Q259" i="1" s="1"/>
  <c r="O259" i="1"/>
  <c r="N261" i="1"/>
  <c r="Q261" i="1" s="1"/>
  <c r="O261" i="1"/>
  <c r="N262" i="1"/>
  <c r="Q262" i="1" s="1"/>
  <c r="O262" i="1"/>
  <c r="Q263" i="1"/>
  <c r="N264" i="1"/>
  <c r="Q264" i="1" s="1"/>
  <c r="O264" i="1"/>
  <c r="N266" i="1"/>
  <c r="Q266" i="1" s="1"/>
  <c r="O266" i="1"/>
  <c r="N267" i="1"/>
  <c r="Q267" i="1" s="1"/>
  <c r="O267" i="1"/>
  <c r="N268" i="1"/>
  <c r="Q268" i="1" s="1"/>
  <c r="O268" i="1"/>
  <c r="Q269" i="1"/>
  <c r="N271" i="1"/>
  <c r="Q271" i="1" s="1"/>
  <c r="O271" i="1"/>
  <c r="N272" i="1"/>
  <c r="Q272" i="1" s="1"/>
  <c r="O272" i="1"/>
  <c r="N273" i="1"/>
  <c r="Q273" i="1" s="1"/>
  <c r="O273" i="1"/>
  <c r="N274" i="1"/>
  <c r="Q274" i="1" s="1"/>
  <c r="O274" i="1"/>
  <c r="N276" i="1"/>
  <c r="Q276" i="1" s="1"/>
  <c r="O276" i="1"/>
  <c r="N277" i="1"/>
  <c r="Q277" i="1" s="1"/>
  <c r="O277" i="1"/>
  <c r="N278" i="1"/>
  <c r="Q278" i="1" s="1"/>
  <c r="O278" i="1"/>
  <c r="N279" i="1"/>
  <c r="Q279" i="1" s="1"/>
  <c r="O279" i="1"/>
  <c r="N300" i="1"/>
  <c r="Q300" i="1" s="1"/>
  <c r="O300" i="1"/>
  <c r="N301" i="1"/>
  <c r="Q301" i="1" s="1"/>
  <c r="O301" i="1"/>
  <c r="N302" i="1"/>
  <c r="Q302" i="1" s="1"/>
  <c r="O302" i="1"/>
  <c r="N303" i="1"/>
  <c r="Q303" i="1" s="1"/>
  <c r="O303" i="1"/>
  <c r="N305" i="1"/>
  <c r="Q305" i="1" s="1"/>
  <c r="O305" i="1"/>
  <c r="N306" i="1"/>
  <c r="Q306" i="1" s="1"/>
  <c r="O306" i="1"/>
  <c r="P266" i="1" l="1"/>
  <c r="P267" i="1"/>
  <c r="P268" i="1"/>
  <c r="P253" i="1"/>
  <c r="P248" i="1"/>
  <c r="P251" i="1"/>
  <c r="P302" i="1"/>
  <c r="P278" i="1"/>
  <c r="P273" i="1"/>
  <c r="P262" i="1"/>
  <c r="P257" i="1"/>
  <c r="P252" i="1"/>
  <c r="P303" i="1"/>
  <c r="P279" i="1"/>
  <c r="P274" i="1"/>
  <c r="P258" i="1"/>
  <c r="P306" i="1"/>
  <c r="P301" i="1"/>
  <c r="P277" i="1"/>
  <c r="P272" i="1"/>
  <c r="P261" i="1"/>
  <c r="P256" i="1"/>
  <c r="P305" i="1"/>
  <c r="P300" i="1"/>
  <c r="P276" i="1"/>
  <c r="P271" i="1"/>
  <c r="P259" i="1"/>
  <c r="P254" i="1"/>
  <c r="P264" i="1"/>
  <c r="P249" i="1"/>
  <c r="O103" i="1"/>
  <c r="N103" i="1"/>
  <c r="Q103" i="1" s="1"/>
  <c r="R103" i="1" s="1"/>
  <c r="P103" i="1" l="1"/>
  <c r="O247" i="1"/>
  <c r="N247" i="1"/>
  <c r="Q247" i="1" s="1"/>
  <c r="O246" i="1"/>
  <c r="N246" i="1"/>
  <c r="Q246" i="1" s="1"/>
  <c r="O244" i="1"/>
  <c r="N244" i="1"/>
  <c r="Q244" i="1" s="1"/>
  <c r="O243" i="1"/>
  <c r="N243" i="1"/>
  <c r="Q243" i="1" s="1"/>
  <c r="O242" i="1"/>
  <c r="N242" i="1"/>
  <c r="Q242" i="1" s="1"/>
  <c r="O241" i="1"/>
  <c r="N241" i="1"/>
  <c r="Q241" i="1" s="1"/>
  <c r="O239" i="1"/>
  <c r="N239" i="1"/>
  <c r="Q239" i="1" s="1"/>
  <c r="O238" i="1"/>
  <c r="N238" i="1"/>
  <c r="Q238" i="1" s="1"/>
  <c r="O237" i="1"/>
  <c r="N237" i="1"/>
  <c r="Q237" i="1" s="1"/>
  <c r="O222" i="1"/>
  <c r="N222" i="1"/>
  <c r="Q222" i="1" s="1"/>
  <c r="R222" i="1" s="1"/>
  <c r="O221" i="1"/>
  <c r="N221" i="1"/>
  <c r="Q221" i="1" s="1"/>
  <c r="R221" i="1" s="1"/>
  <c r="O220" i="1"/>
  <c r="N220" i="1"/>
  <c r="Q220" i="1" s="1"/>
  <c r="R220" i="1" s="1"/>
  <c r="O219" i="1"/>
  <c r="N219" i="1"/>
  <c r="Q219" i="1" s="1"/>
  <c r="R219" i="1" s="1"/>
  <c r="O216" i="1"/>
  <c r="N216" i="1"/>
  <c r="Q216" i="1" s="1"/>
  <c r="R216" i="1" s="1"/>
  <c r="O214" i="1"/>
  <c r="N214" i="1"/>
  <c r="Q214" i="1" s="1"/>
  <c r="R214" i="1" s="1"/>
  <c r="O213" i="1"/>
  <c r="N213" i="1"/>
  <c r="Q213" i="1" s="1"/>
  <c r="R213" i="1" s="1"/>
  <c r="O211" i="1"/>
  <c r="N211" i="1"/>
  <c r="Q211" i="1" s="1"/>
  <c r="R211" i="1" s="1"/>
  <c r="O208" i="1"/>
  <c r="N208" i="1"/>
  <c r="Q208" i="1" s="1"/>
  <c r="R208" i="1" s="1"/>
  <c r="O206" i="1"/>
  <c r="N206" i="1"/>
  <c r="Q206" i="1" s="1"/>
  <c r="R206" i="1" s="1"/>
  <c r="O205" i="1"/>
  <c r="N205" i="1"/>
  <c r="Q205" i="1" s="1"/>
  <c r="R205" i="1" s="1"/>
  <c r="O204" i="1"/>
  <c r="N204" i="1"/>
  <c r="Q204" i="1" s="1"/>
  <c r="R204" i="1" s="1"/>
  <c r="O202" i="1"/>
  <c r="N202" i="1"/>
  <c r="Q202" i="1" s="1"/>
  <c r="R202" i="1" s="1"/>
  <c r="O201" i="1"/>
  <c r="N201" i="1"/>
  <c r="Q201" i="1" s="1"/>
  <c r="R201" i="1" s="1"/>
  <c r="O200" i="1"/>
  <c r="N200" i="1"/>
  <c r="Q200" i="1" s="1"/>
  <c r="R200" i="1" s="1"/>
  <c r="O199" i="1"/>
  <c r="N199" i="1"/>
  <c r="Q199" i="1" s="1"/>
  <c r="R199" i="1" s="1"/>
  <c r="O197" i="1"/>
  <c r="N197" i="1"/>
  <c r="Q197" i="1" s="1"/>
  <c r="R197" i="1" s="1"/>
  <c r="O196" i="1"/>
  <c r="N196" i="1"/>
  <c r="Q196" i="1" s="1"/>
  <c r="R196" i="1" s="1"/>
  <c r="O195" i="1"/>
  <c r="N195" i="1"/>
  <c r="Q195" i="1" s="1"/>
  <c r="R195" i="1" s="1"/>
  <c r="O194" i="1"/>
  <c r="N194" i="1"/>
  <c r="Q194" i="1" s="1"/>
  <c r="R194" i="1" s="1"/>
  <c r="O192" i="1"/>
  <c r="N192" i="1"/>
  <c r="Q192" i="1" s="1"/>
  <c r="R192" i="1" s="1"/>
  <c r="O191" i="1"/>
  <c r="N191" i="1"/>
  <c r="Q191" i="1" s="1"/>
  <c r="R191" i="1" s="1"/>
  <c r="O190" i="1"/>
  <c r="N190" i="1"/>
  <c r="Q190" i="1" s="1"/>
  <c r="R190" i="1" s="1"/>
  <c r="O189" i="1"/>
  <c r="N189" i="1"/>
  <c r="Q189" i="1" s="1"/>
  <c r="R189" i="1" s="1"/>
  <c r="O187" i="1"/>
  <c r="N187" i="1"/>
  <c r="Q187" i="1" s="1"/>
  <c r="R187" i="1" s="1"/>
  <c r="O186" i="1"/>
  <c r="N186" i="1"/>
  <c r="Q186" i="1" s="1"/>
  <c r="R186" i="1" s="1"/>
  <c r="O185" i="1"/>
  <c r="N185" i="1"/>
  <c r="Q185" i="1" s="1"/>
  <c r="R185" i="1" s="1"/>
  <c r="O184" i="1"/>
  <c r="N184" i="1"/>
  <c r="Q184" i="1" s="1"/>
  <c r="R184" i="1" s="1"/>
  <c r="O182" i="1"/>
  <c r="N182" i="1"/>
  <c r="Q182" i="1" s="1"/>
  <c r="R182" i="1" s="1"/>
  <c r="O181" i="1"/>
  <c r="N181" i="1"/>
  <c r="Q181" i="1" s="1"/>
  <c r="R181" i="1" s="1"/>
  <c r="O180" i="1"/>
  <c r="N180" i="1"/>
  <c r="Q180" i="1" s="1"/>
  <c r="R180" i="1" s="1"/>
  <c r="O179" i="1"/>
  <c r="N179" i="1"/>
  <c r="Q179" i="1" s="1"/>
  <c r="R179" i="1" s="1"/>
  <c r="O177" i="1"/>
  <c r="N177" i="1"/>
  <c r="Q177" i="1" s="1"/>
  <c r="R177" i="1" s="1"/>
  <c r="O176" i="1"/>
  <c r="N176" i="1"/>
  <c r="Q176" i="1" s="1"/>
  <c r="R176" i="1" s="1"/>
  <c r="O175" i="1"/>
  <c r="N175" i="1"/>
  <c r="Q175" i="1" s="1"/>
  <c r="R175" i="1" s="1"/>
  <c r="O160" i="1"/>
  <c r="N160" i="1"/>
  <c r="Q160" i="1" s="1"/>
  <c r="R160" i="1" s="1"/>
  <c r="O159" i="1"/>
  <c r="N159" i="1"/>
  <c r="Q159" i="1" s="1"/>
  <c r="R159" i="1" s="1"/>
  <c r="O158" i="1"/>
  <c r="N158" i="1"/>
  <c r="Q158" i="1" s="1"/>
  <c r="R158" i="1" s="1"/>
  <c r="O157" i="1"/>
  <c r="N157" i="1"/>
  <c r="Q157" i="1" s="1"/>
  <c r="R157" i="1" s="1"/>
  <c r="O155" i="1"/>
  <c r="N155" i="1"/>
  <c r="Q155" i="1" s="1"/>
  <c r="R155" i="1" s="1"/>
  <c r="O154" i="1"/>
  <c r="N154" i="1"/>
  <c r="Q154" i="1" s="1"/>
  <c r="R154" i="1" s="1"/>
  <c r="O153" i="1"/>
  <c r="N153" i="1"/>
  <c r="Q153" i="1" s="1"/>
  <c r="R153" i="1" s="1"/>
  <c r="O152" i="1"/>
  <c r="N152" i="1"/>
  <c r="Q152" i="1" s="1"/>
  <c r="R152" i="1" s="1"/>
  <c r="O150" i="1"/>
  <c r="N150" i="1"/>
  <c r="Q150" i="1" s="1"/>
  <c r="R150" i="1" s="1"/>
  <c r="O149" i="1"/>
  <c r="N149" i="1"/>
  <c r="Q149" i="1" s="1"/>
  <c r="R149" i="1" s="1"/>
  <c r="O148" i="1"/>
  <c r="N148" i="1"/>
  <c r="Q148" i="1" s="1"/>
  <c r="R148" i="1" s="1"/>
  <c r="O147" i="1"/>
  <c r="N147" i="1"/>
  <c r="Q147" i="1" s="1"/>
  <c r="R147" i="1" s="1"/>
  <c r="O145" i="1"/>
  <c r="N145" i="1"/>
  <c r="Q145" i="1" s="1"/>
  <c r="R145" i="1" s="1"/>
  <c r="O144" i="1"/>
  <c r="N144" i="1"/>
  <c r="Q144" i="1" s="1"/>
  <c r="R144" i="1" s="1"/>
  <c r="O143" i="1"/>
  <c r="N143" i="1"/>
  <c r="Q143" i="1" s="1"/>
  <c r="R143" i="1" s="1"/>
  <c r="O142" i="1"/>
  <c r="N142" i="1"/>
  <c r="Q142" i="1" s="1"/>
  <c r="R142" i="1" s="1"/>
  <c r="O140" i="1"/>
  <c r="N140" i="1"/>
  <c r="Q140" i="1" s="1"/>
  <c r="R140" i="1" s="1"/>
  <c r="O139" i="1"/>
  <c r="N139" i="1"/>
  <c r="Q139" i="1" s="1"/>
  <c r="R139" i="1" s="1"/>
  <c r="O138" i="1"/>
  <c r="N138" i="1"/>
  <c r="Q138" i="1" s="1"/>
  <c r="R138" i="1" s="1"/>
  <c r="O137" i="1"/>
  <c r="N137" i="1"/>
  <c r="Q137" i="1" s="1"/>
  <c r="R137" i="1" s="1"/>
  <c r="O135" i="1"/>
  <c r="N135" i="1"/>
  <c r="Q135" i="1" s="1"/>
  <c r="R135" i="1" s="1"/>
  <c r="O134" i="1"/>
  <c r="N134" i="1"/>
  <c r="Q134" i="1" s="1"/>
  <c r="R134" i="1" s="1"/>
  <c r="O133" i="1"/>
  <c r="N133" i="1"/>
  <c r="Q133" i="1" s="1"/>
  <c r="R133" i="1" s="1"/>
  <c r="O132" i="1"/>
  <c r="N132" i="1"/>
  <c r="Q132" i="1" s="1"/>
  <c r="R132" i="1" s="1"/>
  <c r="O130" i="1"/>
  <c r="N130" i="1"/>
  <c r="Q130" i="1" s="1"/>
  <c r="R130" i="1" s="1"/>
  <c r="O129" i="1"/>
  <c r="N129" i="1"/>
  <c r="Q129" i="1" s="1"/>
  <c r="R129" i="1" s="1"/>
  <c r="O128" i="1"/>
  <c r="N128" i="1"/>
  <c r="Q128" i="1" s="1"/>
  <c r="R128" i="1" s="1"/>
  <c r="O127" i="1"/>
  <c r="N127" i="1"/>
  <c r="Q127" i="1" s="1"/>
  <c r="R127" i="1" s="1"/>
  <c r="O125" i="1"/>
  <c r="N125" i="1"/>
  <c r="Q125" i="1" s="1"/>
  <c r="R125" i="1" s="1"/>
  <c r="O124" i="1"/>
  <c r="N124" i="1"/>
  <c r="Q124" i="1" s="1"/>
  <c r="R124" i="1" s="1"/>
  <c r="O123" i="1"/>
  <c r="N123" i="1"/>
  <c r="Q123" i="1" s="1"/>
  <c r="R123" i="1" s="1"/>
  <c r="O122" i="1"/>
  <c r="N122" i="1"/>
  <c r="Q122" i="1" s="1"/>
  <c r="R122" i="1" s="1"/>
  <c r="O120" i="1"/>
  <c r="N120" i="1"/>
  <c r="Q120" i="1" s="1"/>
  <c r="R120" i="1" s="1"/>
  <c r="O119" i="1"/>
  <c r="N119" i="1"/>
  <c r="Q119" i="1" s="1"/>
  <c r="R119" i="1" s="1"/>
  <c r="O118" i="1"/>
  <c r="N118" i="1"/>
  <c r="Q118" i="1" s="1"/>
  <c r="R118" i="1" s="1"/>
  <c r="O102" i="1"/>
  <c r="N102" i="1"/>
  <c r="Q102" i="1" s="1"/>
  <c r="R102" i="1" s="1"/>
  <c r="O101" i="1"/>
  <c r="N101" i="1"/>
  <c r="Q101" i="1" s="1"/>
  <c r="R101" i="1" s="1"/>
  <c r="O100" i="1"/>
  <c r="N100" i="1"/>
  <c r="Q100" i="1" s="1"/>
  <c r="R100" i="1" s="1"/>
  <c r="O98" i="1"/>
  <c r="N98" i="1"/>
  <c r="Q98" i="1" s="1"/>
  <c r="R98" i="1" s="1"/>
  <c r="O97" i="1"/>
  <c r="N97" i="1"/>
  <c r="Q97" i="1" s="1"/>
  <c r="R97" i="1" s="1"/>
  <c r="O96" i="1"/>
  <c r="N96" i="1"/>
  <c r="Q96" i="1" s="1"/>
  <c r="R96" i="1" s="1"/>
  <c r="O95" i="1"/>
  <c r="N95" i="1"/>
  <c r="Q95" i="1" s="1"/>
  <c r="R95" i="1" s="1"/>
  <c r="O93" i="1"/>
  <c r="N93" i="1"/>
  <c r="Q93" i="1" s="1"/>
  <c r="R93" i="1" s="1"/>
  <c r="O92" i="1"/>
  <c r="N92" i="1"/>
  <c r="Q92" i="1" s="1"/>
  <c r="R92" i="1" s="1"/>
  <c r="O91" i="1"/>
  <c r="N91" i="1"/>
  <c r="Q91" i="1" s="1"/>
  <c r="R91" i="1" s="1"/>
  <c r="O90" i="1"/>
  <c r="N90" i="1"/>
  <c r="Q90" i="1" s="1"/>
  <c r="R90" i="1" s="1"/>
  <c r="O88" i="1"/>
  <c r="N88" i="1"/>
  <c r="Q88" i="1" s="1"/>
  <c r="R88" i="1" s="1"/>
  <c r="O87" i="1"/>
  <c r="N87" i="1"/>
  <c r="Q87" i="1" s="1"/>
  <c r="R87" i="1" s="1"/>
  <c r="O86" i="1"/>
  <c r="N86" i="1"/>
  <c r="Q86" i="1" s="1"/>
  <c r="R86" i="1" s="1"/>
  <c r="O85" i="1"/>
  <c r="N85" i="1"/>
  <c r="Q85" i="1" s="1"/>
  <c r="R85" i="1" s="1"/>
  <c r="O83" i="1"/>
  <c r="N83" i="1"/>
  <c r="Q83" i="1" s="1"/>
  <c r="R83" i="1" s="1"/>
  <c r="O82" i="1"/>
  <c r="N82" i="1"/>
  <c r="Q82" i="1" s="1"/>
  <c r="R82" i="1" s="1"/>
  <c r="O81" i="1"/>
  <c r="N81" i="1"/>
  <c r="Q81" i="1" s="1"/>
  <c r="R81" i="1" s="1"/>
  <c r="O80" i="1"/>
  <c r="N80" i="1"/>
  <c r="Q80" i="1" s="1"/>
  <c r="R80" i="1" s="1"/>
  <c r="O78" i="1"/>
  <c r="N78" i="1"/>
  <c r="Q78" i="1" s="1"/>
  <c r="R78" i="1" s="1"/>
  <c r="O77" i="1"/>
  <c r="N77" i="1"/>
  <c r="Q77" i="1" s="1"/>
  <c r="R77" i="1" s="1"/>
  <c r="O76" i="1"/>
  <c r="N76" i="1"/>
  <c r="Q76" i="1" s="1"/>
  <c r="R76" i="1" s="1"/>
  <c r="O75" i="1"/>
  <c r="N75" i="1"/>
  <c r="Q75" i="1" s="1"/>
  <c r="R75" i="1" s="1"/>
  <c r="O73" i="1"/>
  <c r="N73" i="1"/>
  <c r="Q73" i="1" s="1"/>
  <c r="R73" i="1" s="1"/>
  <c r="O72" i="1"/>
  <c r="N72" i="1"/>
  <c r="Q72" i="1" s="1"/>
  <c r="R72" i="1" s="1"/>
  <c r="O71" i="1"/>
  <c r="N71" i="1"/>
  <c r="Q71" i="1" s="1"/>
  <c r="R71" i="1" s="1"/>
  <c r="O70" i="1"/>
  <c r="N70" i="1"/>
  <c r="Q70" i="1" s="1"/>
  <c r="R70" i="1" s="1"/>
  <c r="O68" i="1"/>
  <c r="N68" i="1"/>
  <c r="Q68" i="1" s="1"/>
  <c r="R68" i="1" s="1"/>
  <c r="O67" i="1"/>
  <c r="N67" i="1"/>
  <c r="Q67" i="1" s="1"/>
  <c r="R67" i="1" s="1"/>
  <c r="O66" i="1"/>
  <c r="N66" i="1"/>
  <c r="Q66" i="1" s="1"/>
  <c r="R66" i="1" s="1"/>
  <c r="O65" i="1"/>
  <c r="N65" i="1"/>
  <c r="Q65" i="1" s="1"/>
  <c r="R65" i="1" s="1"/>
  <c r="O63" i="1"/>
  <c r="N63" i="1"/>
  <c r="Q63" i="1" s="1"/>
  <c r="R63" i="1" s="1"/>
  <c r="O62" i="1"/>
  <c r="N62" i="1"/>
  <c r="Q62" i="1" s="1"/>
  <c r="R62" i="1" s="1"/>
  <c r="O61" i="1"/>
  <c r="N61" i="1"/>
  <c r="Q61" i="1" s="1"/>
  <c r="R61" i="1" s="1"/>
  <c r="O212" i="1"/>
  <c r="N212" i="1"/>
  <c r="Q212" i="1" s="1"/>
  <c r="R212" i="1" s="1"/>
  <c r="O210" i="1"/>
  <c r="N210" i="1"/>
  <c r="Q210" i="1" s="1"/>
  <c r="R210" i="1" s="1"/>
  <c r="O207" i="1"/>
  <c r="N207" i="1"/>
  <c r="Q207" i="1" s="1"/>
  <c r="R207" i="1" s="1"/>
  <c r="O46" i="1"/>
  <c r="N46" i="1"/>
  <c r="Q46" i="1" s="1"/>
  <c r="R46" i="1" s="1"/>
  <c r="O45" i="1"/>
  <c r="N45" i="1"/>
  <c r="Q45" i="1" s="1"/>
  <c r="R45" i="1" s="1"/>
  <c r="O44" i="1"/>
  <c r="N44" i="1"/>
  <c r="Q44" i="1" s="1"/>
  <c r="R44" i="1" s="1"/>
  <c r="O43" i="1"/>
  <c r="N43" i="1"/>
  <c r="Q43" i="1" s="1"/>
  <c r="R43" i="1" s="1"/>
  <c r="O41" i="1"/>
  <c r="N41" i="1"/>
  <c r="Q41" i="1" s="1"/>
  <c r="R41" i="1" s="1"/>
  <c r="O40" i="1"/>
  <c r="N40" i="1"/>
  <c r="Q40" i="1" s="1"/>
  <c r="R40" i="1" s="1"/>
  <c r="O39" i="1"/>
  <c r="N39" i="1"/>
  <c r="Q39" i="1" s="1"/>
  <c r="R39" i="1" s="1"/>
  <c r="O38" i="1"/>
  <c r="N38" i="1"/>
  <c r="Q38" i="1" s="1"/>
  <c r="R38" i="1" s="1"/>
  <c r="O36" i="1"/>
  <c r="N36" i="1"/>
  <c r="Q36" i="1" s="1"/>
  <c r="R36" i="1" s="1"/>
  <c r="O35" i="1"/>
  <c r="N35" i="1"/>
  <c r="Q35" i="1" s="1"/>
  <c r="R35" i="1" s="1"/>
  <c r="O34" i="1"/>
  <c r="N34" i="1"/>
  <c r="Q34" i="1" s="1"/>
  <c r="R34" i="1" s="1"/>
  <c r="O33" i="1"/>
  <c r="N33" i="1"/>
  <c r="Q33" i="1" s="1"/>
  <c r="R33" i="1" s="1"/>
  <c r="O31" i="1"/>
  <c r="N31" i="1"/>
  <c r="Q31" i="1" s="1"/>
  <c r="R31" i="1" s="1"/>
  <c r="O30" i="1"/>
  <c r="N30" i="1"/>
  <c r="Q30" i="1" s="1"/>
  <c r="R30" i="1" s="1"/>
  <c r="O29" i="1"/>
  <c r="N29" i="1"/>
  <c r="Q29" i="1" s="1"/>
  <c r="R29" i="1" s="1"/>
  <c r="O28" i="1"/>
  <c r="N28" i="1"/>
  <c r="Q28" i="1" s="1"/>
  <c r="R28" i="1" s="1"/>
  <c r="O26" i="1"/>
  <c r="N26" i="1"/>
  <c r="Q26" i="1" s="1"/>
  <c r="R26" i="1" s="1"/>
  <c r="O25" i="1"/>
  <c r="N25" i="1"/>
  <c r="Q25" i="1" s="1"/>
  <c r="R25" i="1" s="1"/>
  <c r="O24" i="1"/>
  <c r="N24" i="1"/>
  <c r="Q24" i="1" s="1"/>
  <c r="R24" i="1" s="1"/>
  <c r="O23" i="1"/>
  <c r="N23" i="1"/>
  <c r="Q23" i="1" s="1"/>
  <c r="R23" i="1" s="1"/>
  <c r="O21" i="1"/>
  <c r="N21" i="1"/>
  <c r="Q21" i="1" s="1"/>
  <c r="R21" i="1" s="1"/>
  <c r="O20" i="1"/>
  <c r="N20" i="1"/>
  <c r="Q20" i="1" s="1"/>
  <c r="R20" i="1" s="1"/>
  <c r="O19" i="1"/>
  <c r="N19" i="1"/>
  <c r="Q19" i="1" s="1"/>
  <c r="R19" i="1" s="1"/>
  <c r="O18" i="1"/>
  <c r="N18" i="1"/>
  <c r="Q18" i="1" s="1"/>
  <c r="R18" i="1" s="1"/>
  <c r="O16" i="1"/>
  <c r="N16" i="1"/>
  <c r="Q16" i="1" s="1"/>
  <c r="R16" i="1" s="1"/>
  <c r="O15" i="1"/>
  <c r="N15" i="1"/>
  <c r="Q15" i="1" s="1"/>
  <c r="R15" i="1" s="1"/>
  <c r="O14" i="1"/>
  <c r="N14" i="1"/>
  <c r="Q14" i="1" s="1"/>
  <c r="R14" i="1" s="1"/>
  <c r="O13" i="1"/>
  <c r="N13" i="1"/>
  <c r="Q13" i="1" s="1"/>
  <c r="R13" i="1" s="1"/>
  <c r="O11" i="1"/>
  <c r="N11" i="1"/>
  <c r="Q11" i="1" s="1"/>
  <c r="R11" i="1" s="1"/>
  <c r="O10" i="1"/>
  <c r="N10" i="1"/>
  <c r="Q10" i="1" s="1"/>
  <c r="R10" i="1" s="1"/>
  <c r="O9" i="1"/>
  <c r="N9" i="1"/>
  <c r="Q9" i="1" s="1"/>
  <c r="R9" i="1" s="1"/>
  <c r="O8" i="1"/>
  <c r="N8" i="1"/>
  <c r="Q8" i="1" s="1"/>
  <c r="R8" i="1" s="1"/>
  <c r="O6" i="1"/>
  <c r="N6" i="1"/>
  <c r="Q6" i="1" s="1"/>
  <c r="R6" i="1" s="1"/>
  <c r="O5" i="1"/>
  <c r="N5" i="1"/>
  <c r="Q5" i="1" s="1"/>
  <c r="R5" i="1" s="1"/>
  <c r="O4" i="1"/>
  <c r="N4" i="1"/>
  <c r="Q4" i="1" s="1"/>
  <c r="R4" i="1" s="1"/>
  <c r="P122" i="1" l="1"/>
  <c r="P127" i="1"/>
  <c r="P132" i="1"/>
  <c r="P137" i="1"/>
  <c r="P142" i="1"/>
  <c r="P147" i="1"/>
  <c r="P152" i="1"/>
  <c r="P157" i="1"/>
  <c r="P175" i="1"/>
  <c r="P180" i="1"/>
  <c r="P185" i="1"/>
  <c r="P190" i="1"/>
  <c r="P195" i="1"/>
  <c r="P200" i="1"/>
  <c r="P205" i="1"/>
  <c r="P213" i="1"/>
  <c r="P220" i="1"/>
  <c r="P238" i="1"/>
  <c r="P243" i="1"/>
  <c r="P72" i="1"/>
  <c r="P97" i="1"/>
  <c r="P62" i="1"/>
  <c r="P92" i="1"/>
  <c r="P207" i="1"/>
  <c r="P87" i="1"/>
  <c r="P67" i="1"/>
  <c r="P102" i="1"/>
  <c r="P82" i="1"/>
  <c r="P77" i="1"/>
  <c r="P63" i="1"/>
  <c r="P83" i="1"/>
  <c r="P118" i="1"/>
  <c r="P123" i="1"/>
  <c r="P128" i="1"/>
  <c r="P133" i="1"/>
  <c r="P138" i="1"/>
  <c r="P143" i="1"/>
  <c r="P148" i="1"/>
  <c r="P153" i="1"/>
  <c r="P158" i="1"/>
  <c r="P176" i="1"/>
  <c r="P181" i="1"/>
  <c r="P186" i="1"/>
  <c r="P93" i="1"/>
  <c r="P68" i="1"/>
  <c r="P98" i="1"/>
  <c r="P78" i="1"/>
  <c r="P210" i="1"/>
  <c r="P88" i="1"/>
  <c r="P6" i="1"/>
  <c r="P11" i="1"/>
  <c r="P16" i="1"/>
  <c r="P21" i="1"/>
  <c r="P26" i="1"/>
  <c r="P31" i="1"/>
  <c r="P36" i="1"/>
  <c r="P41" i="1"/>
  <c r="P46" i="1"/>
  <c r="P61" i="1"/>
  <c r="P66" i="1"/>
  <c r="P71" i="1"/>
  <c r="P76" i="1"/>
  <c r="P81" i="1"/>
  <c r="P86" i="1"/>
  <c r="P91" i="1"/>
  <c r="P96" i="1"/>
  <c r="P101" i="1"/>
  <c r="P120" i="1"/>
  <c r="P125" i="1"/>
  <c r="P130" i="1"/>
  <c r="P135" i="1"/>
  <c r="P140" i="1"/>
  <c r="P145" i="1"/>
  <c r="P150" i="1"/>
  <c r="P155" i="1"/>
  <c r="P160" i="1"/>
  <c r="P179" i="1"/>
  <c r="P184" i="1"/>
  <c r="P189" i="1"/>
  <c r="P194" i="1"/>
  <c r="P199" i="1"/>
  <c r="P73" i="1"/>
  <c r="P8" i="1"/>
  <c r="P13" i="1"/>
  <c r="P18" i="1"/>
  <c r="P23" i="1"/>
  <c r="P28" i="1"/>
  <c r="P33" i="1"/>
  <c r="P38" i="1"/>
  <c r="P43" i="1"/>
  <c r="P44" i="1"/>
  <c r="P19" i="1"/>
  <c r="P24" i="1"/>
  <c r="P29" i="1"/>
  <c r="P34" i="1"/>
  <c r="P39" i="1"/>
  <c r="P4" i="1"/>
  <c r="P191" i="1"/>
  <c r="P196" i="1"/>
  <c r="P201" i="1"/>
  <c r="P206" i="1"/>
  <c r="P214" i="1"/>
  <c r="P221" i="1"/>
  <c r="P239" i="1"/>
  <c r="P244" i="1"/>
  <c r="P14" i="1"/>
  <c r="P9" i="1"/>
  <c r="P204" i="1"/>
  <c r="P211" i="1"/>
  <c r="P219" i="1"/>
  <c r="P237" i="1"/>
  <c r="P242" i="1"/>
  <c r="P30" i="1"/>
  <c r="P65" i="1"/>
  <c r="P75" i="1"/>
  <c r="P85" i="1"/>
  <c r="P100" i="1"/>
  <c r="P124" i="1"/>
  <c r="P129" i="1"/>
  <c r="P139" i="1"/>
  <c r="P144" i="1"/>
  <c r="P149" i="1"/>
  <c r="P154" i="1"/>
  <c r="P159" i="1"/>
  <c r="P177" i="1"/>
  <c r="P182" i="1"/>
  <c r="P187" i="1"/>
  <c r="P192" i="1"/>
  <c r="P197" i="1"/>
  <c r="P202" i="1"/>
  <c r="P208" i="1"/>
  <c r="P216" i="1"/>
  <c r="P222" i="1"/>
  <c r="P241" i="1"/>
  <c r="P246" i="1"/>
  <c r="P15" i="1"/>
  <c r="P25" i="1"/>
  <c r="P40" i="1"/>
  <c r="P212" i="1"/>
  <c r="P70" i="1"/>
  <c r="P80" i="1"/>
  <c r="P90" i="1"/>
  <c r="P95" i="1"/>
  <c r="P119" i="1"/>
  <c r="P134" i="1"/>
  <c r="P5" i="1"/>
  <c r="P20" i="1"/>
  <c r="P45" i="1"/>
  <c r="P247" i="1"/>
  <c r="P10" i="1"/>
  <c r="P35" i="1"/>
  <c r="O487" i="1"/>
  <c r="N487" i="1"/>
  <c r="Q487" i="1" s="1"/>
  <c r="O486" i="1"/>
  <c r="N486" i="1"/>
  <c r="Q486" i="1" s="1"/>
  <c r="O485" i="1"/>
  <c r="P485" i="1" s="1"/>
  <c r="Q485" i="1"/>
  <c r="O484" i="1"/>
  <c r="N484" i="1"/>
  <c r="Q484" i="1" s="1"/>
  <c r="O483" i="1"/>
  <c r="N483" i="1"/>
  <c r="Q483" i="1" s="1"/>
  <c r="O482" i="1"/>
  <c r="N482" i="1"/>
  <c r="Q482" i="1" s="1"/>
  <c r="O481" i="1"/>
  <c r="N481" i="1"/>
  <c r="Q481" i="1" s="1"/>
  <c r="O480" i="1"/>
  <c r="N480" i="1"/>
  <c r="Q480" i="1" s="1"/>
  <c r="O424" i="1"/>
  <c r="N424" i="1"/>
  <c r="Q424" i="1" s="1"/>
  <c r="O423" i="1"/>
  <c r="N423" i="1"/>
  <c r="Q423" i="1" s="1"/>
  <c r="O422" i="1"/>
  <c r="N422" i="1"/>
  <c r="Q422" i="1" s="1"/>
  <c r="O421" i="1"/>
  <c r="N421" i="1"/>
  <c r="Q421" i="1" s="1"/>
  <c r="O420" i="1"/>
  <c r="N420" i="1"/>
  <c r="Q420" i="1" s="1"/>
  <c r="O419" i="1"/>
  <c r="N419" i="1"/>
  <c r="Q419" i="1" s="1"/>
  <c r="O418" i="1"/>
  <c r="N418" i="1"/>
  <c r="Q418" i="1" s="1"/>
  <c r="O417" i="1"/>
  <c r="N417" i="1"/>
  <c r="Q417" i="1" s="1"/>
  <c r="O361" i="1"/>
  <c r="N361" i="1"/>
  <c r="Q361" i="1" s="1"/>
  <c r="O360" i="1"/>
  <c r="N360" i="1"/>
  <c r="Q360" i="1" s="1"/>
  <c r="O359" i="1"/>
  <c r="N359" i="1"/>
  <c r="Q359" i="1" s="1"/>
  <c r="O358" i="1"/>
  <c r="N358" i="1"/>
  <c r="Q358" i="1" s="1"/>
  <c r="O357" i="1"/>
  <c r="N357" i="1"/>
  <c r="Q357" i="1" s="1"/>
  <c r="O356" i="1"/>
  <c r="N356" i="1"/>
  <c r="Q356" i="1" s="1"/>
  <c r="O355" i="1"/>
  <c r="N355" i="1"/>
  <c r="Q355" i="1" s="1"/>
  <c r="O354" i="1"/>
  <c r="N354" i="1"/>
  <c r="Q354" i="1" s="1"/>
  <c r="O298" i="1"/>
  <c r="N298" i="1"/>
  <c r="Q298" i="1" s="1"/>
  <c r="O297" i="1"/>
  <c r="N297" i="1"/>
  <c r="Q297" i="1" s="1"/>
  <c r="O296" i="1"/>
  <c r="N296" i="1"/>
  <c r="Q296" i="1" s="1"/>
  <c r="O295" i="1"/>
  <c r="N295" i="1"/>
  <c r="Q295" i="1" s="1"/>
  <c r="O294" i="1"/>
  <c r="N294" i="1"/>
  <c r="Q294" i="1" s="1"/>
  <c r="O293" i="1"/>
  <c r="N293" i="1"/>
  <c r="Q293" i="1" s="1"/>
  <c r="O292" i="1"/>
  <c r="N292" i="1"/>
  <c r="Q292" i="1" s="1"/>
  <c r="O291" i="1"/>
  <c r="N291" i="1"/>
  <c r="Q291" i="1" s="1"/>
  <c r="O479" i="1"/>
  <c r="N479" i="1"/>
  <c r="Q479" i="1" s="1"/>
  <c r="O478" i="1"/>
  <c r="N478" i="1"/>
  <c r="Q478" i="1" s="1"/>
  <c r="O477" i="1"/>
  <c r="N477" i="1"/>
  <c r="Q477" i="1" s="1"/>
  <c r="O476" i="1"/>
  <c r="N476" i="1"/>
  <c r="Q476" i="1" s="1"/>
  <c r="O475" i="1"/>
  <c r="N475" i="1"/>
  <c r="Q475" i="1" s="1"/>
  <c r="O474" i="1"/>
  <c r="N474" i="1"/>
  <c r="Q474" i="1" s="1"/>
  <c r="O473" i="1"/>
  <c r="N473" i="1"/>
  <c r="Q473" i="1" s="1"/>
  <c r="O472" i="1"/>
  <c r="N472" i="1"/>
  <c r="Q472" i="1" s="1"/>
  <c r="O471" i="1"/>
  <c r="N471" i="1"/>
  <c r="Q471" i="1" s="1"/>
  <c r="O470" i="1"/>
  <c r="N470" i="1"/>
  <c r="Q470" i="1" s="1"/>
  <c r="O416" i="1"/>
  <c r="N416" i="1"/>
  <c r="Q416" i="1" s="1"/>
  <c r="O415" i="1"/>
  <c r="N415" i="1"/>
  <c r="Q415" i="1" s="1"/>
  <c r="O414" i="1"/>
  <c r="N414" i="1"/>
  <c r="Q414" i="1" s="1"/>
  <c r="O413" i="1"/>
  <c r="N413" i="1"/>
  <c r="Q413" i="1" s="1"/>
  <c r="O412" i="1"/>
  <c r="N412" i="1"/>
  <c r="Q412" i="1" s="1"/>
  <c r="O411" i="1"/>
  <c r="N411" i="1"/>
  <c r="Q411" i="1" s="1"/>
  <c r="O410" i="1"/>
  <c r="N410" i="1"/>
  <c r="Q410" i="1" s="1"/>
  <c r="O409" i="1"/>
  <c r="N409" i="1"/>
  <c r="Q409" i="1" s="1"/>
  <c r="O408" i="1"/>
  <c r="N408" i="1"/>
  <c r="Q408" i="1" s="1"/>
  <c r="Q407" i="1"/>
  <c r="O353" i="1"/>
  <c r="N353" i="1"/>
  <c r="Q353" i="1" s="1"/>
  <c r="O352" i="1"/>
  <c r="N352" i="1"/>
  <c r="Q352" i="1" s="1"/>
  <c r="O351" i="1"/>
  <c r="N351" i="1"/>
  <c r="Q351" i="1" s="1"/>
  <c r="O350" i="1"/>
  <c r="N350" i="1"/>
  <c r="Q350" i="1" s="1"/>
  <c r="O349" i="1"/>
  <c r="N349" i="1"/>
  <c r="Q349" i="1" s="1"/>
  <c r="O348" i="1"/>
  <c r="N348" i="1"/>
  <c r="Q348" i="1" s="1"/>
  <c r="O347" i="1"/>
  <c r="N347" i="1"/>
  <c r="Q347" i="1" s="1"/>
  <c r="O346" i="1"/>
  <c r="N346" i="1"/>
  <c r="Q346" i="1" s="1"/>
  <c r="O345" i="1"/>
  <c r="N345" i="1"/>
  <c r="Q345" i="1" s="1"/>
  <c r="O344" i="1"/>
  <c r="N344" i="1"/>
  <c r="Q344" i="1" s="1"/>
  <c r="O290" i="1"/>
  <c r="N290" i="1"/>
  <c r="Q290" i="1" s="1"/>
  <c r="O289" i="1"/>
  <c r="N289" i="1"/>
  <c r="Q289" i="1" s="1"/>
  <c r="O288" i="1"/>
  <c r="N288" i="1"/>
  <c r="Q288" i="1" s="1"/>
  <c r="O287" i="1"/>
  <c r="N287" i="1"/>
  <c r="Q287" i="1" s="1"/>
  <c r="O286" i="1"/>
  <c r="N286" i="1"/>
  <c r="Q286" i="1" s="1"/>
  <c r="O285" i="1"/>
  <c r="N285" i="1"/>
  <c r="Q285" i="1" s="1"/>
  <c r="O284" i="1"/>
  <c r="N284" i="1"/>
  <c r="Q284" i="1" s="1"/>
  <c r="Q283" i="1"/>
  <c r="O282" i="1"/>
  <c r="N282" i="1"/>
  <c r="Q282" i="1" s="1"/>
  <c r="O281" i="1"/>
  <c r="N281" i="1"/>
  <c r="Q281" i="1" s="1"/>
  <c r="O469" i="1"/>
  <c r="N469" i="1"/>
  <c r="Q469" i="1" s="1"/>
  <c r="O464" i="1"/>
  <c r="N464" i="1"/>
  <c r="Q464" i="1" s="1"/>
  <c r="O459" i="1"/>
  <c r="N459" i="1"/>
  <c r="Q459" i="1" s="1"/>
  <c r="O454" i="1"/>
  <c r="N454" i="1"/>
  <c r="Q454" i="1" s="1"/>
  <c r="O449" i="1"/>
  <c r="N449" i="1"/>
  <c r="Q449" i="1" s="1"/>
  <c r="Q444" i="1"/>
  <c r="O439" i="1"/>
  <c r="N439" i="1"/>
  <c r="Q439" i="1" s="1"/>
  <c r="O434" i="1"/>
  <c r="N434" i="1"/>
  <c r="Q434" i="1" s="1"/>
  <c r="O430" i="1"/>
  <c r="N430" i="1"/>
  <c r="Q430" i="1" s="1"/>
  <c r="O425" i="1"/>
  <c r="N425" i="1"/>
  <c r="Q425" i="1" s="1"/>
  <c r="O406" i="1"/>
  <c r="N406" i="1"/>
  <c r="Q406" i="1" s="1"/>
  <c r="O401" i="1"/>
  <c r="N401" i="1"/>
  <c r="Q401" i="1" s="1"/>
  <c r="Q396" i="1"/>
  <c r="O391" i="1"/>
  <c r="N391" i="1"/>
  <c r="Q391" i="1" s="1"/>
  <c r="O386" i="1"/>
  <c r="N386" i="1"/>
  <c r="Q386" i="1" s="1"/>
  <c r="O381" i="1"/>
  <c r="N381" i="1"/>
  <c r="Q381" i="1" s="1"/>
  <c r="O376" i="1"/>
  <c r="N376" i="1"/>
  <c r="Q376" i="1" s="1"/>
  <c r="Q371" i="1"/>
  <c r="O367" i="1"/>
  <c r="N367" i="1"/>
  <c r="Q367" i="1" s="1"/>
  <c r="O362" i="1"/>
  <c r="N362" i="1"/>
  <c r="Q362" i="1" s="1"/>
  <c r="Q343" i="1"/>
  <c r="Q338" i="1"/>
  <c r="O333" i="1"/>
  <c r="N333" i="1"/>
  <c r="Q333" i="1" s="1"/>
  <c r="O328" i="1"/>
  <c r="N328" i="1"/>
  <c r="Q328" i="1" s="1"/>
  <c r="O323" i="1"/>
  <c r="N323" i="1"/>
  <c r="Q323" i="1" s="1"/>
  <c r="O318" i="1"/>
  <c r="N318" i="1"/>
  <c r="Q318" i="1" s="1"/>
  <c r="O313" i="1"/>
  <c r="N313" i="1"/>
  <c r="Q313" i="1" s="1"/>
  <c r="O308" i="1"/>
  <c r="N308" i="1"/>
  <c r="Q308" i="1" s="1"/>
  <c r="O304" i="1"/>
  <c r="N304" i="1"/>
  <c r="Q304" i="1" s="1"/>
  <c r="O299" i="1"/>
  <c r="N299" i="1"/>
  <c r="Q299" i="1" s="1"/>
  <c r="O280" i="1"/>
  <c r="N280" i="1"/>
  <c r="Q280" i="1" s="1"/>
  <c r="O275" i="1"/>
  <c r="N275" i="1"/>
  <c r="Q275" i="1" s="1"/>
  <c r="O270" i="1"/>
  <c r="N270" i="1"/>
  <c r="Q270" i="1" s="1"/>
  <c r="O265" i="1"/>
  <c r="N265" i="1"/>
  <c r="Q265" i="1" s="1"/>
  <c r="O260" i="1"/>
  <c r="N260" i="1"/>
  <c r="Q260" i="1" s="1"/>
  <c r="O255" i="1"/>
  <c r="N255" i="1"/>
  <c r="Q255" i="1" s="1"/>
  <c r="O250" i="1"/>
  <c r="N250" i="1"/>
  <c r="Q250" i="1" s="1"/>
  <c r="O245" i="1"/>
  <c r="N245" i="1"/>
  <c r="Q245" i="1" s="1"/>
  <c r="O240" i="1"/>
  <c r="N240" i="1"/>
  <c r="Q240" i="1" s="1"/>
  <c r="O236" i="1"/>
  <c r="N236" i="1"/>
  <c r="Q236" i="1" s="1"/>
  <c r="O235" i="1"/>
  <c r="N235" i="1"/>
  <c r="Q235" i="1" s="1"/>
  <c r="R235" i="1" s="1"/>
  <c r="O234" i="1"/>
  <c r="N234" i="1"/>
  <c r="Q234" i="1" s="1"/>
  <c r="R234" i="1" s="1"/>
  <c r="O173" i="1"/>
  <c r="N173" i="1"/>
  <c r="Q173" i="1" s="1"/>
  <c r="R173" i="1" s="1"/>
  <c r="O172" i="1"/>
  <c r="N172" i="1"/>
  <c r="Q172" i="1" s="1"/>
  <c r="R172" i="1" s="1"/>
  <c r="O116" i="1"/>
  <c r="N116" i="1"/>
  <c r="Q116" i="1" s="1"/>
  <c r="R116" i="1" s="1"/>
  <c r="O115" i="1"/>
  <c r="N115" i="1"/>
  <c r="Q115" i="1" s="1"/>
  <c r="R115" i="1" s="1"/>
  <c r="O59" i="1"/>
  <c r="N59" i="1"/>
  <c r="Q59" i="1" s="1"/>
  <c r="R59" i="1" s="1"/>
  <c r="O58" i="1"/>
  <c r="N58" i="1"/>
  <c r="Q58" i="1" s="1"/>
  <c r="R58" i="1" s="1"/>
  <c r="O233" i="1"/>
  <c r="N233" i="1"/>
  <c r="Q233" i="1" s="1"/>
  <c r="R233" i="1" s="1"/>
  <c r="O232" i="1"/>
  <c r="N232" i="1"/>
  <c r="Q232" i="1" s="1"/>
  <c r="R232" i="1" s="1"/>
  <c r="O231" i="1"/>
  <c r="N231" i="1"/>
  <c r="Q231" i="1" s="1"/>
  <c r="R231" i="1" s="1"/>
  <c r="O230" i="1"/>
  <c r="N230" i="1"/>
  <c r="Q230" i="1" s="1"/>
  <c r="R230" i="1" s="1"/>
  <c r="O229" i="1"/>
  <c r="N229" i="1"/>
  <c r="Q229" i="1" s="1"/>
  <c r="R229" i="1" s="1"/>
  <c r="O228" i="1"/>
  <c r="N228" i="1"/>
  <c r="Q228" i="1" s="1"/>
  <c r="R228" i="1" s="1"/>
  <c r="O227" i="1"/>
  <c r="N227" i="1"/>
  <c r="Q227" i="1" s="1"/>
  <c r="R227" i="1" s="1"/>
  <c r="O226" i="1"/>
  <c r="N226" i="1"/>
  <c r="Q226" i="1" s="1"/>
  <c r="R226" i="1" s="1"/>
  <c r="O225" i="1"/>
  <c r="N225" i="1"/>
  <c r="Q225" i="1" s="1"/>
  <c r="R225" i="1" s="1"/>
  <c r="O224" i="1"/>
  <c r="N224" i="1"/>
  <c r="Q224" i="1" s="1"/>
  <c r="R224" i="1" s="1"/>
  <c r="O171" i="1"/>
  <c r="N171" i="1"/>
  <c r="Q171" i="1" s="1"/>
  <c r="R171" i="1" s="1"/>
  <c r="O170" i="1"/>
  <c r="N170" i="1"/>
  <c r="Q170" i="1" s="1"/>
  <c r="R170" i="1" s="1"/>
  <c r="O169" i="1"/>
  <c r="N169" i="1"/>
  <c r="Q169" i="1" s="1"/>
  <c r="R169" i="1" s="1"/>
  <c r="O168" i="1"/>
  <c r="N168" i="1"/>
  <c r="Q168" i="1" s="1"/>
  <c r="R168" i="1" s="1"/>
  <c r="O167" i="1"/>
  <c r="N167" i="1"/>
  <c r="Q167" i="1" s="1"/>
  <c r="R167" i="1" s="1"/>
  <c r="O166" i="1"/>
  <c r="N166" i="1"/>
  <c r="Q166" i="1" s="1"/>
  <c r="R166" i="1" s="1"/>
  <c r="O165" i="1"/>
  <c r="N165" i="1"/>
  <c r="Q165" i="1" s="1"/>
  <c r="R165" i="1" s="1"/>
  <c r="O164" i="1"/>
  <c r="N164" i="1"/>
  <c r="Q164" i="1" s="1"/>
  <c r="R164" i="1" s="1"/>
  <c r="O163" i="1"/>
  <c r="N163" i="1"/>
  <c r="Q163" i="1" s="1"/>
  <c r="R163" i="1" s="1"/>
  <c r="O162" i="1"/>
  <c r="N162" i="1"/>
  <c r="Q162" i="1" s="1"/>
  <c r="R162" i="1" s="1"/>
  <c r="O114" i="1"/>
  <c r="N114" i="1"/>
  <c r="Q114" i="1" s="1"/>
  <c r="R114" i="1" s="1"/>
  <c r="O113" i="1"/>
  <c r="N113" i="1"/>
  <c r="Q113" i="1" s="1"/>
  <c r="R113" i="1" s="1"/>
  <c r="O112" i="1"/>
  <c r="N112" i="1"/>
  <c r="Q112" i="1" s="1"/>
  <c r="R112" i="1" s="1"/>
  <c r="O111" i="1"/>
  <c r="N111" i="1"/>
  <c r="Q111" i="1" s="1"/>
  <c r="R111" i="1" s="1"/>
  <c r="O110" i="1"/>
  <c r="N110" i="1"/>
  <c r="Q110" i="1" s="1"/>
  <c r="R110" i="1" s="1"/>
  <c r="O109" i="1"/>
  <c r="N109" i="1"/>
  <c r="Q109" i="1" s="1"/>
  <c r="R109" i="1" s="1"/>
  <c r="O108" i="1"/>
  <c r="N108" i="1"/>
  <c r="Q108" i="1" s="1"/>
  <c r="R108" i="1" s="1"/>
  <c r="O107" i="1"/>
  <c r="N107" i="1"/>
  <c r="Q107" i="1" s="1"/>
  <c r="R107" i="1" s="1"/>
  <c r="O106" i="1"/>
  <c r="N106" i="1"/>
  <c r="Q106" i="1" s="1"/>
  <c r="R106" i="1" s="1"/>
  <c r="O105" i="1"/>
  <c r="N105" i="1"/>
  <c r="Q105" i="1" s="1"/>
  <c r="R105" i="1" s="1"/>
  <c r="O57" i="1"/>
  <c r="N57" i="1"/>
  <c r="Q57" i="1" s="1"/>
  <c r="R57" i="1" s="1"/>
  <c r="O56" i="1"/>
  <c r="N56" i="1"/>
  <c r="Q56" i="1" s="1"/>
  <c r="R56" i="1" s="1"/>
  <c r="O55" i="1"/>
  <c r="N55" i="1"/>
  <c r="Q55" i="1" s="1"/>
  <c r="R55" i="1" s="1"/>
  <c r="O54" i="1"/>
  <c r="N54" i="1"/>
  <c r="Q54" i="1" s="1"/>
  <c r="R54" i="1" s="1"/>
  <c r="O53" i="1"/>
  <c r="N53" i="1"/>
  <c r="Q53" i="1" s="1"/>
  <c r="R53" i="1" s="1"/>
  <c r="O52" i="1"/>
  <c r="N52" i="1"/>
  <c r="Q52" i="1" s="1"/>
  <c r="R52" i="1" s="1"/>
  <c r="O51" i="1"/>
  <c r="N51" i="1"/>
  <c r="Q51" i="1" s="1"/>
  <c r="R51" i="1" s="1"/>
  <c r="O50" i="1"/>
  <c r="N50" i="1"/>
  <c r="Q50" i="1" s="1"/>
  <c r="R50" i="1" s="1"/>
  <c r="O49" i="1"/>
  <c r="N49" i="1"/>
  <c r="Q49" i="1" s="1"/>
  <c r="R49" i="1" s="1"/>
  <c r="O48" i="1"/>
  <c r="N48" i="1"/>
  <c r="Q48" i="1" s="1"/>
  <c r="R48" i="1" s="1"/>
  <c r="O223" i="1"/>
  <c r="N223" i="1"/>
  <c r="Q223" i="1" s="1"/>
  <c r="R223" i="1" s="1"/>
  <c r="O218" i="1"/>
  <c r="N218" i="1"/>
  <c r="Q218" i="1" s="1"/>
  <c r="R218" i="1" s="1"/>
  <c r="O209" i="1"/>
  <c r="N209" i="1"/>
  <c r="Q209" i="1" s="1"/>
  <c r="R209" i="1" s="1"/>
  <c r="O203" i="1"/>
  <c r="N203" i="1"/>
  <c r="Q203" i="1" s="1"/>
  <c r="R203" i="1" s="1"/>
  <c r="O198" i="1"/>
  <c r="N198" i="1"/>
  <c r="Q198" i="1" s="1"/>
  <c r="R198" i="1" s="1"/>
  <c r="O193" i="1"/>
  <c r="N193" i="1"/>
  <c r="Q193" i="1" s="1"/>
  <c r="R193" i="1" s="1"/>
  <c r="O188" i="1"/>
  <c r="N188" i="1"/>
  <c r="Q188" i="1" s="1"/>
  <c r="R188" i="1" s="1"/>
  <c r="O183" i="1"/>
  <c r="N183" i="1"/>
  <c r="Q183" i="1" s="1"/>
  <c r="R183" i="1" s="1"/>
  <c r="O178" i="1"/>
  <c r="N178" i="1"/>
  <c r="Q178" i="1" s="1"/>
  <c r="R178" i="1" s="1"/>
  <c r="O174" i="1"/>
  <c r="N174" i="1"/>
  <c r="Q174" i="1" s="1"/>
  <c r="R174" i="1" s="1"/>
  <c r="O161" i="1"/>
  <c r="N161" i="1"/>
  <c r="Q161" i="1" s="1"/>
  <c r="R161" i="1" s="1"/>
  <c r="O156" i="1"/>
  <c r="N156" i="1"/>
  <c r="Q156" i="1" s="1"/>
  <c r="R156" i="1" s="1"/>
  <c r="O151" i="1"/>
  <c r="N151" i="1"/>
  <c r="Q151" i="1" s="1"/>
  <c r="R151" i="1" s="1"/>
  <c r="O146" i="1"/>
  <c r="N146" i="1"/>
  <c r="Q146" i="1" s="1"/>
  <c r="R146" i="1" s="1"/>
  <c r="O141" i="1"/>
  <c r="N141" i="1"/>
  <c r="Q141" i="1" s="1"/>
  <c r="R141" i="1" s="1"/>
  <c r="O136" i="1"/>
  <c r="N136" i="1"/>
  <c r="Q136" i="1" s="1"/>
  <c r="R136" i="1" s="1"/>
  <c r="O131" i="1"/>
  <c r="N131" i="1"/>
  <c r="Q131" i="1" s="1"/>
  <c r="R131" i="1" s="1"/>
  <c r="O126" i="1"/>
  <c r="N126" i="1"/>
  <c r="Q126" i="1" s="1"/>
  <c r="R126" i="1" s="1"/>
  <c r="O121" i="1"/>
  <c r="N121" i="1"/>
  <c r="Q121" i="1" s="1"/>
  <c r="R121" i="1" s="1"/>
  <c r="O117" i="1"/>
  <c r="N117" i="1"/>
  <c r="Q117" i="1" s="1"/>
  <c r="R117" i="1" s="1"/>
  <c r="O104" i="1"/>
  <c r="N104" i="1"/>
  <c r="Q104" i="1" s="1"/>
  <c r="R104" i="1" s="1"/>
  <c r="O99" i="1"/>
  <c r="N99" i="1"/>
  <c r="Q99" i="1" s="1"/>
  <c r="R99" i="1" s="1"/>
  <c r="O94" i="1"/>
  <c r="N94" i="1"/>
  <c r="Q94" i="1" s="1"/>
  <c r="R94" i="1" s="1"/>
  <c r="O89" i="1"/>
  <c r="N89" i="1"/>
  <c r="Q89" i="1" s="1"/>
  <c r="R89" i="1" s="1"/>
  <c r="O84" i="1"/>
  <c r="N84" i="1"/>
  <c r="Q84" i="1" s="1"/>
  <c r="R84" i="1" s="1"/>
  <c r="O79" i="1"/>
  <c r="N79" i="1"/>
  <c r="Q79" i="1" s="1"/>
  <c r="R79" i="1" s="1"/>
  <c r="O74" i="1"/>
  <c r="N74" i="1"/>
  <c r="Q74" i="1" s="1"/>
  <c r="R74" i="1" s="1"/>
  <c r="O69" i="1"/>
  <c r="N69" i="1"/>
  <c r="Q69" i="1" s="1"/>
  <c r="R69" i="1" s="1"/>
  <c r="O64" i="1"/>
  <c r="N64" i="1"/>
  <c r="Q64" i="1" s="1"/>
  <c r="R64" i="1" s="1"/>
  <c r="O60" i="1"/>
  <c r="N60" i="1"/>
  <c r="Q60" i="1" s="1"/>
  <c r="R60" i="1" s="1"/>
  <c r="O47" i="1"/>
  <c r="N47" i="1"/>
  <c r="Q47" i="1" s="1"/>
  <c r="R47" i="1" s="1"/>
  <c r="O42" i="1"/>
  <c r="N42" i="1"/>
  <c r="Q42" i="1" s="1"/>
  <c r="R42" i="1" s="1"/>
  <c r="O37" i="1"/>
  <c r="N37" i="1"/>
  <c r="Q37" i="1" s="1"/>
  <c r="R37" i="1" s="1"/>
  <c r="O32" i="1"/>
  <c r="N32" i="1"/>
  <c r="Q32" i="1" s="1"/>
  <c r="R32" i="1" s="1"/>
  <c r="O27" i="1"/>
  <c r="N27" i="1"/>
  <c r="Q27" i="1" s="1"/>
  <c r="R27" i="1" s="1"/>
  <c r="O22" i="1"/>
  <c r="N22" i="1"/>
  <c r="Q22" i="1" s="1"/>
  <c r="R22" i="1" s="1"/>
  <c r="O17" i="1"/>
  <c r="N17" i="1"/>
  <c r="Q17" i="1" s="1"/>
  <c r="R17" i="1" s="1"/>
  <c r="O12" i="1"/>
  <c r="N12" i="1"/>
  <c r="Q12" i="1" s="1"/>
  <c r="R12" i="1" s="1"/>
  <c r="O7" i="1"/>
  <c r="N7" i="1"/>
  <c r="Q7" i="1" s="1"/>
  <c r="R7" i="1" s="1"/>
  <c r="O3" i="1"/>
  <c r="N3" i="1"/>
  <c r="Q3" i="1" s="1"/>
  <c r="R3" i="1" s="1"/>
  <c r="P478" i="1" l="1"/>
  <c r="P293" i="1"/>
  <c r="P386" i="1"/>
  <c r="P464" i="1"/>
  <c r="P410" i="1"/>
  <c r="P414" i="1"/>
  <c r="P471" i="1"/>
  <c r="P475" i="1"/>
  <c r="P479" i="1"/>
  <c r="P294" i="1"/>
  <c r="P298" i="1"/>
  <c r="P357" i="1"/>
  <c r="P361" i="1"/>
  <c r="P420" i="1"/>
  <c r="P424" i="1"/>
  <c r="P483" i="1"/>
  <c r="P487" i="1"/>
  <c r="P381" i="1"/>
  <c r="P459" i="1"/>
  <c r="P282" i="1"/>
  <c r="P409" i="1"/>
  <c r="P413" i="1"/>
  <c r="P470" i="1"/>
  <c r="P474" i="1"/>
  <c r="P297" i="1"/>
  <c r="P356" i="1"/>
  <c r="P360" i="1"/>
  <c r="P419" i="1"/>
  <c r="P423" i="1"/>
  <c r="P482" i="1"/>
  <c r="P486" i="1"/>
  <c r="P156" i="1"/>
  <c r="P52" i="1"/>
  <c r="P56" i="1"/>
  <c r="P107" i="1"/>
  <c r="P111" i="1"/>
  <c r="P162" i="1"/>
  <c r="P166" i="1"/>
  <c r="P170" i="1"/>
  <c r="P226" i="1"/>
  <c r="P230" i="1"/>
  <c r="P58" i="1"/>
  <c r="P172" i="1"/>
  <c r="P236" i="1"/>
  <c r="P255" i="1"/>
  <c r="P275" i="1"/>
  <c r="P308" i="1"/>
  <c r="P328" i="1"/>
  <c r="P367" i="1"/>
  <c r="P425" i="1"/>
  <c r="P284" i="1"/>
  <c r="P288" i="1"/>
  <c r="P345" i="1"/>
  <c r="P349" i="1"/>
  <c r="P353" i="1"/>
  <c r="P22" i="1"/>
  <c r="P203" i="1"/>
  <c r="P136" i="1"/>
  <c r="P42" i="1"/>
  <c r="P89" i="1"/>
  <c r="P376" i="1"/>
  <c r="P454" i="1"/>
  <c r="P281" i="1"/>
  <c r="P408" i="1"/>
  <c r="P412" i="1"/>
  <c r="P416" i="1"/>
  <c r="P473" i="1"/>
  <c r="P477" i="1"/>
  <c r="P292" i="1"/>
  <c r="P296" i="1"/>
  <c r="P355" i="1"/>
  <c r="P359" i="1"/>
  <c r="P418" i="1"/>
  <c r="P422" i="1"/>
  <c r="P481" i="1"/>
  <c r="P69" i="1"/>
  <c r="P183" i="1"/>
  <c r="P3" i="1"/>
  <c r="P117" i="1"/>
  <c r="P48" i="1"/>
  <c r="P391" i="1"/>
  <c r="P449" i="1"/>
  <c r="P469" i="1"/>
  <c r="P411" i="1"/>
  <c r="P415" i="1"/>
  <c r="P472" i="1"/>
  <c r="P476" i="1"/>
  <c r="P291" i="1"/>
  <c r="P295" i="1"/>
  <c r="P354" i="1"/>
  <c r="P358" i="1"/>
  <c r="P417" i="1"/>
  <c r="P421" i="1"/>
  <c r="P480" i="1"/>
  <c r="P484" i="1"/>
  <c r="P7" i="1"/>
  <c r="P27" i="1"/>
  <c r="P47" i="1"/>
  <c r="P74" i="1"/>
  <c r="P94" i="1"/>
  <c r="P121" i="1"/>
  <c r="P141" i="1"/>
  <c r="P161" i="1"/>
  <c r="P188" i="1"/>
  <c r="P209" i="1"/>
  <c r="P49" i="1"/>
  <c r="P53" i="1"/>
  <c r="P57" i="1"/>
  <c r="P108" i="1"/>
  <c r="P112" i="1"/>
  <c r="P163" i="1"/>
  <c r="P167" i="1"/>
  <c r="P171" i="1"/>
  <c r="P227" i="1"/>
  <c r="P231" i="1"/>
  <c r="P59" i="1"/>
  <c r="P173" i="1"/>
  <c r="P240" i="1"/>
  <c r="P260" i="1"/>
  <c r="P280" i="1"/>
  <c r="P313" i="1"/>
  <c r="P333" i="1"/>
  <c r="P430" i="1"/>
  <c r="P285" i="1"/>
  <c r="P289" i="1"/>
  <c r="P346" i="1"/>
  <c r="P350" i="1"/>
  <c r="P12" i="1"/>
  <c r="P32" i="1"/>
  <c r="P60" i="1"/>
  <c r="P79" i="1"/>
  <c r="P99" i="1"/>
  <c r="P126" i="1"/>
  <c r="P146" i="1"/>
  <c r="P174" i="1"/>
  <c r="P193" i="1"/>
  <c r="P218" i="1"/>
  <c r="P50" i="1"/>
  <c r="P54" i="1"/>
  <c r="P105" i="1"/>
  <c r="P109" i="1"/>
  <c r="P113" i="1"/>
  <c r="P164" i="1"/>
  <c r="P168" i="1"/>
  <c r="P224" i="1"/>
  <c r="P228" i="1"/>
  <c r="P232" i="1"/>
  <c r="P115" i="1"/>
  <c r="P234" i="1"/>
  <c r="P245" i="1"/>
  <c r="P265" i="1"/>
  <c r="P299" i="1"/>
  <c r="P318" i="1"/>
  <c r="P401" i="1"/>
  <c r="P434" i="1"/>
  <c r="P286" i="1"/>
  <c r="P290" i="1"/>
  <c r="P347" i="1"/>
  <c r="P351" i="1"/>
  <c r="P17" i="1"/>
  <c r="P37" i="1"/>
  <c r="P64" i="1"/>
  <c r="P84" i="1"/>
  <c r="P104" i="1"/>
  <c r="P131" i="1"/>
  <c r="P151" i="1"/>
  <c r="P178" i="1"/>
  <c r="P198" i="1"/>
  <c r="P223" i="1"/>
  <c r="P51" i="1"/>
  <c r="P55" i="1"/>
  <c r="P106" i="1"/>
  <c r="P110" i="1"/>
  <c r="P114" i="1"/>
  <c r="P165" i="1"/>
  <c r="P169" i="1"/>
  <c r="P225" i="1"/>
  <c r="P229" i="1"/>
  <c r="P233" i="1"/>
  <c r="P116" i="1"/>
  <c r="P235" i="1"/>
  <c r="P250" i="1"/>
  <c r="P270" i="1"/>
  <c r="P304" i="1"/>
  <c r="P323" i="1"/>
  <c r="P362" i="1"/>
  <c r="P406" i="1"/>
  <c r="P439" i="1"/>
  <c r="P287" i="1"/>
  <c r="P344" i="1"/>
  <c r="P348" i="1"/>
  <c r="P352" i="1"/>
  <c r="E587" i="1"/>
  <c r="E589" i="1" s="1"/>
  <c r="E586" i="1"/>
  <c r="E588" i="1" s="1"/>
  <c r="M49" i="12" l="1"/>
  <c r="P9" i="12"/>
  <c r="O9" i="12"/>
  <c r="P33" i="12"/>
  <c r="O33" i="12"/>
  <c r="N33" i="12"/>
  <c r="M33" i="12"/>
  <c r="P49" i="12"/>
  <c r="O49" i="12"/>
  <c r="N49" i="12"/>
  <c r="P48" i="12"/>
  <c r="O48" i="12"/>
  <c r="N48" i="12"/>
  <c r="M48" i="12"/>
  <c r="P47" i="12"/>
  <c r="O47" i="12"/>
  <c r="N47" i="12"/>
  <c r="M47" i="12"/>
  <c r="P46" i="12"/>
  <c r="O46" i="12"/>
  <c r="N46" i="12"/>
  <c r="M46" i="12"/>
  <c r="P45" i="12"/>
  <c r="O45" i="12"/>
  <c r="N45" i="12"/>
  <c r="M45" i="12"/>
  <c r="P44" i="12"/>
  <c r="O44" i="12"/>
  <c r="N44" i="12"/>
  <c r="M44" i="12"/>
  <c r="P43" i="12"/>
  <c r="O43" i="12"/>
  <c r="N43" i="12"/>
  <c r="M43" i="12"/>
  <c r="P42" i="12"/>
  <c r="O42" i="12"/>
  <c r="N42" i="12"/>
  <c r="M42" i="12"/>
  <c r="P41" i="12"/>
  <c r="O41" i="12"/>
  <c r="N41" i="12"/>
  <c r="M41" i="12"/>
  <c r="P40" i="12"/>
  <c r="O40" i="12"/>
  <c r="N40" i="12"/>
  <c r="M40" i="12"/>
  <c r="P39" i="12"/>
  <c r="O39" i="12"/>
  <c r="N39" i="12"/>
  <c r="M39" i="12"/>
  <c r="P38" i="12"/>
  <c r="O38" i="12"/>
  <c r="N38" i="12"/>
  <c r="M38" i="12"/>
  <c r="P37" i="12"/>
  <c r="O37" i="12"/>
  <c r="N37" i="12"/>
  <c r="M37" i="12"/>
  <c r="P36" i="12"/>
  <c r="O36" i="12"/>
  <c r="N36" i="12"/>
  <c r="M36" i="12"/>
  <c r="P35" i="12"/>
  <c r="O35" i="12"/>
  <c r="N35" i="12"/>
  <c r="M35" i="12"/>
  <c r="P34" i="12"/>
  <c r="O34" i="12"/>
  <c r="N34" i="12"/>
  <c r="P32" i="12"/>
  <c r="O32" i="12"/>
  <c r="N32" i="12"/>
  <c r="M32" i="12"/>
  <c r="P31" i="12"/>
  <c r="P30" i="12"/>
  <c r="O30" i="12"/>
  <c r="N30" i="12"/>
  <c r="M30" i="12"/>
  <c r="P29" i="12"/>
  <c r="O29" i="12"/>
  <c r="N29" i="12"/>
  <c r="M29" i="12"/>
  <c r="P28" i="12"/>
  <c r="O28" i="12"/>
  <c r="N28" i="12"/>
  <c r="M28" i="12"/>
  <c r="P27" i="12"/>
  <c r="O27" i="12"/>
  <c r="N27" i="12"/>
  <c r="M27" i="12"/>
  <c r="P26" i="12"/>
  <c r="O26" i="12"/>
  <c r="N26" i="12"/>
  <c r="M26" i="12"/>
  <c r="P25" i="12"/>
  <c r="O25" i="12"/>
  <c r="N25" i="12"/>
  <c r="M25" i="12"/>
  <c r="P24" i="12"/>
  <c r="O24" i="12"/>
  <c r="N24" i="12"/>
  <c r="M24" i="12"/>
  <c r="P23" i="12"/>
  <c r="O23" i="12"/>
  <c r="N23" i="12"/>
  <c r="M23" i="12"/>
  <c r="P22" i="12"/>
  <c r="O22" i="12"/>
  <c r="N22" i="12"/>
  <c r="M22" i="12"/>
  <c r="P21" i="12"/>
  <c r="O21" i="12"/>
  <c r="N21" i="12"/>
  <c r="M21" i="12"/>
  <c r="P20" i="12"/>
  <c r="O20" i="12"/>
  <c r="N20" i="12"/>
  <c r="M20" i="12"/>
  <c r="P19" i="12"/>
  <c r="O19" i="12"/>
  <c r="N19" i="12"/>
  <c r="M19" i="12"/>
  <c r="P18" i="12"/>
  <c r="O18" i="12"/>
  <c r="N18" i="12"/>
  <c r="M18" i="12"/>
  <c r="P17" i="12"/>
  <c r="O17" i="12"/>
  <c r="N17" i="12"/>
  <c r="M17" i="12"/>
  <c r="P16" i="12"/>
  <c r="O16" i="12"/>
  <c r="N16" i="12"/>
  <c r="M16" i="12"/>
  <c r="P15" i="12"/>
  <c r="O15" i="12"/>
  <c r="N15" i="12"/>
  <c r="M15" i="12"/>
  <c r="P14" i="12"/>
  <c r="O14" i="12"/>
  <c r="N14" i="12"/>
  <c r="M14" i="12"/>
  <c r="P13" i="12"/>
  <c r="O13" i="12"/>
  <c r="N13" i="12"/>
  <c r="M13" i="12"/>
  <c r="O12" i="12"/>
  <c r="N12" i="12"/>
  <c r="O11" i="12"/>
  <c r="N11" i="12"/>
  <c r="M11" i="12"/>
  <c r="N9" i="12"/>
  <c r="M9" i="12"/>
  <c r="P8" i="12"/>
  <c r="O8" i="12"/>
  <c r="N8" i="12"/>
  <c r="M8" i="12"/>
  <c r="P7" i="12"/>
  <c r="O7" i="12"/>
  <c r="N7" i="12"/>
  <c r="M7" i="12"/>
  <c r="P6" i="12"/>
  <c r="O6" i="12"/>
  <c r="N6" i="12"/>
  <c r="M6" i="12"/>
  <c r="P5" i="12"/>
  <c r="O5" i="12"/>
  <c r="N5" i="12"/>
  <c r="M5" i="12"/>
  <c r="P4" i="12"/>
  <c r="O4" i="12"/>
  <c r="N4" i="12"/>
  <c r="M4" i="12"/>
  <c r="P3" i="12"/>
  <c r="O3" i="12"/>
  <c r="N3" i="12"/>
  <c r="M3" i="12"/>
</calcChain>
</file>

<file path=xl/sharedStrings.xml><?xml version="1.0" encoding="utf-8"?>
<sst xmlns="http://schemas.openxmlformats.org/spreadsheetml/2006/main" count="24600" uniqueCount="1575">
  <si>
    <t>Well</t>
  </si>
  <si>
    <t>Sample Name</t>
  </si>
  <si>
    <t>Target Name</t>
  </si>
  <si>
    <t>Task</t>
  </si>
  <si>
    <t>Reporter</t>
  </si>
  <si>
    <t>Quencher</t>
  </si>
  <si>
    <t>Cт</t>
  </si>
  <si>
    <t>Cт Mean</t>
  </si>
  <si>
    <t>Cт SD</t>
  </si>
  <si>
    <t>Quantity</t>
  </si>
  <si>
    <t>Quantity Mean</t>
  </si>
  <si>
    <t>Quantity SD</t>
  </si>
  <si>
    <t>Automatic Ct Threshold</t>
  </si>
  <si>
    <t>Ct Threshold</t>
  </si>
  <si>
    <t>Automatic Baseline</t>
  </si>
  <si>
    <t>Baseline Start</t>
  </si>
  <si>
    <t>Baseline End</t>
  </si>
  <si>
    <t>Tm1</t>
  </si>
  <si>
    <t>Tm2</t>
  </si>
  <si>
    <t>Tm3</t>
  </si>
  <si>
    <t>Comments</t>
  </si>
  <si>
    <t>AMPNC</t>
  </si>
  <si>
    <t>MTP</t>
  </si>
  <si>
    <t>A1</t>
  </si>
  <si>
    <t/>
  </si>
  <si>
    <t>WT MM</t>
  </si>
  <si>
    <t>STANDARD</t>
  </si>
  <si>
    <t>SYBR</t>
  </si>
  <si>
    <t>None</t>
  </si>
  <si>
    <t>N</t>
  </si>
  <si>
    <t>A2</t>
  </si>
  <si>
    <t>A3</t>
  </si>
  <si>
    <t>Sample 1</t>
  </si>
  <si>
    <t>UNKNOWN</t>
  </si>
  <si>
    <t>A4</t>
  </si>
  <si>
    <t>A5</t>
  </si>
  <si>
    <t>Sample 9</t>
  </si>
  <si>
    <t>A6</t>
  </si>
  <si>
    <t>A7</t>
  </si>
  <si>
    <t>Sample 17</t>
  </si>
  <si>
    <t>A8</t>
  </si>
  <si>
    <t>A9</t>
  </si>
  <si>
    <t>Sample 25</t>
  </si>
  <si>
    <t>A10</t>
  </si>
  <si>
    <t>A11</t>
  </si>
  <si>
    <t>Sample 33</t>
  </si>
  <si>
    <t>A12</t>
  </si>
  <si>
    <t>B1</t>
  </si>
  <si>
    <t>B2</t>
  </si>
  <si>
    <t>B3</t>
  </si>
  <si>
    <t>Sample 2</t>
  </si>
  <si>
    <t>B4</t>
  </si>
  <si>
    <t>B5</t>
  </si>
  <si>
    <t>Sample 10</t>
  </si>
  <si>
    <t>B6</t>
  </si>
  <si>
    <t>B7</t>
  </si>
  <si>
    <t>Sample 18</t>
  </si>
  <si>
    <t>B8</t>
  </si>
  <si>
    <t>B9</t>
  </si>
  <si>
    <t>Sample 26</t>
  </si>
  <si>
    <t>B10</t>
  </si>
  <si>
    <t>B11</t>
  </si>
  <si>
    <t>Sample 34</t>
  </si>
  <si>
    <t>B12</t>
  </si>
  <si>
    <t>C1</t>
  </si>
  <si>
    <t>C2</t>
  </si>
  <si>
    <t>C3</t>
  </si>
  <si>
    <t>Sample 3</t>
  </si>
  <si>
    <t>C4</t>
  </si>
  <si>
    <t>C5</t>
  </si>
  <si>
    <t>Sample 11</t>
  </si>
  <si>
    <t>C6</t>
  </si>
  <si>
    <t>C7</t>
  </si>
  <si>
    <t>Sample 19</t>
  </si>
  <si>
    <t>C8</t>
  </si>
  <si>
    <t>C9</t>
  </si>
  <si>
    <t>Sample 27</t>
  </si>
  <si>
    <t>C10</t>
  </si>
  <si>
    <t>C11</t>
  </si>
  <si>
    <t>Sample 35</t>
  </si>
  <si>
    <t>C12</t>
  </si>
  <si>
    <t>D1</t>
  </si>
  <si>
    <t>D2</t>
  </si>
  <si>
    <t>D3</t>
  </si>
  <si>
    <t>Sample 4</t>
  </si>
  <si>
    <t>D4</t>
  </si>
  <si>
    <t>D5</t>
  </si>
  <si>
    <t>Sample 12</t>
  </si>
  <si>
    <t>D6</t>
  </si>
  <si>
    <t>D7</t>
  </si>
  <si>
    <t>Sample 20</t>
  </si>
  <si>
    <t>D8</t>
  </si>
  <si>
    <t>D9</t>
  </si>
  <si>
    <t>Sample 28</t>
  </si>
  <si>
    <t>D10</t>
  </si>
  <si>
    <t>D11</t>
  </si>
  <si>
    <t>Sample 36</t>
  </si>
  <si>
    <t>D12</t>
  </si>
  <si>
    <t>E1</t>
  </si>
  <si>
    <t>E2</t>
  </si>
  <si>
    <t>E3</t>
  </si>
  <si>
    <t>Sample 5</t>
  </si>
  <si>
    <t>E4</t>
  </si>
  <si>
    <t>E5</t>
  </si>
  <si>
    <t>Sample 13</t>
  </si>
  <si>
    <t>E6</t>
  </si>
  <si>
    <t>E7</t>
  </si>
  <si>
    <t>Sample 21</t>
  </si>
  <si>
    <t>E8</t>
  </si>
  <si>
    <t>E9</t>
  </si>
  <si>
    <t>Sample 29</t>
  </si>
  <si>
    <t>E10</t>
  </si>
  <si>
    <t>E11</t>
  </si>
  <si>
    <t>Sample 37</t>
  </si>
  <si>
    <t>Y</t>
  </si>
  <si>
    <t>E12</t>
  </si>
  <si>
    <t>F1</t>
  </si>
  <si>
    <t>F2</t>
  </si>
  <si>
    <t>F3</t>
  </si>
  <si>
    <t>Sample 6</t>
  </si>
  <si>
    <t>F4</t>
  </si>
  <si>
    <t>F5</t>
  </si>
  <si>
    <t>Sample 14</t>
  </si>
  <si>
    <t>F6</t>
  </si>
  <si>
    <t>F7</t>
  </si>
  <si>
    <t>Sample 22</t>
  </si>
  <si>
    <t>F8</t>
  </si>
  <si>
    <t>F9</t>
  </si>
  <si>
    <t>Sample 30</t>
  </si>
  <si>
    <t>F10</t>
  </si>
  <si>
    <t>F11</t>
  </si>
  <si>
    <t>Sample 38</t>
  </si>
  <si>
    <t>F12</t>
  </si>
  <si>
    <t>G1</t>
  </si>
  <si>
    <t>G2</t>
  </si>
  <si>
    <t>G3</t>
  </si>
  <si>
    <t>Sample 7</t>
  </si>
  <si>
    <t>G4</t>
  </si>
  <si>
    <t>G5</t>
  </si>
  <si>
    <t>Sample 15</t>
  </si>
  <si>
    <t>G6</t>
  </si>
  <si>
    <t>G7</t>
  </si>
  <si>
    <t>Sample 23</t>
  </si>
  <si>
    <t>G8</t>
  </si>
  <si>
    <t>G9</t>
  </si>
  <si>
    <t>Sample 31</t>
  </si>
  <si>
    <t>G10</t>
  </si>
  <si>
    <t>G11</t>
  </si>
  <si>
    <t>Sample 39</t>
  </si>
  <si>
    <t>G12</t>
  </si>
  <si>
    <t>H1</t>
  </si>
  <si>
    <t>NTC</t>
  </si>
  <si>
    <t>H2</t>
  </si>
  <si>
    <t>H3</t>
  </si>
  <si>
    <t>Sample 8</t>
  </si>
  <si>
    <t>H4</t>
  </si>
  <si>
    <t>H5</t>
  </si>
  <si>
    <t>Sample 16</t>
  </si>
  <si>
    <t>H6</t>
  </si>
  <si>
    <t>H7</t>
  </si>
  <si>
    <t>Sample 24</t>
  </si>
  <si>
    <t>H8</t>
  </si>
  <si>
    <t>H9</t>
  </si>
  <si>
    <t>Sample 32</t>
  </si>
  <si>
    <t>H10</t>
  </si>
  <si>
    <t>H11</t>
  </si>
  <si>
    <t>Sample 40</t>
  </si>
  <si>
    <t>H12</t>
  </si>
  <si>
    <t>BADROX</t>
  </si>
  <si>
    <t>HIGHSD</t>
  </si>
  <si>
    <t>p460</t>
  </si>
  <si>
    <t>p550</t>
  </si>
  <si>
    <t>p470</t>
  </si>
  <si>
    <t>p560</t>
  </si>
  <si>
    <t>p480</t>
  </si>
  <si>
    <t>p490</t>
  </si>
  <si>
    <t>p500</t>
  </si>
  <si>
    <t>p510</t>
  </si>
  <si>
    <t>p530</t>
  </si>
  <si>
    <t>Undetermined</t>
  </si>
  <si>
    <t>p540</t>
  </si>
  <si>
    <t>EXPFAIL</t>
  </si>
  <si>
    <t>NOISE</t>
  </si>
  <si>
    <t>SPIKE</t>
  </si>
  <si>
    <t>HIV 10-30-50-70-90-110-20-40-60</t>
  </si>
  <si>
    <t>patient 1-10</t>
  </si>
  <si>
    <t>patient 1-50</t>
  </si>
  <si>
    <t>patient 4-70</t>
  </si>
  <si>
    <t>patient 4-110</t>
  </si>
  <si>
    <t>patient 3-40</t>
  </si>
  <si>
    <t>patient 2-10</t>
  </si>
  <si>
    <t>patient 2-50</t>
  </si>
  <si>
    <t>patient 1-90</t>
  </si>
  <si>
    <t>PBS</t>
  </si>
  <si>
    <t>patient 4-40</t>
  </si>
  <si>
    <t>patient 3-10</t>
  </si>
  <si>
    <t>patient 3-50</t>
  </si>
  <si>
    <t>patient 2-90</t>
  </si>
  <si>
    <t>patient 1-20</t>
  </si>
  <si>
    <t>patient 1-60</t>
  </si>
  <si>
    <t>patient 4-10</t>
  </si>
  <si>
    <t>patient 4-50</t>
  </si>
  <si>
    <t>patient 3-90</t>
  </si>
  <si>
    <t>patient 2-20</t>
  </si>
  <si>
    <t>patient 2-60</t>
  </si>
  <si>
    <t>patient 1-30</t>
  </si>
  <si>
    <t>patient 4-90</t>
  </si>
  <si>
    <t>patient 3-20</t>
  </si>
  <si>
    <t>pastient 3-60</t>
  </si>
  <si>
    <t>patient 2-30</t>
  </si>
  <si>
    <t>patient 1-70</t>
  </si>
  <si>
    <t>patient 1-110</t>
  </si>
  <si>
    <t>patient 4-20</t>
  </si>
  <si>
    <t>patient 4-60</t>
  </si>
  <si>
    <t>patient 3-30</t>
  </si>
  <si>
    <t>patient 2-70</t>
  </si>
  <si>
    <t>patient 2-110</t>
  </si>
  <si>
    <t>patient 1-40</t>
  </si>
  <si>
    <t>patient 4-30</t>
  </si>
  <si>
    <t>patient 3-70</t>
  </si>
  <si>
    <t>patient 3-110</t>
  </si>
  <si>
    <t>patient 2-40</t>
  </si>
  <si>
    <t>Experiment Run End Time</t>
  </si>
  <si>
    <t>2015-08-17 18:04:49 PM MESZ</t>
  </si>
  <si>
    <t>2024-06-18 12:16:05 PM MESZ</t>
  </si>
  <si>
    <t>2024-06-18 15:27:54 PM MESZ</t>
  </si>
  <si>
    <t>2024-06-18 19:43:07 PM MESZ</t>
  </si>
  <si>
    <t>2024-06-11 12:13:38 PM MESZ</t>
  </si>
  <si>
    <t>p520</t>
  </si>
  <si>
    <t>2024-06-11 15:00:54 PM MESZ</t>
  </si>
  <si>
    <t>2024-05-23 13:00:02 PM MESZ</t>
  </si>
  <si>
    <t>2015-08-18 17:25:57 PM MESZ</t>
  </si>
  <si>
    <t>HIV POL 1-1</t>
  </si>
  <si>
    <t>patient 1</t>
  </si>
  <si>
    <t>patient 9</t>
  </si>
  <si>
    <t>patient 16</t>
  </si>
  <si>
    <t>patient 24</t>
  </si>
  <si>
    <t>patient 31</t>
  </si>
  <si>
    <t>patient 2</t>
  </si>
  <si>
    <t>patient 10</t>
  </si>
  <si>
    <t>patient 17</t>
  </si>
  <si>
    <t>patient 32</t>
  </si>
  <si>
    <t>patient 3</t>
  </si>
  <si>
    <t>patient 11</t>
  </si>
  <si>
    <t>patient 18</t>
  </si>
  <si>
    <t>patient 25</t>
  </si>
  <si>
    <t>patient 33</t>
  </si>
  <si>
    <t>patient 4</t>
  </si>
  <si>
    <t>patient 12</t>
  </si>
  <si>
    <t>patient 19</t>
  </si>
  <si>
    <t>patient 26</t>
  </si>
  <si>
    <t>patient 34</t>
  </si>
  <si>
    <t>patient 5</t>
  </si>
  <si>
    <t>patient 20</t>
  </si>
  <si>
    <t>Patient 27</t>
  </si>
  <si>
    <t>patient 35</t>
  </si>
  <si>
    <t>patient 6</t>
  </si>
  <si>
    <t>patient 13</t>
  </si>
  <si>
    <t>patient 21</t>
  </si>
  <si>
    <t>patient 28</t>
  </si>
  <si>
    <t>patient 36</t>
  </si>
  <si>
    <t>patient 7</t>
  </si>
  <si>
    <t>patient 14</t>
  </si>
  <si>
    <t>patient 22</t>
  </si>
  <si>
    <t>patient 29</t>
  </si>
  <si>
    <t>patient 8</t>
  </si>
  <si>
    <t>patient 15</t>
  </si>
  <si>
    <t>patient 23</t>
  </si>
  <si>
    <t>patient30</t>
  </si>
  <si>
    <t>2015-08-20 12:38:39 PM MESZ</t>
  </si>
  <si>
    <t>HIV POL1_1</t>
  </si>
  <si>
    <t>patient31</t>
  </si>
  <si>
    <t>patient32</t>
  </si>
  <si>
    <t>patient33</t>
  </si>
  <si>
    <t>patient34</t>
  </si>
  <si>
    <t>patient27</t>
  </si>
  <si>
    <t>patient35</t>
  </si>
  <si>
    <t>patient28</t>
  </si>
  <si>
    <t>patient36</t>
  </si>
  <si>
    <t>patient29</t>
  </si>
  <si>
    <t>cDNA</t>
  </si>
  <si>
    <t>VPIII #13 p10</t>
  </si>
  <si>
    <t>Amplicon B+D</t>
  </si>
  <si>
    <t>1) 05.09.2017 / 01.05.2018</t>
  </si>
  <si>
    <t>VPIII #13 p50</t>
  </si>
  <si>
    <t>5) 05.09.2017 / 01.05.2018</t>
  </si>
  <si>
    <t>VPIII #13 p100</t>
  </si>
  <si>
    <t>4) 22.05.2018</t>
  </si>
  <si>
    <t>VPIII #13 p150</t>
  </si>
  <si>
    <t>3) 26.03.2019</t>
  </si>
  <si>
    <t>VPIII #13 p200</t>
  </si>
  <si>
    <t>2) 20.08.2019</t>
  </si>
  <si>
    <t>VPIII #13 p250</t>
  </si>
  <si>
    <t>1) 05.08.2020</t>
  </si>
  <si>
    <t>VPIII #13 p300</t>
  </si>
  <si>
    <t>6) 05.08.2020</t>
  </si>
  <si>
    <t>VPIII #13 p350</t>
  </si>
  <si>
    <t>2) 01.06.2021</t>
  </si>
  <si>
    <t>VPIII #13 p400</t>
  </si>
  <si>
    <t>1) 19.10.2021</t>
  </si>
  <si>
    <t>VPIII #13 p450</t>
  </si>
  <si>
    <t>3) 03.05.2022</t>
  </si>
  <si>
    <t>don´t use this row</t>
  </si>
  <si>
    <t>WILD-TYPE</t>
  </si>
  <si>
    <t>MUTANT</t>
  </si>
  <si>
    <t xml:space="preserve">plate# </t>
  </si>
  <si>
    <t>a1</t>
  </si>
  <si>
    <t>a2</t>
  </si>
  <si>
    <t>standards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</si>
  <si>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</si>
  <si>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</si>
  <si>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</si>
  <si>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</si>
  <si>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</si>
  <si>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</si>
  <si>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</si>
  <si>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</si>
  <si>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</si>
  <si>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</si>
  <si>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g1</t>
  </si>
  <si>
    <t>g2</t>
  </si>
  <si>
    <t>a3</t>
  </si>
  <si>
    <t>a4</t>
  </si>
  <si>
    <t>samples</t>
  </si>
  <si>
    <t>b3</t>
  </si>
  <si>
    <t>b4</t>
  </si>
  <si>
    <t>c3</t>
  </si>
  <si>
    <t>c4</t>
  </si>
  <si>
    <t>d3</t>
  </si>
  <si>
    <t>d4</t>
  </si>
  <si>
    <t>e3</t>
  </si>
  <si>
    <t>e4</t>
  </si>
  <si>
    <t>f3</t>
  </si>
  <si>
    <t>f4</t>
  </si>
  <si>
    <t>g3</t>
  </si>
  <si>
    <t>g4</t>
  </si>
  <si>
    <t>h3</t>
  </si>
  <si>
    <t>h4</t>
  </si>
  <si>
    <t>a5</t>
  </si>
  <si>
    <t>a6</t>
  </si>
  <si>
    <t>b5</t>
  </si>
  <si>
    <t>b6</t>
  </si>
  <si>
    <t>c5</t>
  </si>
  <si>
    <t>c6</t>
  </si>
  <si>
    <t>d5</t>
  </si>
  <si>
    <t>d6</t>
  </si>
  <si>
    <t>e5</t>
  </si>
  <si>
    <t>e6</t>
  </si>
  <si>
    <t>f5</t>
  </si>
  <si>
    <t>f6</t>
  </si>
  <si>
    <t>g5</t>
  </si>
  <si>
    <t>g6</t>
  </si>
  <si>
    <t>h5</t>
  </si>
  <si>
    <t>h6</t>
  </si>
  <si>
    <t>copy and paste as value</t>
  </si>
  <si>
    <t>a7</t>
  </si>
  <si>
    <t>a8</t>
  </si>
  <si>
    <t>b7</t>
  </si>
  <si>
    <t>b8</t>
  </si>
  <si>
    <t>c7</t>
  </si>
  <si>
    <t>c8</t>
  </si>
  <si>
    <t>d7</t>
  </si>
  <si>
    <t>d8</t>
  </si>
  <si>
    <t>e7</t>
  </si>
  <si>
    <t>e8</t>
  </si>
  <si>
    <t>f7</t>
  </si>
  <si>
    <t>f8</t>
  </si>
  <si>
    <t>g7</t>
  </si>
  <si>
    <t>g8</t>
  </si>
  <si>
    <t>a9</t>
  </si>
  <si>
    <t>a10</t>
  </si>
  <si>
    <t>b9</t>
  </si>
  <si>
    <t>b10</t>
  </si>
  <si>
    <t>c9</t>
  </si>
  <si>
    <t>c10</t>
  </si>
  <si>
    <t>d9</t>
  </si>
  <si>
    <t>d10</t>
  </si>
  <si>
    <t>e9</t>
  </si>
  <si>
    <t>e10</t>
  </si>
  <si>
    <t>f9</t>
  </si>
  <si>
    <t>f10</t>
  </si>
  <si>
    <t>g9</t>
  </si>
  <si>
    <t>g10</t>
  </si>
  <si>
    <t>h9</t>
  </si>
  <si>
    <t>h10</t>
  </si>
  <si>
    <t>a11</t>
  </si>
  <si>
    <t>a12</t>
  </si>
  <si>
    <t>b11</t>
  </si>
  <si>
    <t>b12</t>
  </si>
  <si>
    <t>c11</t>
  </si>
  <si>
    <t>c12</t>
  </si>
  <si>
    <t>d11</t>
  </si>
  <si>
    <t>d12</t>
  </si>
  <si>
    <t>e11</t>
  </si>
  <si>
    <t>e12</t>
  </si>
  <si>
    <t>f11</t>
  </si>
  <si>
    <t>f12</t>
  </si>
  <si>
    <t>g11</t>
  </si>
  <si>
    <t>g12</t>
  </si>
  <si>
    <t>h11</t>
  </si>
  <si>
    <t>h12</t>
  </si>
  <si>
    <t>h7</t>
  </si>
  <si>
    <t>h8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</si>
  <si>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</si>
  <si>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</si>
  <si>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</si>
  <si>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</si>
  <si>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</si>
  <si>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</si>
  <si>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</si>
  <si>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</si>
  <si>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</si>
  <si>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</si>
  <si>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</si>
  <si>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</si>
  <si>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</si>
  <si>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</si>
  <si>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</si>
  <si>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</si>
  <si>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</si>
  <si>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</si>
  <si>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</si>
  <si>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</si>
  <si>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</si>
  <si>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</si>
  <si>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</si>
  <si>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</si>
  <si>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</si>
  <si>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</si>
  <si>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</si>
  <si>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</si>
  <si>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</si>
  <si>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</si>
  <si>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</si>
  <si>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</si>
  <si>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</si>
  <si>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</si>
  <si>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</si>
  <si>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</si>
  <si>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</si>
  <si>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</si>
  <si>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</si>
  <si>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</si>
  <si>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passage</t>
  </si>
  <si>
    <t>copy/paste from the protocol</t>
  </si>
  <si>
    <t>copy/paste from transfer sheet</t>
  </si>
  <si>
    <t>CT1</t>
  </si>
  <si>
    <t>CT2</t>
  </si>
  <si>
    <t>quantity1</t>
  </si>
  <si>
    <t>quantity2</t>
  </si>
  <si>
    <t>VPIII #14 p10</t>
  </si>
  <si>
    <t>1) 11.09.2017 / 02.05.2018</t>
  </si>
  <si>
    <t>VPIII #14 p50</t>
  </si>
  <si>
    <t>5) 11.09.2017 / 02.05.2018</t>
  </si>
  <si>
    <t>VPIII #14 p100</t>
  </si>
  <si>
    <t>4) 23.05.2018</t>
  </si>
  <si>
    <t>VPIII #14 p150</t>
  </si>
  <si>
    <t>3) 01.04.2019</t>
  </si>
  <si>
    <t>VPIII #14 p200</t>
  </si>
  <si>
    <t>2) 21.08.2019</t>
  </si>
  <si>
    <t>VPIII #14 p250</t>
  </si>
  <si>
    <t>1) 06.08.2020</t>
  </si>
  <si>
    <t>VPIII #14 p300</t>
  </si>
  <si>
    <t>6) 06.08.2020</t>
  </si>
  <si>
    <t>VPIII #14 p350</t>
  </si>
  <si>
    <t>2) 07.06.2021</t>
  </si>
  <si>
    <t>VPIII #14 p400</t>
  </si>
  <si>
    <t>1) 20.10.2021</t>
  </si>
  <si>
    <t>VPIII #14 p450</t>
  </si>
  <si>
    <t>3) 04.05.2022</t>
  </si>
  <si>
    <t>sample</t>
  </si>
  <si>
    <t>VPIII #15 p10</t>
  </si>
  <si>
    <t>1) 12.09.2017 / 03.05.2018</t>
  </si>
  <si>
    <t>VPIII #15 p50</t>
  </si>
  <si>
    <t>5) 12.09.2017 / 03.05.2018</t>
  </si>
  <si>
    <t>VPIII #15 p100</t>
  </si>
  <si>
    <t>4) 28.05.2018</t>
  </si>
  <si>
    <t>VPIII #15 p150</t>
  </si>
  <si>
    <t>3) 02.04.2019</t>
  </si>
  <si>
    <t>VPIII #15 p200</t>
  </si>
  <si>
    <t>2) 26.08.2019</t>
  </si>
  <si>
    <t>VPIII #15 p250</t>
  </si>
  <si>
    <t>1) 10.08.2020</t>
  </si>
  <si>
    <t>VPIII #15 p300</t>
  </si>
  <si>
    <t>6) 10.08.2020</t>
  </si>
  <si>
    <t>VPIII #15 p350</t>
  </si>
  <si>
    <t>2) 08.06.2021</t>
  </si>
  <si>
    <t>VPIII #15 p400</t>
  </si>
  <si>
    <t>1) 21.10.2021</t>
  </si>
  <si>
    <t>VPIII #15 p450</t>
  </si>
  <si>
    <t>3) 05.05.2022</t>
  </si>
  <si>
    <t>VPIII #16 p10</t>
  </si>
  <si>
    <t>1) 13.09.2017 / 07.05.2018</t>
  </si>
  <si>
    <t>VPIII #16 p50</t>
  </si>
  <si>
    <t>5) 13.09.2017 / 07.05.2018</t>
  </si>
  <si>
    <t>VPIII #16 p100</t>
  </si>
  <si>
    <t>VPIII #16 p150</t>
  </si>
  <si>
    <t>3) 03.04.2019/09.04.2019</t>
  </si>
  <si>
    <t>VPIII #16 p200</t>
  </si>
  <si>
    <t>2) 27.08.2019</t>
  </si>
  <si>
    <t>VPIII #16 p250</t>
  </si>
  <si>
    <t>1) 11.08.2020</t>
  </si>
  <si>
    <t>VPIII #16 p300</t>
  </si>
  <si>
    <t>6) 11.08.2020</t>
  </si>
  <si>
    <t>VPIII #16 p350</t>
  </si>
  <si>
    <t>2) 09.06.2021</t>
  </si>
  <si>
    <t>VPIII #16 p400</t>
  </si>
  <si>
    <t>1) 25.10.2021</t>
  </si>
  <si>
    <t>VPIII #16 p450</t>
  </si>
  <si>
    <t>3) 09.05.2022</t>
  </si>
  <si>
    <t>VPIII #13 p460</t>
  </si>
  <si>
    <t>4) 03.05.2022</t>
  </si>
  <si>
    <t>VPIII #13 p470</t>
  </si>
  <si>
    <t>5) 03.05.2022</t>
  </si>
  <si>
    <t>VPIII #13 p480</t>
  </si>
  <si>
    <t>6) 03.05.2022</t>
  </si>
  <si>
    <t>VPIII #13 p490</t>
  </si>
  <si>
    <t>1) 03.08.2022</t>
  </si>
  <si>
    <t>VPIII #13 p500</t>
  </si>
  <si>
    <t>2) 03.08.2022</t>
  </si>
  <si>
    <t>VPIII #13 p510</t>
  </si>
  <si>
    <t>3) 03.08.2022</t>
  </si>
  <si>
    <t>VPIII #13 p520</t>
  </si>
  <si>
    <t>VPIII #13 p530</t>
  </si>
  <si>
    <t>2) 21.03.2023</t>
  </si>
  <si>
    <t>VPIII #13 p540</t>
  </si>
  <si>
    <t>3) 21.03.2023</t>
  </si>
  <si>
    <t>VPIII #13 p550</t>
  </si>
  <si>
    <t>07.11.2022/12.12.2022</t>
  </si>
  <si>
    <t>4) 21.03.2023</t>
  </si>
  <si>
    <t>VPIII #14 p460</t>
  </si>
  <si>
    <t>4) 04.05.2022</t>
  </si>
  <si>
    <t>VPIII #14 p470</t>
  </si>
  <si>
    <t>5) 04.05.2022</t>
  </si>
  <si>
    <t>VPIII #14 p480</t>
  </si>
  <si>
    <t>6) 04.05.2022</t>
  </si>
  <si>
    <t>VPIII #14 p490</t>
  </si>
  <si>
    <t>1) 05.08.2022</t>
  </si>
  <si>
    <t>VPIII #14 p500</t>
  </si>
  <si>
    <t>2) 05.08.2022</t>
  </si>
  <si>
    <t>VPIII #14 p510</t>
  </si>
  <si>
    <t>3) 05.08.2022</t>
  </si>
  <si>
    <t>VPIII #14 p520</t>
  </si>
  <si>
    <t>1) 26.04.2023</t>
  </si>
  <si>
    <t>VPIII #14 p530</t>
  </si>
  <si>
    <t>2) 26.04.2023</t>
  </si>
  <si>
    <t>VPIII #14 p540</t>
  </si>
  <si>
    <t>3) 26.04.2023</t>
  </si>
  <si>
    <t>VPIII #14 p550</t>
  </si>
  <si>
    <t>4) 26.04.2023</t>
  </si>
  <si>
    <t>VPIII #15 p460</t>
  </si>
  <si>
    <t>4) 05.05.2022</t>
  </si>
  <si>
    <t>VPIII #15 p470</t>
  </si>
  <si>
    <t>5) 05.05.2022</t>
  </si>
  <si>
    <t>VPIII #15 p480</t>
  </si>
  <si>
    <t>6) 05.05.2022</t>
  </si>
  <si>
    <t>VPIII #15 p490</t>
  </si>
  <si>
    <t>1) 08.08.2022</t>
  </si>
  <si>
    <t>VPIII #15 p500</t>
  </si>
  <si>
    <t>2) 08.08.2022</t>
  </si>
  <si>
    <t>VPIII #15 p510</t>
  </si>
  <si>
    <t>3) 08.08.2022</t>
  </si>
  <si>
    <t>VPIII #15 p520</t>
  </si>
  <si>
    <t>1) 01.05.2023</t>
  </si>
  <si>
    <t>VPIII #15 p530</t>
  </si>
  <si>
    <t>2) 01.05.2023</t>
  </si>
  <si>
    <t>VPIII #15 p540</t>
  </si>
  <si>
    <t>3) 01.05.2023</t>
  </si>
  <si>
    <t>VPIII #15 p550</t>
  </si>
  <si>
    <t>4) 01.05.2023</t>
  </si>
  <si>
    <t>VPIII #15 p560</t>
  </si>
  <si>
    <t>VPIII #13 p560</t>
  </si>
  <si>
    <t>5) 21.03.2023</t>
  </si>
  <si>
    <t>VPIII #15 p570</t>
  </si>
  <si>
    <t>5) 01.05.2023</t>
  </si>
  <si>
    <t>VPIII #16 p460</t>
  </si>
  <si>
    <t>4) 09.05.2022</t>
  </si>
  <si>
    <t>VPIII #16 p470</t>
  </si>
  <si>
    <t>5) 09.05.2022</t>
  </si>
  <si>
    <t>VPIII #16 p480</t>
  </si>
  <si>
    <t>6) 09.05.2022</t>
  </si>
  <si>
    <t>VPIII #16 p490</t>
  </si>
  <si>
    <t>1) 09.08.2022</t>
  </si>
  <si>
    <t>VPIII #16 p500</t>
  </si>
  <si>
    <t>2) 09.08.2022</t>
  </si>
  <si>
    <t>VPIII #16 p510</t>
  </si>
  <si>
    <t>3) 09.08.2022</t>
  </si>
  <si>
    <t>VPIII #16 p520</t>
  </si>
  <si>
    <t>1) 08.05.2023</t>
  </si>
  <si>
    <t>VPIII #16 p530</t>
  </si>
  <si>
    <t>2) 08.05.2023</t>
  </si>
  <si>
    <t>VPIII #16 p540</t>
  </si>
  <si>
    <t>3) 08.05.2023</t>
  </si>
  <si>
    <t>VPIII #16 p550</t>
  </si>
  <si>
    <t>4) 08.05.2022</t>
  </si>
  <si>
    <t>6) 21.03.2023</t>
  </si>
  <si>
    <t>VPIII #13 p570</t>
  </si>
  <si>
    <t>VPIII #14 p560</t>
  </si>
  <si>
    <t>5) 26.04.2023</t>
  </si>
  <si>
    <t>VPIII #14 p570</t>
  </si>
  <si>
    <t>6) 26.04.2023</t>
  </si>
  <si>
    <t>VPIII #16 p560</t>
  </si>
  <si>
    <t>4) 08.05.2023</t>
  </si>
  <si>
    <t>VPIII #16 p570</t>
  </si>
  <si>
    <t>5) 08.05.2023</t>
  </si>
  <si>
    <t>1) 20.09.2017</t>
  </si>
  <si>
    <t>5) 20.09.2017</t>
  </si>
  <si>
    <t>4) 04.06.2018</t>
  </si>
  <si>
    <t>3)  15.04.2019</t>
  </si>
  <si>
    <t>2) 28.08.2019</t>
  </si>
  <si>
    <t>1)  17.08.2020</t>
  </si>
  <si>
    <t>6)  17.08.2020</t>
  </si>
  <si>
    <t>2) 16.06.2021</t>
  </si>
  <si>
    <t>2)  26.10.2021</t>
  </si>
  <si>
    <t>3) 04.07.2022</t>
  </si>
  <si>
    <t>1) 23.10.2017</t>
  </si>
  <si>
    <t>VPIII #18 p50</t>
  </si>
  <si>
    <t>5) 23.10.2017</t>
  </si>
  <si>
    <t>4) 05.06.2018</t>
  </si>
  <si>
    <t>3)  16.04.2019</t>
  </si>
  <si>
    <t>2) 02.09.2019</t>
  </si>
  <si>
    <t>1) 18.08.2020</t>
  </si>
  <si>
    <t>6) 18.08.2020</t>
  </si>
  <si>
    <t>2) 21.06.2021</t>
  </si>
  <si>
    <t>2)  27.10.2021</t>
  </si>
  <si>
    <t>3)05.07.2022</t>
  </si>
  <si>
    <t>1) 25.10.2017</t>
  </si>
  <si>
    <t>VPIII #19 p50</t>
  </si>
  <si>
    <t>5) 25.10.2017</t>
  </si>
  <si>
    <t>4) 11.06.2018</t>
  </si>
  <si>
    <t>VPIII #19 p190</t>
  </si>
  <si>
    <t>3) 17.04.2019</t>
  </si>
  <si>
    <t>2)  03.09.2019</t>
  </si>
  <si>
    <t>1) 19.08.2020</t>
  </si>
  <si>
    <t>6)  19.08.2020</t>
  </si>
  <si>
    <t>2) 22.06.2021</t>
  </si>
  <si>
    <t>2) 15.11.2021</t>
  </si>
  <si>
    <t>3) 06.07.2022</t>
  </si>
  <si>
    <t>1) 26.10.2017</t>
  </si>
  <si>
    <t>4) 12.06.2018</t>
  </si>
  <si>
    <t>3) 29.04.2019</t>
  </si>
  <si>
    <t>2) 30.09.2019</t>
  </si>
  <si>
    <t>1) 20.09.2020</t>
  </si>
  <si>
    <t>6) 20.09.2020</t>
  </si>
  <si>
    <t>2)  23.06.2021</t>
  </si>
  <si>
    <t>2) 17.11.2021</t>
  </si>
  <si>
    <t>3) 11.07.2022</t>
  </si>
  <si>
    <t>4) 04.07.2022</t>
  </si>
  <si>
    <t>5) 04.07.2022</t>
  </si>
  <si>
    <t>6) 04.07.2022</t>
  </si>
  <si>
    <t>1) 15.08.2022</t>
  </si>
  <si>
    <t>2) 15.08.2022</t>
  </si>
  <si>
    <t>3)15.08.2022</t>
  </si>
  <si>
    <t>1) 06.08.2023</t>
  </si>
  <si>
    <t>2) 06.08.2023</t>
  </si>
  <si>
    <t>3) 06.08.2023</t>
  </si>
  <si>
    <t>4) 06.08.2023</t>
  </si>
  <si>
    <t>4) 05.07.2022</t>
  </si>
  <si>
    <t>5) 05.07.2022</t>
  </si>
  <si>
    <t>6) 05.07.2022</t>
  </si>
  <si>
    <t>1) 15.08.2023</t>
  </si>
  <si>
    <t>2) 15.08.2023</t>
  </si>
  <si>
    <t>3) 15.08.2023</t>
  </si>
  <si>
    <t>4) 15.08.2023</t>
  </si>
  <si>
    <t>4) 06.07.2022</t>
  </si>
  <si>
    <t>5) 06.07.2022</t>
  </si>
  <si>
    <t>6) 06.07.2022</t>
  </si>
  <si>
    <t>1) 16.08.2022</t>
  </si>
  <si>
    <t>2) 16.08.2022</t>
  </si>
  <si>
    <t>3)16.08.2022</t>
  </si>
  <si>
    <t>1) 17.08.2023</t>
  </si>
  <si>
    <t>2) 17.08.2023</t>
  </si>
  <si>
    <t>3) 17.08.2023</t>
  </si>
  <si>
    <t>4) 17.08.2023</t>
  </si>
  <si>
    <t>4) 11.07.2022</t>
  </si>
  <si>
    <t>5) 11.07.2022</t>
  </si>
  <si>
    <t>6) 11.07.2022</t>
  </si>
  <si>
    <t>1) 29.08.2023</t>
  </si>
  <si>
    <t>2) 29.08.2023</t>
  </si>
  <si>
    <t>3) 29.08.2023</t>
  </si>
  <si>
    <t>4) 29.08.2023</t>
  </si>
  <si>
    <t>1) 12.10.2023</t>
  </si>
  <si>
    <t>2) 12.10.2023</t>
  </si>
  <si>
    <t>3) 12.10.2023</t>
  </si>
  <si>
    <t>4) 12.10.2023</t>
  </si>
  <si>
    <t>5) 12.10.2023</t>
  </si>
  <si>
    <t>6) 12.10.2023</t>
  </si>
  <si>
    <t>1) 17.10.2023</t>
  </si>
  <si>
    <t>2) 17.10.2023</t>
  </si>
  <si>
    <t>3) 17.10.2023</t>
  </si>
  <si>
    <t>4) 17.10.2023</t>
  </si>
  <si>
    <t>5) 17.10.2023</t>
  </si>
  <si>
    <t>6) 17.10.2023</t>
  </si>
  <si>
    <t>4) 01.05.2022</t>
  </si>
  <si>
    <t>5) 01.05.2022</t>
  </si>
  <si>
    <t>1) 19.10.2023</t>
  </si>
  <si>
    <t>2) 19.10.2023</t>
  </si>
  <si>
    <t>3) 19.10.2023</t>
  </si>
  <si>
    <t>4) 19.10.2023</t>
  </si>
  <si>
    <t>5) 19.10.2023</t>
  </si>
  <si>
    <t>6) 19.10.2023</t>
  </si>
  <si>
    <t>5) 08.05.2022</t>
  </si>
  <si>
    <t>1) 06.10.2023</t>
  </si>
  <si>
    <t>2) 06.10.2023</t>
  </si>
  <si>
    <t>3) 06.10.2023</t>
  </si>
  <si>
    <t>4) 06.10.2023</t>
  </si>
  <si>
    <t>5) 06.10.2023</t>
  </si>
  <si>
    <t>6) 06.10.2023</t>
  </si>
  <si>
    <t xml:space="preserve">VPI 3) MT2 low p10 </t>
  </si>
  <si>
    <t xml:space="preserve">VPI 4) MT2 low p10 </t>
  </si>
  <si>
    <t>VPI 3) MT4 low p10</t>
  </si>
  <si>
    <t>VPI 4) MT4 low p10</t>
  </si>
  <si>
    <t>VPI 3) MT2 low p30</t>
  </si>
  <si>
    <t>VPI 4) MT2 low p30</t>
  </si>
  <si>
    <t>VPI 3) MT4 low p30</t>
  </si>
  <si>
    <t>VPI 4) MT4 low p30</t>
  </si>
  <si>
    <t>VPI 3) MT2 low p50</t>
  </si>
  <si>
    <t>VPI 4) MT2 low p50</t>
  </si>
  <si>
    <t>VPI 3) MT4 low p50</t>
  </si>
  <si>
    <t>VPI 4) MT4 low p50</t>
  </si>
  <si>
    <t xml:space="preserve">VPI 3) MT2 low p70 </t>
  </si>
  <si>
    <t xml:space="preserve">VPI 4) MT2 low p70 </t>
  </si>
  <si>
    <t>VPI 3) MT4 low p70</t>
  </si>
  <si>
    <t>VPI 4) MT4 low p70</t>
  </si>
  <si>
    <t>VPI 3) MT2 low p90</t>
  </si>
  <si>
    <t>VPI 4) MT2 low p90</t>
  </si>
  <si>
    <t>VPI 3) MT4 low p90</t>
  </si>
  <si>
    <t>VPI 4) MT4 low p90</t>
  </si>
  <si>
    <t>VPI 3) MT2 low p110</t>
  </si>
  <si>
    <t>VPI 4) MT2 low p110</t>
  </si>
  <si>
    <t>VPI 3) MT4 low p110</t>
  </si>
  <si>
    <t>VPI 4) MT4 low p110</t>
  </si>
  <si>
    <t xml:space="preserve">VPI 3) MT2 low p20 </t>
  </si>
  <si>
    <t xml:space="preserve">VPI 4) MT2 low p20 </t>
  </si>
  <si>
    <t>VPI 3) MT4 low p20</t>
  </si>
  <si>
    <t>VPI 4) MT4 low p20</t>
  </si>
  <si>
    <t>VPI 3) MT2 low p40</t>
  </si>
  <si>
    <t>VPI 4) MT2 low p40</t>
  </si>
  <si>
    <t>VPI 3) MT4 low p40</t>
  </si>
  <si>
    <t>VPI 4) MT4 low p40</t>
  </si>
  <si>
    <t>VPI 3) MT2 low p60</t>
  </si>
  <si>
    <t>VPI 4) MT2 low p60</t>
  </si>
  <si>
    <t>VPI 3) MT4 low p60</t>
  </si>
  <si>
    <t>VPI 4) MT4 low p60</t>
  </si>
  <si>
    <t>pol 3206rc + pol 2981</t>
  </si>
  <si>
    <t xml:space="preserve"> 1:1000</t>
  </si>
  <si>
    <t>VPI 3) MT2 low p80</t>
  </si>
  <si>
    <t>VPI 4) MT2 low p80</t>
  </si>
  <si>
    <t>VPI 3) MT4 low p80</t>
  </si>
  <si>
    <t>VPI 4) MT4 low p80</t>
  </si>
  <si>
    <t>VPI 3) MT2 low p100</t>
  </si>
  <si>
    <t>VPI 4) MT2 low p100</t>
  </si>
  <si>
    <t>VPI 3) MT4 low p100</t>
  </si>
  <si>
    <t>VPI 4) MT4 low p100</t>
  </si>
  <si>
    <t>VPI 3) MT2 low p120</t>
  </si>
  <si>
    <t>VPI 4) MT2 low p120</t>
  </si>
  <si>
    <t>VPI 3) MT4 low p120</t>
  </si>
  <si>
    <t>VPI 4) MT4 low p120</t>
  </si>
  <si>
    <t>VPI 3) MT2 low p130</t>
  </si>
  <si>
    <t>VPI 4) MT2 low p130</t>
  </si>
  <si>
    <t>VPI 3) MT4 low p130</t>
  </si>
  <si>
    <t>VPI 4) MT4 low p130</t>
  </si>
  <si>
    <t>VPI 3) MT2 low p150</t>
  </si>
  <si>
    <t>VPI 4) MT2 low p150</t>
  </si>
  <si>
    <t>VPI 3) MT4 low p150</t>
  </si>
  <si>
    <t>VPI 4) MT4 low p150</t>
  </si>
  <si>
    <t>VPI 3) MT2 low p170</t>
  </si>
  <si>
    <t>VPI 4) MT2 low p170</t>
  </si>
  <si>
    <t>VPI 3) MT4 low p170</t>
  </si>
  <si>
    <t>VPI 4) MT4 low p170</t>
  </si>
  <si>
    <t>VPI 3) MT2 low p140</t>
  </si>
  <si>
    <t>VPI 4) MT2 low p140</t>
  </si>
  <si>
    <t>VPI 3) MT4 low p140</t>
  </si>
  <si>
    <t>VPI 4) MT4 low p140</t>
  </si>
  <si>
    <t>VPI 3) MT2 low p160</t>
  </si>
  <si>
    <t>VPI 4) MT2 low p160</t>
  </si>
  <si>
    <t>VPI 3) MT4 low p160</t>
  </si>
  <si>
    <t>VPI 4) MT4 low p160</t>
  </si>
  <si>
    <t>VPI 3) MT2 low p180</t>
  </si>
  <si>
    <t>VPI 4) MT2 low p180</t>
  </si>
  <si>
    <t>VPI 3) MT4 low p180</t>
  </si>
  <si>
    <t>VPI 4) MT4 low p180</t>
  </si>
  <si>
    <t>VPI</t>
  </si>
  <si>
    <t>SD</t>
  </si>
  <si>
    <t>Block Type</t>
  </si>
  <si>
    <t>96alum</t>
  </si>
  <si>
    <t>Chemistry</t>
  </si>
  <si>
    <t>SYBR_GREEN</t>
  </si>
  <si>
    <t>Experiment File Name</t>
  </si>
  <si>
    <t>Z:\INF_FL_Labor\0_Karin_lab\Christine\2013 virus passaging\qPCR_Titers\RUN Files\20240701_VPIII14_p20-440.eds</t>
  </si>
  <si>
    <t>2024-07-01 14:08:57 PM MESZ</t>
  </si>
  <si>
    <t>Instrument Type</t>
  </si>
  <si>
    <t>sds7500</t>
  </si>
  <si>
    <t>Passive Reference</t>
  </si>
  <si>
    <t>ROX</t>
  </si>
  <si>
    <t>Z:\INF_FL_Labor\0_Karin_lab\Christine\2013 virus passaging\qPCR_Titers\RUN Files\20240701_VPIII15_p20-440.eds</t>
  </si>
  <si>
    <t>2024-07-01 16:59:22 PM MESZ</t>
  </si>
  <si>
    <t>Z:\INF_FL_Labor\0_Karin_lab\Christine\2013 virus passaging\qPCR_Titers\RUN Files\20240701_VPIII16_p20-440.eds</t>
  </si>
  <si>
    <t>2024-07-01 19:42:40 PM MESZ</t>
  </si>
  <si>
    <t>Z:\INF_FL_Labor\0_Karin_lab\Christine\2013 virus passaging\qPCR_Titers\RUN Files\20240702_VPIV17_p20-440.eds</t>
  </si>
  <si>
    <t>2024-07-02 14:00:03 PM MESZ</t>
  </si>
  <si>
    <t>Z:\INF_FL_Labor\0_Karin_lab\Christine\2013 virus passaging\qPCR_Titers\RUN Files\20240704_VPIII13_p20-440_VPIII16_p340_370.eds</t>
  </si>
  <si>
    <t>2024-07-04 12:24:23 PM MESZ</t>
  </si>
  <si>
    <t>VPIII16p340</t>
  </si>
  <si>
    <t>VPIII16p360</t>
  </si>
  <si>
    <t>VPIII16p370</t>
  </si>
  <si>
    <t>Z:\INF_FL_Labor\0_Karin_lab\Christine\2013 virus passaging\qPCR_Titers\RUN Files\20240702_VPIV18_p20-440.eds</t>
  </si>
  <si>
    <t>2024-07-02 16:52:33 PM MESZ</t>
  </si>
  <si>
    <t>Z:\INF_FL_Labor\0_Karin_lab\Christine\2013 virus passaging\qPCR_Titers\RUN Files\20240702_VPIV19_p20-440.eds</t>
  </si>
  <si>
    <t>2024-07-02 19:34:02 PM MESZ</t>
  </si>
  <si>
    <t>Z:\INF_FL_Labor\0_Karin_lab\Christine\2013 virus passaging\qPCR_Titers\RUN Files\20240704_VPIV20_p20-440_VPIII16_p380_390.eds</t>
  </si>
  <si>
    <t>2024-07-04 16:30:16 PM MESZ</t>
  </si>
  <si>
    <t>VPIII16p380</t>
  </si>
  <si>
    <t>vpIII16p390</t>
  </si>
  <si>
    <t>6) 23.10.2017</t>
  </si>
  <si>
    <t>6) 25.10.2017</t>
  </si>
  <si>
    <t>6) 26.10.2017</t>
  </si>
  <si>
    <t>VPIII #13 p20</t>
  </si>
  <si>
    <t>VPIII #13 p30</t>
  </si>
  <si>
    <t>VPIII #13 p40</t>
  </si>
  <si>
    <t>VPIII #13 p60</t>
  </si>
  <si>
    <t>VPIII #13 p70</t>
  </si>
  <si>
    <t>VPIII #13 p80</t>
  </si>
  <si>
    <t>VPIII #13 p90</t>
  </si>
  <si>
    <t>VPIII #13 p110</t>
  </si>
  <si>
    <t>2) 01.05.2018</t>
  </si>
  <si>
    <t>3) 01.05.2018</t>
  </si>
  <si>
    <t>4) 01.05.2018</t>
  </si>
  <si>
    <t>6) 01.05.2018</t>
  </si>
  <si>
    <t>1) 22.05.2018</t>
  </si>
  <si>
    <t>2) 22.05.2018</t>
  </si>
  <si>
    <t>3) 22.05.2018</t>
  </si>
  <si>
    <t>5) 22.05.2018</t>
  </si>
  <si>
    <t>VPIII #13 p120</t>
  </si>
  <si>
    <t>6) 22.05.2018</t>
  </si>
  <si>
    <t>VPIII #13 p130</t>
  </si>
  <si>
    <t>1) 26.03.2019</t>
  </si>
  <si>
    <t>VPIII #13 p140</t>
  </si>
  <si>
    <t>2) 26.03.2019</t>
  </si>
  <si>
    <t>VPIII #13 p160</t>
  </si>
  <si>
    <t>4) 26.03.2019</t>
  </si>
  <si>
    <t>VPIII #13 p170</t>
  </si>
  <si>
    <t>5) 26.03.2019</t>
  </si>
  <si>
    <t>VPIII #13 p180</t>
  </si>
  <si>
    <t>6) 26.03.2019</t>
  </si>
  <si>
    <t>VPIII #13 p190</t>
  </si>
  <si>
    <t>1) 20.08.2019</t>
  </si>
  <si>
    <t>VPIII #13 p210</t>
  </si>
  <si>
    <t>3) 20.08.2019</t>
  </si>
  <si>
    <t>VPIII #13 p220</t>
  </si>
  <si>
    <t>4) 20.08.2019</t>
  </si>
  <si>
    <t>VPIII #13 p230</t>
  </si>
  <si>
    <t>5) 20.08.2019</t>
  </si>
  <si>
    <t>VPIII #13 p240</t>
  </si>
  <si>
    <t>6) 20.08.2019</t>
  </si>
  <si>
    <t>VPIII #13 p260</t>
  </si>
  <si>
    <t>2) 05.08.2020</t>
  </si>
  <si>
    <t>VPIII #13 p270</t>
  </si>
  <si>
    <t>3) 05.08.2020</t>
  </si>
  <si>
    <t>VPIII #13 p280</t>
  </si>
  <si>
    <t>4) 05.08.2020</t>
  </si>
  <si>
    <t>VPIII #13 p290</t>
  </si>
  <si>
    <t>5) 05.08.2020</t>
  </si>
  <si>
    <t>VPIII #13 p310</t>
  </si>
  <si>
    <t>1) 23.09.2020</t>
  </si>
  <si>
    <t>VPIII #13 p320</t>
  </si>
  <si>
    <t>2) 23.09.2020</t>
  </si>
  <si>
    <t>VPIII #13 p330</t>
  </si>
  <si>
    <t>3) 23.09.2020</t>
  </si>
  <si>
    <t>VPIII #13 p340</t>
  </si>
  <si>
    <t>1) 01.06.2021</t>
  </si>
  <si>
    <t>VPIII #13 p360</t>
  </si>
  <si>
    <t>3) 01.06.2021</t>
  </si>
  <si>
    <t>VPIII #13 p370</t>
  </si>
  <si>
    <t>4) 01.06.2021</t>
  </si>
  <si>
    <t>VPIII #13 p380</t>
  </si>
  <si>
    <t>5) 01.06.2021</t>
  </si>
  <si>
    <t>VPIII #13 p390</t>
  </si>
  <si>
    <t>6) 01.06.2021</t>
  </si>
  <si>
    <t>VPIII #13 p410</t>
  </si>
  <si>
    <t>2) 19.10.2021</t>
  </si>
  <si>
    <t>VPIII #13 p420</t>
  </si>
  <si>
    <t>3) 19.10.2021</t>
  </si>
  <si>
    <t>VPIII #13 p430</t>
  </si>
  <si>
    <t>1) 03.05.2022</t>
  </si>
  <si>
    <t>VPIII #13 p440</t>
  </si>
  <si>
    <t>2)03.05.2022</t>
  </si>
  <si>
    <t>VPIII #16 p340</t>
  </si>
  <si>
    <t>1) 14.06.2021rep</t>
  </si>
  <si>
    <t>VPIII #16 p360</t>
  </si>
  <si>
    <t>3) 14.06.2021rep</t>
  </si>
  <si>
    <t>VPIII #16 p370</t>
  </si>
  <si>
    <t>4) 14.06.2021rep</t>
  </si>
  <si>
    <t>VPIII #14 p20</t>
  </si>
  <si>
    <t>2) 02.05.2024</t>
  </si>
  <si>
    <t>VPIII #14 p30</t>
  </si>
  <si>
    <t>3) 02.05.2024</t>
  </si>
  <si>
    <t>VPIII #14 p40</t>
  </si>
  <si>
    <t>4) 02.05.2024</t>
  </si>
  <si>
    <t>VPIII #14 p60</t>
  </si>
  <si>
    <t>6) 02.05.2024</t>
  </si>
  <si>
    <t>VPIII #14 p70</t>
  </si>
  <si>
    <t>1) 23.05.2018</t>
  </si>
  <si>
    <t>VPIII #14 p80</t>
  </si>
  <si>
    <t>2) 23.05.2018</t>
  </si>
  <si>
    <t>VPIII #14 p90</t>
  </si>
  <si>
    <t>3) 23.05.2018</t>
  </si>
  <si>
    <t>VPIII #14 p110</t>
  </si>
  <si>
    <t>5) 23.05.2018</t>
  </si>
  <si>
    <t>VPIII #14 p120</t>
  </si>
  <si>
    <t>6) 23.05.2018</t>
  </si>
  <si>
    <t>VPIII #14 p130</t>
  </si>
  <si>
    <t>1) 01.04.2019</t>
  </si>
  <si>
    <t>VPIII #14 p140</t>
  </si>
  <si>
    <t>2) 01.04.2019</t>
  </si>
  <si>
    <t>VPIII #14 p160</t>
  </si>
  <si>
    <t>4) 01.04.2019</t>
  </si>
  <si>
    <t>VPIII #14 p170</t>
  </si>
  <si>
    <t>5) 01.04.2019</t>
  </si>
  <si>
    <t>VPIII #14 p180</t>
  </si>
  <si>
    <t>6) 01.04.2019</t>
  </si>
  <si>
    <t>VPIII #14 p190</t>
  </si>
  <si>
    <t>1) 21.08.2019</t>
  </si>
  <si>
    <t>VPIII #14 p210</t>
  </si>
  <si>
    <t>3) 21.08.2019</t>
  </si>
  <si>
    <t>VPIII #14 p220</t>
  </si>
  <si>
    <t>4) 21.08.2019</t>
  </si>
  <si>
    <t>VPIII #14 p230</t>
  </si>
  <si>
    <t>5) 21.08.2019</t>
  </si>
  <si>
    <t>VPIII #14 p240</t>
  </si>
  <si>
    <t>6) 21.08.2019</t>
  </si>
  <si>
    <t>VPIII #14 p260</t>
  </si>
  <si>
    <t>2) 06.08.2020</t>
  </si>
  <si>
    <t>VPIII #14 p270</t>
  </si>
  <si>
    <t>3) 06.08.2020</t>
  </si>
  <si>
    <t>VPIII #14 p280</t>
  </si>
  <si>
    <t>4) 06.08.2020</t>
  </si>
  <si>
    <t>VPIII #14 p290</t>
  </si>
  <si>
    <t>5) 06.08.2020</t>
  </si>
  <si>
    <t>VPIII #14 p310</t>
  </si>
  <si>
    <t>1) 24.09.2020</t>
  </si>
  <si>
    <t>VPIII #14 p320</t>
  </si>
  <si>
    <t>2) 24.09.2020</t>
  </si>
  <si>
    <t>VPIII #14 p330</t>
  </si>
  <si>
    <t>3) 24.09.2020</t>
  </si>
  <si>
    <t>VPIII #14 p340</t>
  </si>
  <si>
    <t>1) 07.06.2021</t>
  </si>
  <si>
    <t>VPIII #14 p360</t>
  </si>
  <si>
    <t>3) 07.06.2021</t>
  </si>
  <si>
    <t>VPIII #14 p370</t>
  </si>
  <si>
    <t>4) 07.06.2021</t>
  </si>
  <si>
    <t>VPIII #14 p380</t>
  </si>
  <si>
    <t>5) 07.06.2021</t>
  </si>
  <si>
    <t>VPIII #14 p390</t>
  </si>
  <si>
    <t>6) 07.06.2021</t>
  </si>
  <si>
    <t>VPIII #14 p410</t>
  </si>
  <si>
    <t>2) 20.10.2021</t>
  </si>
  <si>
    <t>VPIII #14 p420</t>
  </si>
  <si>
    <t>3) 20.10.2021</t>
  </si>
  <si>
    <t>VPIII #14 p430</t>
  </si>
  <si>
    <t>1) 04.05.2022</t>
  </si>
  <si>
    <t>VPIII #14 p440</t>
  </si>
  <si>
    <t>2) 04.05.2022</t>
  </si>
  <si>
    <t>VPIII #15 p20</t>
  </si>
  <si>
    <t>2) 03.05.2024</t>
  </si>
  <si>
    <t>VPIII #15 p30</t>
  </si>
  <si>
    <t>3) 03.05.2024</t>
  </si>
  <si>
    <t>VPIII #15 p40</t>
  </si>
  <si>
    <t>4) 03.05.2024</t>
  </si>
  <si>
    <t>VPIII #15 p60</t>
  </si>
  <si>
    <t>6) 03.05.2024</t>
  </si>
  <si>
    <t>VPIII #15 p70</t>
  </si>
  <si>
    <t>1) 28.05.2018</t>
  </si>
  <si>
    <t>VPIII #15 p80</t>
  </si>
  <si>
    <t>2) 28.05.2018</t>
  </si>
  <si>
    <t>VPIII #15 p90</t>
  </si>
  <si>
    <t>3) 28.05.2018</t>
  </si>
  <si>
    <t>VPIII #15 p110</t>
  </si>
  <si>
    <t>5) 28.05.2018</t>
  </si>
  <si>
    <t>VPIII #15 p120</t>
  </si>
  <si>
    <t>6) 28.05.2018</t>
  </si>
  <si>
    <t>VPIII #15 p130</t>
  </si>
  <si>
    <t>1) 02.04.2019</t>
  </si>
  <si>
    <t>VPIII #15 p140</t>
  </si>
  <si>
    <t>2) 02.04.2019</t>
  </si>
  <si>
    <t>VPIII #15 p160</t>
  </si>
  <si>
    <t>4) 02.04.2019</t>
  </si>
  <si>
    <t>VPIII #15 p170</t>
  </si>
  <si>
    <t>5) 02.04.2019</t>
  </si>
  <si>
    <t>VPIII #15 p180</t>
  </si>
  <si>
    <t>6) 02.04.2019</t>
  </si>
  <si>
    <t>VPIII #15 p190</t>
  </si>
  <si>
    <t>1) 26.08.2019</t>
  </si>
  <si>
    <t>VPIII #15 p210</t>
  </si>
  <si>
    <t>3) 26.08.2019</t>
  </si>
  <si>
    <t>VPIII #15 p220</t>
  </si>
  <si>
    <t>4) 26.08.2019</t>
  </si>
  <si>
    <t>VPIII #15 p230</t>
  </si>
  <si>
    <t>5) 26.08.2019</t>
  </si>
  <si>
    <t>VPIII #15 p240</t>
  </si>
  <si>
    <t>6) 26.08.2019</t>
  </si>
  <si>
    <t>VPIII #15 p260</t>
  </si>
  <si>
    <t>2) 10.08.2020</t>
  </si>
  <si>
    <t>VPIII #15 p270</t>
  </si>
  <si>
    <t>3) 10.08.2020</t>
  </si>
  <si>
    <t>VPIII #15 p280</t>
  </si>
  <si>
    <t>4) 10.08.2020</t>
  </si>
  <si>
    <t>VPIII #15 p290</t>
  </si>
  <si>
    <t>5) 10.08.2020</t>
  </si>
  <si>
    <t>VPIII #15 p310</t>
  </si>
  <si>
    <t>1) 28.09.2020</t>
  </si>
  <si>
    <t>VPIII #15 p320</t>
  </si>
  <si>
    <t>2) 28.09.2020</t>
  </si>
  <si>
    <t>VPIII #15 p330</t>
  </si>
  <si>
    <t>3) 28.09.2020</t>
  </si>
  <si>
    <t>VPIII #15 p340</t>
  </si>
  <si>
    <t>1) 08.06.2021</t>
  </si>
  <si>
    <t>VPIII #15 p360</t>
  </si>
  <si>
    <t>3) 08.06.2021</t>
  </si>
  <si>
    <t>VPIII #15 p370</t>
  </si>
  <si>
    <t>4) 08.06.2021</t>
  </si>
  <si>
    <t>VPIII #15 p380</t>
  </si>
  <si>
    <t>5) 08.06.2021</t>
  </si>
  <si>
    <t>VPIII #15 p390</t>
  </si>
  <si>
    <t>6) 08.06.2021</t>
  </si>
  <si>
    <t>VPIII #15 p410</t>
  </si>
  <si>
    <t>2)21.10.2021</t>
  </si>
  <si>
    <t>VPIII #15 p420</t>
  </si>
  <si>
    <t>3)21.10.2021</t>
  </si>
  <si>
    <t>VPIII #15 p430</t>
  </si>
  <si>
    <t>1) 05.05.2022</t>
  </si>
  <si>
    <t>VPIII #15 p440</t>
  </si>
  <si>
    <t>2) 05.05.2022</t>
  </si>
  <si>
    <t>VPIII #16 p20</t>
  </si>
  <si>
    <t>2) 07.05.2024</t>
  </si>
  <si>
    <t>VPIII #16 p30</t>
  </si>
  <si>
    <t>3) 07.05.2024</t>
  </si>
  <si>
    <t>VPIII #16 p40</t>
  </si>
  <si>
    <t>4) 07.05.2024</t>
  </si>
  <si>
    <t>VPIII #16 p60</t>
  </si>
  <si>
    <t>6) 07.05.2024</t>
  </si>
  <si>
    <t>VPIII #16 p70</t>
  </si>
  <si>
    <t>1) 29.05.2018</t>
  </si>
  <si>
    <t>VPIII #16 p80</t>
  </si>
  <si>
    <t>2) 29.05.2018</t>
  </si>
  <si>
    <t>VPIII #16 p90</t>
  </si>
  <si>
    <t>3) 29.05.2018</t>
  </si>
  <si>
    <t>VPIII #16 p110</t>
  </si>
  <si>
    <t>5) 29.05.2018</t>
  </si>
  <si>
    <t>VPIII #16 p120</t>
  </si>
  <si>
    <t>6) 29.05.2018</t>
  </si>
  <si>
    <t>VPIII #16 p130</t>
  </si>
  <si>
    <t>1) 03.04.2019</t>
  </si>
  <si>
    <t>VPIII #16 p140</t>
  </si>
  <si>
    <t>2) 03.04.2019</t>
  </si>
  <si>
    <t>VPIII #16 p160</t>
  </si>
  <si>
    <t>4) 03.04.2019</t>
  </si>
  <si>
    <t>VPIII #16 p170</t>
  </si>
  <si>
    <t>5) 03.04.2019</t>
  </si>
  <si>
    <t>VPIII #16 p180</t>
  </si>
  <si>
    <t>6) 03.04.2019</t>
  </si>
  <si>
    <t>VPIII #16 p190</t>
  </si>
  <si>
    <t>1) 27.08.2019</t>
  </si>
  <si>
    <t>VPIII #16 p210</t>
  </si>
  <si>
    <t>3) 27.08.2019</t>
  </si>
  <si>
    <t>VPIII #16 p220</t>
  </si>
  <si>
    <t>4) 27.08.2019</t>
  </si>
  <si>
    <t>VPIII #16 p230</t>
  </si>
  <si>
    <t>5) 27.08.2019</t>
  </si>
  <si>
    <t>VPIII #16 p240</t>
  </si>
  <si>
    <t>6) 27.08.2019</t>
  </si>
  <si>
    <t>VPIII #16 p260</t>
  </si>
  <si>
    <t>2) 11.08.2020</t>
  </si>
  <si>
    <t>VPIII #16 p270</t>
  </si>
  <si>
    <t>3) 11.08.2020</t>
  </si>
  <si>
    <t>VPIII #16 p280</t>
  </si>
  <si>
    <t>4) 11.08.2020</t>
  </si>
  <si>
    <t>VPIII #16 p290</t>
  </si>
  <si>
    <t>5) 11.08.2020</t>
  </si>
  <si>
    <t>VPIII #16 p310</t>
  </si>
  <si>
    <t>1) 29.09.2020</t>
  </si>
  <si>
    <t>VPIII #16 p320</t>
  </si>
  <si>
    <t>2) 29.09.2020</t>
  </si>
  <si>
    <t>VPIII #16 p330</t>
  </si>
  <si>
    <t>3) 29.09.2020</t>
  </si>
  <si>
    <t>1) 09.06.2021</t>
  </si>
  <si>
    <t>3) 09.06.2021</t>
  </si>
  <si>
    <t>4) 09.06.2021</t>
  </si>
  <si>
    <t>VPIII #16 p380</t>
  </si>
  <si>
    <t>5) 09.06.2021</t>
  </si>
  <si>
    <t>VPIII #16 p390</t>
  </si>
  <si>
    <t>6) 09.06.2021</t>
  </si>
  <si>
    <t>VPIII #16 p410</t>
  </si>
  <si>
    <t>2) 25.10.2521</t>
  </si>
  <si>
    <t>VPIII #16 p420</t>
  </si>
  <si>
    <t>3) 25.10.2521</t>
  </si>
  <si>
    <t>VPIII #16 p430</t>
  </si>
  <si>
    <t>1) 09.05.2022</t>
  </si>
  <si>
    <t>VPIII #16 p440</t>
  </si>
  <si>
    <t>2) 09.05.2022</t>
  </si>
  <si>
    <t>VPIII #17 p20</t>
  </si>
  <si>
    <t>2) 20.09.2017</t>
  </si>
  <si>
    <t>VPIII #17 p30</t>
  </si>
  <si>
    <t>3) 20.09.2017</t>
  </si>
  <si>
    <t>VPIII #17 p40</t>
  </si>
  <si>
    <t>4) 20.09.2017</t>
  </si>
  <si>
    <t>VPIII #17 p60</t>
  </si>
  <si>
    <t>6) 20.09.2017</t>
  </si>
  <si>
    <t>VPIII #17 p70</t>
  </si>
  <si>
    <t>1) 04.06.2018</t>
  </si>
  <si>
    <t>VPIII #17 p80</t>
  </si>
  <si>
    <t>2) 04.06.2018</t>
  </si>
  <si>
    <t>VPIII #17 p90</t>
  </si>
  <si>
    <t>3) 04.06.2018</t>
  </si>
  <si>
    <t>VPIII #17 p110</t>
  </si>
  <si>
    <t>5) 04.06.2018</t>
  </si>
  <si>
    <t>VPIII #17 p120</t>
  </si>
  <si>
    <t>6) 04.06.2018</t>
  </si>
  <si>
    <t>VPIII #17 p130</t>
  </si>
  <si>
    <t>1) 15.04.2019</t>
  </si>
  <si>
    <t>VPIII #17 p140</t>
  </si>
  <si>
    <t>2) 15.04.2019</t>
  </si>
  <si>
    <t>VPIII #17 p160</t>
  </si>
  <si>
    <t>4) 15.04.2019</t>
  </si>
  <si>
    <t>VPIII #17 p170</t>
  </si>
  <si>
    <t>5) 15.04.2019</t>
  </si>
  <si>
    <t>VPIII #17 p180</t>
  </si>
  <si>
    <t>6) 15.04.2019</t>
  </si>
  <si>
    <t>VPIII #17 p190</t>
  </si>
  <si>
    <t>1) 28.09.2019</t>
  </si>
  <si>
    <t>VPIII #17 p210</t>
  </si>
  <si>
    <t>3) 28.09.2019</t>
  </si>
  <si>
    <t>VPIII #17 p220</t>
  </si>
  <si>
    <t>4) 28.09.2019</t>
  </si>
  <si>
    <t>VPIII #17 p230</t>
  </si>
  <si>
    <t>5) 28.09.2019</t>
  </si>
  <si>
    <t>VPIII #17 p240</t>
  </si>
  <si>
    <t>6) 28.09.2019</t>
  </si>
  <si>
    <t>VPIII #17 p260</t>
  </si>
  <si>
    <t>2) 17.08.2020</t>
  </si>
  <si>
    <t>VPIII #17 p270</t>
  </si>
  <si>
    <t>3) 17.08.2020</t>
  </si>
  <si>
    <t>VPIII #17 p280</t>
  </si>
  <si>
    <t>4) 17.08.2020</t>
  </si>
  <si>
    <t>VPIII #17 p290</t>
  </si>
  <si>
    <t>5) 17.08.2020</t>
  </si>
  <si>
    <t>VPIII #17 p310</t>
  </si>
  <si>
    <t>1) 30.09.2020</t>
  </si>
  <si>
    <t>VPIII #17 p320</t>
  </si>
  <si>
    <t>2) 30.09.2020</t>
  </si>
  <si>
    <t>VPIII #17 p330</t>
  </si>
  <si>
    <t>3) 30.09.2020</t>
  </si>
  <si>
    <t>VPIII #17 p340</t>
  </si>
  <si>
    <t>1) 16.06.2021</t>
  </si>
  <si>
    <t>VPIII #17 p360</t>
  </si>
  <si>
    <t>3) 16.06.2021</t>
  </si>
  <si>
    <t>VPIII #17 p370</t>
  </si>
  <si>
    <t>4) 16.06.2021</t>
  </si>
  <si>
    <t>VPIII #17 p380</t>
  </si>
  <si>
    <t>5) 16.06.2021</t>
  </si>
  <si>
    <t>VPIII #17 p390</t>
  </si>
  <si>
    <t>6) 16.06.2021</t>
  </si>
  <si>
    <t>VPIII #17 p410</t>
  </si>
  <si>
    <t>2) 26.10.2021</t>
  </si>
  <si>
    <t>VPIII #17 p420</t>
  </si>
  <si>
    <t>3) 26.10.2021</t>
  </si>
  <si>
    <t>VPIII #17 p430</t>
  </si>
  <si>
    <t>1) 04.07.2022</t>
  </si>
  <si>
    <t>VPIII #17 p440</t>
  </si>
  <si>
    <t>2) 04.07.2022</t>
  </si>
  <si>
    <t>VPIII #18 p20</t>
  </si>
  <si>
    <t>2) 23.10.2017</t>
  </si>
  <si>
    <t>VPIII #18 p30</t>
  </si>
  <si>
    <t>3) 23.10.2017</t>
  </si>
  <si>
    <t>VPIII #18 p40</t>
  </si>
  <si>
    <t>4) 23.10.2017</t>
  </si>
  <si>
    <t>VPIII #18 p70</t>
  </si>
  <si>
    <t>VPIII #18 p80</t>
  </si>
  <si>
    <t>VPIII #18 p90</t>
  </si>
  <si>
    <t>VPIII #18 p110</t>
  </si>
  <si>
    <t>VPIII #18 p120</t>
  </si>
  <si>
    <t>VPIII #18 p130</t>
  </si>
  <si>
    <t>1) 16.04.2019</t>
  </si>
  <si>
    <t>VPIII #18 p140</t>
  </si>
  <si>
    <t>2) 16.04.2019</t>
  </si>
  <si>
    <t>VPIII #18 p160</t>
  </si>
  <si>
    <t>4) 16.04.2019</t>
  </si>
  <si>
    <t>VPIII #18 p170</t>
  </si>
  <si>
    <t>5) 16.04.2019</t>
  </si>
  <si>
    <t>VPIII #18 p180</t>
  </si>
  <si>
    <t>6) 16.04.2019</t>
  </si>
  <si>
    <t>VPIII #18 p190</t>
  </si>
  <si>
    <t>1) 02.09.2019</t>
  </si>
  <si>
    <t>VPIII #18 p210</t>
  </si>
  <si>
    <t>3) 02.09.2019</t>
  </si>
  <si>
    <t>VPIII #18 p220</t>
  </si>
  <si>
    <t>4) 02.09.2019</t>
  </si>
  <si>
    <t>VPIII #18 p230</t>
  </si>
  <si>
    <t>5) 02.09.2019</t>
  </si>
  <si>
    <t>VPIII #18 p240</t>
  </si>
  <si>
    <t>6) 02.09.2019</t>
  </si>
  <si>
    <t>VPIII #18 p260</t>
  </si>
  <si>
    <t>2) 18.08.2020</t>
  </si>
  <si>
    <t>VPIII #18 p270</t>
  </si>
  <si>
    <t>3) 18.08.2020</t>
  </si>
  <si>
    <t>VPIII #18 p280</t>
  </si>
  <si>
    <t>4) 18.08.2020</t>
  </si>
  <si>
    <t>VPIII #18 p290</t>
  </si>
  <si>
    <t>5) 18.08.2020</t>
  </si>
  <si>
    <t>VPIII #18 p310</t>
  </si>
  <si>
    <t>1) 01.10.2020</t>
  </si>
  <si>
    <t>VPIII #18 p320</t>
  </si>
  <si>
    <t>2) 01.10.2020</t>
  </si>
  <si>
    <t>VPIII #18 p330</t>
  </si>
  <si>
    <t>3) 01.10.2020</t>
  </si>
  <si>
    <t>VPIII #18 p340</t>
  </si>
  <si>
    <t>1) 21.06.2021</t>
  </si>
  <si>
    <t>VPIII #18 p360</t>
  </si>
  <si>
    <t>3) 21.06.2021</t>
  </si>
  <si>
    <t>VPIII #18 p370</t>
  </si>
  <si>
    <t>4) 21.06.2021</t>
  </si>
  <si>
    <t>VPIII #18 p380</t>
  </si>
  <si>
    <t>5) 21.06.2021</t>
  </si>
  <si>
    <t>VPIII #18 p390</t>
  </si>
  <si>
    <t>6) 21.06.2021</t>
  </si>
  <si>
    <t>VPIII #18 p410</t>
  </si>
  <si>
    <t>2) 27.10.2021</t>
  </si>
  <si>
    <t>VPIII #18 p420</t>
  </si>
  <si>
    <t>3) 27.10.2021</t>
  </si>
  <si>
    <t>VPIII #18 p430</t>
  </si>
  <si>
    <t>1) 05.07.2022</t>
  </si>
  <si>
    <t>VPIII #18 p440</t>
  </si>
  <si>
    <t>2) 05.07.2022</t>
  </si>
  <si>
    <t>VPIII #19 p20</t>
  </si>
  <si>
    <t>2) 25.10.2017</t>
  </si>
  <si>
    <t>VPIII #19 p30</t>
  </si>
  <si>
    <t>3) 25.10.2017</t>
  </si>
  <si>
    <t>VPIII #19 p40</t>
  </si>
  <si>
    <t>4) 25.10.2017</t>
  </si>
  <si>
    <t>VPIII #19 p70</t>
  </si>
  <si>
    <t>VPIII #19 p80</t>
  </si>
  <si>
    <t>VPIII #19 p90</t>
  </si>
  <si>
    <t>VPIII #19 p110</t>
  </si>
  <si>
    <t>VPIII #19 p120</t>
  </si>
  <si>
    <t>VPIII #19 p130</t>
  </si>
  <si>
    <t>1) 17.04.2019</t>
  </si>
  <si>
    <t>VPIII #19 p140</t>
  </si>
  <si>
    <t>2) 17.04.2019</t>
  </si>
  <si>
    <t>VPIII #19 p160</t>
  </si>
  <si>
    <t>4) 17.04.2019</t>
  </si>
  <si>
    <t>VPIII #19 p170</t>
  </si>
  <si>
    <t>5) 17.04.2019</t>
  </si>
  <si>
    <t>VPIII #19 p180</t>
  </si>
  <si>
    <t>6) 17.04.2019</t>
  </si>
  <si>
    <t>1) 03.09.2019</t>
  </si>
  <si>
    <t>VPIII #19 p210</t>
  </si>
  <si>
    <t>3) 03.09.2019</t>
  </si>
  <si>
    <t>VPIII #19 p220</t>
  </si>
  <si>
    <t>4) 03.09.2019</t>
  </si>
  <si>
    <t>VPIII #19 p230</t>
  </si>
  <si>
    <t>5) 03.09.2019</t>
  </si>
  <si>
    <t>VPIII #19 p240</t>
  </si>
  <si>
    <t>6) 03.09.2019</t>
  </si>
  <si>
    <t>VPIII #19 p260</t>
  </si>
  <si>
    <t>2) 19.08.2020</t>
  </si>
  <si>
    <t>VPIII #19 p270</t>
  </si>
  <si>
    <t>3) 19.08.2020</t>
  </si>
  <si>
    <t>VPIII #19 p280</t>
  </si>
  <si>
    <t>4) 19.08.2020</t>
  </si>
  <si>
    <t>VPIII #19 p290</t>
  </si>
  <si>
    <t>5) 19.08.2020</t>
  </si>
  <si>
    <t>VPIII #19 p310</t>
  </si>
  <si>
    <t>1) 05.10.2020</t>
  </si>
  <si>
    <t>VPIII #19 p320</t>
  </si>
  <si>
    <t>2) 05.10.2020</t>
  </si>
  <si>
    <t>VPIII #19 p330</t>
  </si>
  <si>
    <t>3) 05.10.2020</t>
  </si>
  <si>
    <t>VPIII #19 p340</t>
  </si>
  <si>
    <t>1) 22.06.2021</t>
  </si>
  <si>
    <t>VPIII #19 p360</t>
  </si>
  <si>
    <t>3) 22.06.2021</t>
  </si>
  <si>
    <t>VPIII #19 p370</t>
  </si>
  <si>
    <t>4) 22.06.2021</t>
  </si>
  <si>
    <t>VPIII #19 p380</t>
  </si>
  <si>
    <t>5) 22.06.2021</t>
  </si>
  <si>
    <t>VPIII #19 p390</t>
  </si>
  <si>
    <t>6) 22.06.2021</t>
  </si>
  <si>
    <t>VPIII #19 p410</t>
  </si>
  <si>
    <t>2) 15.11..2021</t>
  </si>
  <si>
    <t>VPIII #19 p420</t>
  </si>
  <si>
    <t>3) 15.11..2021</t>
  </si>
  <si>
    <t>VPIII #19 p430</t>
  </si>
  <si>
    <t>1) 06.07.2022</t>
  </si>
  <si>
    <t>VPIII #19 p440</t>
  </si>
  <si>
    <t>2) 06.07.2022</t>
  </si>
  <si>
    <t>VPIII #20 p20</t>
  </si>
  <si>
    <t>2) 26.10.2017</t>
  </si>
  <si>
    <t>VPIII #20 p30</t>
  </si>
  <si>
    <t>3) 26.10.2017</t>
  </si>
  <si>
    <t>VPIII #20 p40</t>
  </si>
  <si>
    <t>4) 26.10.2017</t>
  </si>
  <si>
    <t>VPIII #20 p70</t>
  </si>
  <si>
    <t>VPIII #20 p80</t>
  </si>
  <si>
    <t>VPIII #20 p90</t>
  </si>
  <si>
    <t>VPIII #20 p110</t>
  </si>
  <si>
    <t>VPIII #20 p120</t>
  </si>
  <si>
    <t>VPIII #20 p130</t>
  </si>
  <si>
    <t>1) 29.04.2019</t>
  </si>
  <si>
    <t>VPIII #20 p140</t>
  </si>
  <si>
    <t>2) 29.04.2019</t>
  </si>
  <si>
    <t>VPIII #20 p160</t>
  </si>
  <si>
    <t>4) 29.04.2019</t>
  </si>
  <si>
    <t>VPIII #20 p170</t>
  </si>
  <si>
    <t>5) 29.04.2019</t>
  </si>
  <si>
    <t>VPIII #20 p180</t>
  </si>
  <si>
    <t>6) 29.04.2019</t>
  </si>
  <si>
    <t>VPIII #20 p190</t>
  </si>
  <si>
    <t>1) 30.09.2019</t>
  </si>
  <si>
    <t>VPIII #20 p210</t>
  </si>
  <si>
    <t>3) 30.09.2019</t>
  </si>
  <si>
    <t>VPIII #20 p220</t>
  </si>
  <si>
    <t>4) 30.09.2019</t>
  </si>
  <si>
    <t>VPIII #20 p230</t>
  </si>
  <si>
    <t>5) 30.09.2019</t>
  </si>
  <si>
    <t>VPIII #20 p240</t>
  </si>
  <si>
    <t>6) 30.09.2019</t>
  </si>
  <si>
    <t>VPIII #20 p260</t>
  </si>
  <si>
    <t>2) 20.08.2020</t>
  </si>
  <si>
    <t>VPIII #20 p270</t>
  </si>
  <si>
    <t>3) 20.08.2020</t>
  </si>
  <si>
    <t>VPIII #20 p280</t>
  </si>
  <si>
    <t>4) 20.08.2020</t>
  </si>
  <si>
    <t>VPIII #20 p290</t>
  </si>
  <si>
    <t>5) 20.08.2020</t>
  </si>
  <si>
    <t>VPIII #20 p310</t>
  </si>
  <si>
    <t>1) 06.10.2020</t>
  </si>
  <si>
    <t>VPIII #20 p320</t>
  </si>
  <si>
    <t>2) 06.10.2020</t>
  </si>
  <si>
    <t>VPIII #20 p330</t>
  </si>
  <si>
    <t>3) 06.10.2020</t>
  </si>
  <si>
    <t>VPIII #20 p340</t>
  </si>
  <si>
    <t>1) 23.06.2021</t>
  </si>
  <si>
    <t>VPIII #20 p360</t>
  </si>
  <si>
    <t>3) 23.06.2021</t>
  </si>
  <si>
    <t>VPIII #20 p370</t>
  </si>
  <si>
    <t>4) 23.06.2021</t>
  </si>
  <si>
    <t>VPIII #20 p380</t>
  </si>
  <si>
    <t>5) 23.06.2021</t>
  </si>
  <si>
    <t>VPIII #20 p390</t>
  </si>
  <si>
    <t>6) 23.06.2021</t>
  </si>
  <si>
    <t>VPIII #20 p410</t>
  </si>
  <si>
    <t>VPIII #20 p420</t>
  </si>
  <si>
    <t>3) 17.11.2021</t>
  </si>
  <si>
    <t>VPIII #20 p430</t>
  </si>
  <si>
    <t>1) 11.07.2022</t>
  </si>
  <si>
    <t>VPIII #20 p440</t>
  </si>
  <si>
    <t>2) 11.07.2022</t>
  </si>
  <si>
    <t>5) 14.06.2021rep</t>
  </si>
  <si>
    <t>6) 14.06.2021rep</t>
  </si>
  <si>
    <t>VPIV #17 p10</t>
  </si>
  <si>
    <t>VPIV #17 p50</t>
  </si>
  <si>
    <t>VPIV #17 p100</t>
  </si>
  <si>
    <t>VPIV #17 p150</t>
  </si>
  <si>
    <t>VPIV #17 p200</t>
  </si>
  <si>
    <t>VPIV #17 p250</t>
  </si>
  <si>
    <t>VPIV #17 p300</t>
  </si>
  <si>
    <t>VPIV #17 p350</t>
  </si>
  <si>
    <t>VPIV #17 p400</t>
  </si>
  <si>
    <t>VPIV #17 p450</t>
  </si>
  <si>
    <t>VPIV #18 p10</t>
  </si>
  <si>
    <t>VPIV #18 p60</t>
  </si>
  <si>
    <t>VPIV #18 p100</t>
  </si>
  <si>
    <t>VPIV #18 p150</t>
  </si>
  <si>
    <t>VPIV #18 p200</t>
  </si>
  <si>
    <t>VPIV #18 p250</t>
  </si>
  <si>
    <t>VPIV #18 p300</t>
  </si>
  <si>
    <t>VPIV #18 p350</t>
  </si>
  <si>
    <t>VPIV #18 p400</t>
  </si>
  <si>
    <t>VPIV #18 p450</t>
  </si>
  <si>
    <t>VPIV #19 p10</t>
  </si>
  <si>
    <t>VPIV #19 p60</t>
  </si>
  <si>
    <t>VPIV #19 p100</t>
  </si>
  <si>
    <t>VPIV #19 p190</t>
  </si>
  <si>
    <t>VPIV #19 p200</t>
  </si>
  <si>
    <t>VPIV #19 p250</t>
  </si>
  <si>
    <t>VPIV #19 p300</t>
  </si>
  <si>
    <t>VPIV #19 p350</t>
  </si>
  <si>
    <t>VPIV #19 p400</t>
  </si>
  <si>
    <t>VPIV #19 p450</t>
  </si>
  <si>
    <t>VPIV #20 p10</t>
  </si>
  <si>
    <t>VPIV #20 p60</t>
  </si>
  <si>
    <t>VPIV #20 p100</t>
  </si>
  <si>
    <t>VPIV #20 p150</t>
  </si>
  <si>
    <t>VPIV #20 p200</t>
  </si>
  <si>
    <t>VPIV #20 p250</t>
  </si>
  <si>
    <t>VPIV #20 p300</t>
  </si>
  <si>
    <t>VPIV #20 p350</t>
  </si>
  <si>
    <t>VPIV #20 p400</t>
  </si>
  <si>
    <t>VPIV #20 p450</t>
  </si>
  <si>
    <t>VPIV #17 p460</t>
  </si>
  <si>
    <t>VPIV #17 p470</t>
  </si>
  <si>
    <t>VPIV #17 p480</t>
  </si>
  <si>
    <t>VPIV #17 p490</t>
  </si>
  <si>
    <t>VPIV #17 p500</t>
  </si>
  <si>
    <t>VPIV #17 p510</t>
  </si>
  <si>
    <t>VPIV #17 p520</t>
  </si>
  <si>
    <t>VPIV #17 p530</t>
  </si>
  <si>
    <t>VPIV #17 p540</t>
  </si>
  <si>
    <t>VPIV #17 p550</t>
  </si>
  <si>
    <t>VPIV #18 p460</t>
  </si>
  <si>
    <t>VPIV #18 p470</t>
  </si>
  <si>
    <t>VPIV #18 p480</t>
  </si>
  <si>
    <t>VPIV #18 p490</t>
  </si>
  <si>
    <t>VPIV #18 p500</t>
  </si>
  <si>
    <t>VPIV #18 p510</t>
  </si>
  <si>
    <t>VPIV #18 p520</t>
  </si>
  <si>
    <t>VPIV #18 p530</t>
  </si>
  <si>
    <t>VPIV #18 p540</t>
  </si>
  <si>
    <t>VPIV #18 p550</t>
  </si>
  <si>
    <t>VPIV #19 p460</t>
  </si>
  <si>
    <t>VPIV #19 p470</t>
  </si>
  <si>
    <t>VPIV #19 p480</t>
  </si>
  <si>
    <t>VPIV #19 p490</t>
  </si>
  <si>
    <t>VPIV #19 p500</t>
  </si>
  <si>
    <t>VPIV #19 p510</t>
  </si>
  <si>
    <t>VPIV #19 p520</t>
  </si>
  <si>
    <t>VPIV #19 p530</t>
  </si>
  <si>
    <t>VPIV #19 p540</t>
  </si>
  <si>
    <t>VPIV #19 p550</t>
  </si>
  <si>
    <t>VPIV #20 p460</t>
  </si>
  <si>
    <t>VPIV #20 p470</t>
  </si>
  <si>
    <t>VPIV #20 p480</t>
  </si>
  <si>
    <t>VPIV #20 p490</t>
  </si>
  <si>
    <t>VPIV #20 p500</t>
  </si>
  <si>
    <t>VPIV #20 p510</t>
  </si>
  <si>
    <t>VPIV #20 p520</t>
  </si>
  <si>
    <t>VPIV #20 p530</t>
  </si>
  <si>
    <t>VPIV #20 p540</t>
  </si>
  <si>
    <t>VPIV #20 p550</t>
  </si>
  <si>
    <t>VPIV #17 p560</t>
  </si>
  <si>
    <t>VPIV #17 p570</t>
  </si>
  <si>
    <t>VPIV #17 p580</t>
  </si>
  <si>
    <t>VPIV #17 p590</t>
  </si>
  <si>
    <t>VPIV #17 p600</t>
  </si>
  <si>
    <t>VPIV #17 p610</t>
  </si>
  <si>
    <t>VPIV #17 p620</t>
  </si>
  <si>
    <t>VPIV #17 p630</t>
  </si>
  <si>
    <t>VPIV #18 p560</t>
  </si>
  <si>
    <t>VPIV #18 p570</t>
  </si>
  <si>
    <t>VPIV #18 p580</t>
  </si>
  <si>
    <t>VPIV #18 p590</t>
  </si>
  <si>
    <t>VPIV #18 p600</t>
  </si>
  <si>
    <t>VPIV #18 p610</t>
  </si>
  <si>
    <t>VPIV #18 p620</t>
  </si>
  <si>
    <t>VPIV #18 p630</t>
  </si>
  <si>
    <t>VPIV #19 p560</t>
  </si>
  <si>
    <t>VPIV #19 p570</t>
  </si>
  <si>
    <t>VPIV #19 p580</t>
  </si>
  <si>
    <t>VPIV #19 p590</t>
  </si>
  <si>
    <t>VPIV #19 p600</t>
  </si>
  <si>
    <t>VPIV #19 p610</t>
  </si>
  <si>
    <t>VPIV #19 p620</t>
  </si>
  <si>
    <t>VPIV #19 p630</t>
  </si>
  <si>
    <t>VPIV #20 p560</t>
  </si>
  <si>
    <t>VPIV #20 p570</t>
  </si>
  <si>
    <t>VPIV #20 p580</t>
  </si>
  <si>
    <t>VPIV #20 p590</t>
  </si>
  <si>
    <t>VPIV #20 p600</t>
  </si>
  <si>
    <t>VPIV #20 p610</t>
  </si>
  <si>
    <t>VPIV #20 p620</t>
  </si>
  <si>
    <t>VPIV #20 p630</t>
  </si>
  <si>
    <t>VPIII #20 p50</t>
  </si>
  <si>
    <t>5) 26.10.2017</t>
  </si>
  <si>
    <t>x</t>
  </si>
  <si>
    <t>comment</t>
  </si>
  <si>
    <t>This is #16</t>
  </si>
  <si>
    <t>This is #15</t>
  </si>
  <si>
    <t>VPIII #13 p580</t>
  </si>
  <si>
    <t>VPIII #13 p590</t>
  </si>
  <si>
    <t>VPIII #13 p600</t>
  </si>
  <si>
    <t>VPIII #13 p610</t>
  </si>
  <si>
    <t>VPIII #13 p620</t>
  </si>
  <si>
    <t>VPIII #13 p630</t>
  </si>
  <si>
    <t>VPIII #14 p580</t>
  </si>
  <si>
    <t>VPIII #14 p590</t>
  </si>
  <si>
    <t>VPIII #14 p600</t>
  </si>
  <si>
    <t>VPIII #14 p610</t>
  </si>
  <si>
    <t>VPIII #14 p620</t>
  </si>
  <si>
    <t>VPIII #14 p630</t>
  </si>
  <si>
    <t>VPIII #15 p580</t>
  </si>
  <si>
    <t>VPIII #15 p590</t>
  </si>
  <si>
    <t>VPIII #15 p600</t>
  </si>
  <si>
    <t>VPIII #15 p610</t>
  </si>
  <si>
    <t>VPIII #15 p620</t>
  </si>
  <si>
    <t>VPIII #15 p630</t>
  </si>
  <si>
    <t xml:space="preserve"> 1:10 Dil Amplicon B+D</t>
  </si>
  <si>
    <t>2) 26.08.2024</t>
  </si>
  <si>
    <t>1) 26.08.2024</t>
  </si>
  <si>
    <t>3) 26.08.2024</t>
  </si>
  <si>
    <t>4) 26.08.2024</t>
  </si>
  <si>
    <t>5) 26.08.2024</t>
  </si>
  <si>
    <t>6) 26.08.2024</t>
  </si>
  <si>
    <t>1) 27.08.2024</t>
  </si>
  <si>
    <t>2) 27.08.2024</t>
  </si>
  <si>
    <t>3) 27.08.2024</t>
  </si>
  <si>
    <t>4) 27.08.2024</t>
  </si>
  <si>
    <t>5) 27.08.2024</t>
  </si>
  <si>
    <t>6) 27.08.2024</t>
  </si>
  <si>
    <t>1) 11.07.2024</t>
  </si>
  <si>
    <t>2) 11.07.2024</t>
  </si>
  <si>
    <t>3) 11.07.2024</t>
  </si>
  <si>
    <t>4) 11.07.2024</t>
  </si>
  <si>
    <t>5) 11.07.2024</t>
  </si>
  <si>
    <t>6) 11.07.2024</t>
  </si>
  <si>
    <t>1) 19.08.2024</t>
  </si>
  <si>
    <t>2) 19.08.2024</t>
  </si>
  <si>
    <t>3) 19.08.2024</t>
  </si>
  <si>
    <t>4) 19.08.2024</t>
  </si>
  <si>
    <t>5) 19.08.2024</t>
  </si>
  <si>
    <t>6) 19.08.2024</t>
  </si>
  <si>
    <t xml:space="preserve"> 1:10 Dilution!</t>
  </si>
  <si>
    <t>Z:\INF_FL_Labor\0_Karin_lab\Christine\2013 virus passaging\qPCR_Titers\RUN Files\20241127_VPIII13_16_p580-630rep2dil.eds</t>
  </si>
  <si>
    <t>2024-11-27 18:25:51 PM MEZ</t>
  </si>
  <si>
    <t>VPIII #13 p640</t>
  </si>
  <si>
    <t>VPIII #13 p650</t>
  </si>
  <si>
    <t>VPIII #13 p660</t>
  </si>
  <si>
    <t>VPIII #13 p670</t>
  </si>
  <si>
    <t>VPIII #13 p680</t>
  </si>
  <si>
    <t>VPIII #13 p690</t>
  </si>
  <si>
    <t>VPIII #14 p640</t>
  </si>
  <si>
    <t>VPIII #14 p650</t>
  </si>
  <si>
    <t>VPIII #14 p660</t>
  </si>
  <si>
    <t>VPIII #14 p670</t>
  </si>
  <si>
    <t>VPIII #14 p680</t>
  </si>
  <si>
    <t>VPIII #14 p690</t>
  </si>
  <si>
    <t>VPIII #15 p640</t>
  </si>
  <si>
    <t>VPIII #15 p650</t>
  </si>
  <si>
    <t>VPIII #15 p660</t>
  </si>
  <si>
    <t>VPIII #15 p670</t>
  </si>
  <si>
    <t>VPIII #15 p680</t>
  </si>
  <si>
    <t>VPIII #15 p690</t>
  </si>
  <si>
    <t>1) 15.07.2024</t>
  </si>
  <si>
    <t>2) 15.07.2024</t>
  </si>
  <si>
    <t>3) 15.07.2024</t>
  </si>
  <si>
    <t>4) 15.07.2024</t>
  </si>
  <si>
    <t>5) 15.07.2024</t>
  </si>
  <si>
    <t>6) 15.07.2024</t>
  </si>
  <si>
    <t>1) 16.07.2024</t>
  </si>
  <si>
    <t>2) 16.07.2024</t>
  </si>
  <si>
    <t>3) 16.07.2024</t>
  </si>
  <si>
    <t>4) 16.07.2024</t>
  </si>
  <si>
    <t>5) 16.07.2024</t>
  </si>
  <si>
    <t>6) 16.07.2024</t>
  </si>
  <si>
    <t>1) 22.07.2024</t>
  </si>
  <si>
    <t>2) 22.07.2024</t>
  </si>
  <si>
    <t>3) 22.07.2024</t>
  </si>
  <si>
    <t>4) 22.07.2024</t>
  </si>
  <si>
    <t>5) 22.07.2024</t>
  </si>
  <si>
    <t>6) 22.07.2024</t>
  </si>
  <si>
    <t>1) 23.07.2024</t>
  </si>
  <si>
    <t>2) 23.07.2024</t>
  </si>
  <si>
    <t>3) 23.07.2024</t>
  </si>
  <si>
    <t>4) 23.07.2024</t>
  </si>
  <si>
    <t>5) 23.07.2024</t>
  </si>
  <si>
    <t>6) 23.07.2024</t>
  </si>
  <si>
    <t>exp_line</t>
  </si>
  <si>
    <t>sample_ID</t>
  </si>
  <si>
    <t>Culture_Harvest_Date</t>
  </si>
  <si>
    <t>cDNA_Date</t>
  </si>
  <si>
    <t>ul-H2O-added-to-reach-17ul</t>
  </si>
  <si>
    <t>date-qPCR</t>
  </si>
  <si>
    <t>mean_quantity</t>
  </si>
  <si>
    <t>SD-percent-mean</t>
  </si>
  <si>
    <t>mean_quantity_per_ml_cell_culture_supernatant</t>
  </si>
  <si>
    <t>transferred_quantity_EXP_III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</si>
</sst>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Frutiger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Genev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Geneva"/>
      <family val="2"/>
    </font>
    <font>
      <sz val="10"/>
      <name val="Frutiger"/>
      <family val="2"/>
    </font>
    <font>
      <b/>
      <sz val="9"/>
      <color indexed="1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b/>
      <sz val="9"/>
      <color rgb="FFFF0000"/>
      <name val="Geneva"/>
      <family val="2"/>
    </font>
    <font>
      <sz val="10"/>
      <name val="Arial"/>
      <family val="2"/>
    </font>
    <font>
      <sz val="11"/>
      <color theme="4" tint="-0.249977111117893"/>
      <name val="Arial"/>
      <family val="2"/>
    </font>
    <font>
      <sz val="11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9" fillId="0" borderId="0"/>
    <xf numFmtId="0" fontId="1" fillId="0" borderId="0"/>
    <xf numFmtId="0" fontId="15" fillId="0" borderId="0"/>
  </cellStyleXfs>
  <cellXfs count="91">
    <xf numFmtId="0" fontId="0" fillId="0" borderId="0" xfId="0"/>
    <xf numFmtId="0" fontId="5" fillId="0" borderId="0" xfId="2" applyFont="1"/>
    <xf numFmtId="0" fontId="5" fillId="2" borderId="0" xfId="2" applyFont="1" applyFill="1"/>
    <xf numFmtId="2" fontId="4" fillId="0" borderId="0" xfId="2" applyNumberFormat="1"/>
    <xf numFmtId="2" fontId="7" fillId="0" borderId="0" xfId="2" applyNumberFormat="1" applyFont="1"/>
    <xf numFmtId="1" fontId="6" fillId="0" borderId="0" xfId="2" applyNumberFormat="1" applyFont="1"/>
    <xf numFmtId="1" fontId="8" fillId="0" borderId="0" xfId="2" applyNumberFormat="1" applyFont="1"/>
    <xf numFmtId="0" fontId="8" fillId="0" borderId="0" xfId="2" applyFont="1"/>
    <xf numFmtId="0" fontId="5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4" fillId="0" borderId="0" xfId="2"/>
    <xf numFmtId="0" fontId="9" fillId="0" borderId="0" xfId="3"/>
    <xf numFmtId="2" fontId="3" fillId="0" borderId="0" xfId="2" applyNumberFormat="1" applyFont="1" applyAlignment="1">
      <alignment horizontal="right"/>
    </xf>
    <xf numFmtId="1" fontId="10" fillId="0" borderId="0" xfId="2" applyNumberFormat="1" applyFont="1" applyAlignment="1">
      <alignment horizontal="center"/>
    </xf>
    <xf numFmtId="2" fontId="3" fillId="0" borderId="0" xfId="2" applyNumberFormat="1" applyFont="1"/>
    <xf numFmtId="1" fontId="3" fillId="0" borderId="0" xfId="2" applyNumberFormat="1" applyFont="1"/>
    <xf numFmtId="0" fontId="8" fillId="0" borderId="0" xfId="2" applyFont="1" applyAlignment="1">
      <alignment horizontal="center"/>
    </xf>
    <xf numFmtId="2" fontId="3" fillId="0" borderId="1" xfId="2" applyNumberFormat="1" applyFont="1" applyBorder="1"/>
    <xf numFmtId="1" fontId="3" fillId="0" borderId="1" xfId="2" applyNumberFormat="1" applyFont="1" applyBorder="1"/>
    <xf numFmtId="0" fontId="8" fillId="0" borderId="1" xfId="2" applyFont="1" applyBorder="1" applyAlignment="1">
      <alignment horizontal="center"/>
    </xf>
    <xf numFmtId="0" fontId="5" fillId="0" borderId="1" xfId="2" applyFont="1" applyBorder="1"/>
    <xf numFmtId="0" fontId="8" fillId="0" borderId="2" xfId="2" applyFont="1" applyBorder="1" applyAlignment="1">
      <alignment horizontal="center"/>
    </xf>
    <xf numFmtId="0" fontId="6" fillId="0" borderId="0" xfId="2" applyFont="1"/>
    <xf numFmtId="1" fontId="7" fillId="0" borderId="0" xfId="2" applyNumberFormat="1" applyFont="1"/>
    <xf numFmtId="2" fontId="8" fillId="0" borderId="0" xfId="2" applyNumberFormat="1" applyFont="1"/>
    <xf numFmtId="0" fontId="5" fillId="3" borderId="0" xfId="2" applyFont="1" applyFill="1"/>
    <xf numFmtId="2" fontId="6" fillId="0" borderId="0" xfId="2" applyNumberFormat="1" applyFont="1"/>
    <xf numFmtId="0" fontId="4" fillId="0" borderId="1" xfId="2" applyBorder="1"/>
    <xf numFmtId="2" fontId="6" fillId="3" borderId="0" xfId="2" applyNumberFormat="1" applyFont="1" applyFill="1"/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wrapText="1"/>
    </xf>
    <xf numFmtId="0" fontId="13" fillId="0" borderId="0" xfId="1" applyFont="1" applyAlignment="1">
      <alignment wrapText="1"/>
    </xf>
    <xf numFmtId="0" fontId="13" fillId="0" borderId="0" xfId="1" applyFont="1" applyAlignment="1">
      <alignment horizontal="left"/>
    </xf>
    <xf numFmtId="14" fontId="13" fillId="0" borderId="0" xfId="1" applyNumberFormat="1" applyFont="1" applyAlignment="1">
      <alignment horizontal="left"/>
    </xf>
    <xf numFmtId="0" fontId="13" fillId="0" borderId="0" xfId="1" applyFont="1"/>
    <xf numFmtId="14" fontId="13" fillId="0" borderId="0" xfId="0" applyNumberFormat="1" applyFont="1"/>
    <xf numFmtId="2" fontId="13" fillId="0" borderId="0" xfId="0" applyNumberFormat="1" applyFont="1"/>
    <xf numFmtId="0" fontId="14" fillId="0" borderId="0" xfId="2" applyFont="1"/>
    <xf numFmtId="164" fontId="11" fillId="0" borderId="0" xfId="0" applyNumberFormat="1" applyFont="1"/>
    <xf numFmtId="164" fontId="11" fillId="0" borderId="0" xfId="0" applyNumberFormat="1" applyFont="1" applyAlignment="1">
      <alignment wrapText="1"/>
    </xf>
    <xf numFmtId="1" fontId="11" fillId="0" borderId="0" xfId="0" applyNumberFormat="1" applyFont="1"/>
    <xf numFmtId="1" fontId="11" fillId="0" borderId="0" xfId="0" applyNumberFormat="1" applyFont="1" applyAlignment="1">
      <alignment wrapText="1"/>
    </xf>
    <xf numFmtId="1" fontId="12" fillId="0" borderId="0" xfId="0" applyNumberFormat="1" applyFont="1"/>
    <xf numFmtId="1" fontId="12" fillId="0" borderId="0" xfId="0" applyNumberFormat="1" applyFont="1" applyAlignment="1">
      <alignment wrapText="1"/>
    </xf>
    <xf numFmtId="14" fontId="12" fillId="0" borderId="0" xfId="0" applyNumberFormat="1" applyFont="1"/>
    <xf numFmtId="14" fontId="12" fillId="0" borderId="0" xfId="1" applyNumberFormat="1" applyFont="1" applyAlignment="1">
      <alignment wrapText="1"/>
    </xf>
    <xf numFmtId="14" fontId="12" fillId="0" borderId="0" xfId="1" applyNumberFormat="1" applyFont="1"/>
    <xf numFmtId="2" fontId="8" fillId="3" borderId="0" xfId="2" applyNumberFormat="1" applyFont="1" applyFill="1"/>
    <xf numFmtId="2" fontId="7" fillId="3" borderId="0" xfId="2" applyNumberFormat="1" applyFont="1" applyFill="1"/>
    <xf numFmtId="1" fontId="8" fillId="3" borderId="0" xfId="2" applyNumberFormat="1" applyFont="1" applyFill="1"/>
    <xf numFmtId="1" fontId="7" fillId="3" borderId="0" xfId="2" applyNumberFormat="1" applyFont="1" applyFill="1"/>
    <xf numFmtId="2" fontId="3" fillId="3" borderId="0" xfId="2" applyNumberFormat="1" applyFont="1" applyFill="1"/>
    <xf numFmtId="2" fontId="8" fillId="3" borderId="2" xfId="2" applyNumberFormat="1" applyFont="1" applyFill="1" applyBorder="1"/>
    <xf numFmtId="2" fontId="7" fillId="3" borderId="2" xfId="2" applyNumberFormat="1" applyFont="1" applyFill="1" applyBorder="1"/>
    <xf numFmtId="1" fontId="8" fillId="3" borderId="2" xfId="2" applyNumberFormat="1" applyFont="1" applyFill="1" applyBorder="1"/>
    <xf numFmtId="1" fontId="7" fillId="3" borderId="2" xfId="2" applyNumberFormat="1" applyFont="1" applyFill="1" applyBorder="1"/>
    <xf numFmtId="164" fontId="12" fillId="0" borderId="0" xfId="0" applyNumberFormat="1" applyFont="1"/>
    <xf numFmtId="0" fontId="12" fillId="0" borderId="0" xfId="1" applyFont="1"/>
    <xf numFmtId="0" fontId="12" fillId="0" borderId="0" xfId="1" applyFont="1" applyAlignment="1">
      <alignment horizontal="left"/>
    </xf>
    <xf numFmtId="14" fontId="12" fillId="0" borderId="0" xfId="1" applyNumberFormat="1" applyFont="1" applyAlignment="1">
      <alignment horizontal="left"/>
    </xf>
    <xf numFmtId="12" fontId="11" fillId="0" borderId="0" xfId="0" applyNumberFormat="1" applyFont="1"/>
    <xf numFmtId="0" fontId="12" fillId="0" borderId="0" xfId="0" applyFont="1"/>
    <xf numFmtId="11" fontId="12" fillId="0" borderId="0" xfId="0" applyNumberFormat="1" applyFont="1"/>
    <xf numFmtId="164" fontId="11" fillId="3" borderId="0" xfId="0" applyNumberFormat="1" applyFont="1" applyFill="1"/>
    <xf numFmtId="164" fontId="12" fillId="3" borderId="0" xfId="0" applyNumberFormat="1" applyFont="1" applyFill="1"/>
    <xf numFmtId="0" fontId="13" fillId="0" borderId="0" xfId="0" applyFont="1" applyAlignment="1">
      <alignment horizontal="right"/>
    </xf>
    <xf numFmtId="0" fontId="13" fillId="0" borderId="0" xfId="1" applyFont="1" applyAlignment="1">
      <alignment horizontal="right" wrapText="1"/>
    </xf>
    <xf numFmtId="0" fontId="13" fillId="0" borderId="0" xfId="1" applyFont="1" applyAlignment="1">
      <alignment horizontal="right"/>
    </xf>
    <xf numFmtId="0" fontId="11" fillId="0" borderId="0" xfId="0" applyFont="1" applyAlignment="1">
      <alignment horizontal="right"/>
    </xf>
    <xf numFmtId="2" fontId="12" fillId="0" borderId="0" xfId="0" applyNumberFormat="1" applyFont="1"/>
    <xf numFmtId="0" fontId="12" fillId="0" borderId="0" xfId="1" applyFont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1" applyFont="1" applyAlignment="1">
      <alignment horizontal="left" wrapText="1"/>
    </xf>
    <xf numFmtId="0" fontId="11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wrapText="1"/>
    </xf>
    <xf numFmtId="11" fontId="17" fillId="0" borderId="0" xfId="0" applyNumberFormat="1" applyFont="1"/>
    <xf numFmtId="0" fontId="16" fillId="0" borderId="0" xfId="0" applyFont="1" applyAlignment="1">
      <alignment horizontal="right"/>
    </xf>
    <xf numFmtId="164" fontId="11" fillId="4" borderId="0" xfId="0" applyNumberFormat="1" applyFont="1" applyFill="1"/>
    <xf numFmtId="0" fontId="0" fillId="4" borderId="0" xfId="0" applyFill="1"/>
    <xf numFmtId="0" fontId="0" fillId="3" borderId="0" xfId="0" applyFill="1"/>
    <xf numFmtId="1" fontId="11" fillId="3" borderId="0" xfId="0" applyNumberFormat="1" applyFont="1" applyFill="1"/>
    <xf numFmtId="1" fontId="11" fillId="4" borderId="0" xfId="0" applyNumberFormat="1" applyFont="1" applyFill="1"/>
    <xf numFmtId="0" fontId="8" fillId="3" borderId="0" xfId="2" applyFont="1" applyFill="1" applyAlignment="1">
      <alignment horizontal="center"/>
    </xf>
    <xf numFmtId="0" fontId="8" fillId="4" borderId="0" xfId="2" applyFont="1" applyFill="1" applyAlignment="1">
      <alignment horizontal="center"/>
    </xf>
    <xf numFmtId="0" fontId="8" fillId="4" borderId="2" xfId="2" applyFont="1" applyFill="1" applyBorder="1" applyAlignment="1">
      <alignment horizontal="center"/>
    </xf>
    <xf numFmtId="0" fontId="16" fillId="0" borderId="0" xfId="0" applyFont="1" applyAlignment="1">
      <alignment horizontal="center" wrapText="1"/>
    </xf>
  </cellXfs>
  <cellStyles count="6">
    <cellStyle name="Normal" xfId="0" builtinId="0"/>
    <cellStyle name="Standard 2" xfId="3" xr:uid="{00000000-0005-0000-0000-000001000000}"/>
    <cellStyle name="Standard 2 2" xfId="5" xr:uid="{00000000-0005-0000-0000-000002000000}"/>
    <cellStyle name="Standard 3" xfId="4" xr:uid="{00000000-0005-0000-0000-000003000000}"/>
    <cellStyle name="Standard 4" xfId="1" xr:uid="{00000000-0005-0000-0000-000004000000}"/>
    <cellStyle name="Standard_samples raw data SNF_chronic_ M184V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S661"/>
  <sheetViews>
    <sheetView tabSelected="1" zoomScaleNormal="100" workbookViewId="0">
      <pane ySplit="2" topLeftCell="A3" activePane="bottomLeft" state="frozen"/>
      <selection pane="bottomLeft" activeCell="S22" sqref="S22"/>
    </sheetView>
  </sheetViews>
  <sheetFormatPr baseColWidth="10" defaultColWidth="9.1640625" defaultRowHeight="14"/>
  <cols>
    <col min="1" max="2" width="9.1640625" style="32"/>
    <col min="3" max="3" width="9.1640625" style="81"/>
    <col min="4" max="4" width="15.6640625" style="29" customWidth="1"/>
    <col min="5" max="5" width="14.1640625" style="77" customWidth="1"/>
    <col min="6" max="6" width="16.33203125" style="29" customWidth="1"/>
    <col min="7" max="7" width="17.6640625" style="29" customWidth="1"/>
    <col min="8" max="8" width="9.5" style="72" customWidth="1"/>
    <col min="9" max="9" width="12.6640625" style="48" customWidth="1"/>
    <col min="10" max="11" width="8.1640625" style="42" customWidth="1"/>
    <col min="12" max="12" width="14.33203125" style="44" customWidth="1"/>
    <col min="13" max="13" width="15.33203125" style="44" customWidth="1"/>
    <col min="14" max="14" width="14" style="46" customWidth="1"/>
    <col min="15" max="15" width="13" style="46" customWidth="1"/>
    <col min="16" max="16" width="9.83203125" style="46" customWidth="1"/>
    <col min="17" max="17" width="13.6640625" style="65" customWidth="1"/>
    <col min="18" max="18" width="11.5" style="78" customWidth="1"/>
    <col min="19" max="19" width="11.1640625" style="29" customWidth="1"/>
    <col min="20" max="16384" width="9.1640625" style="29"/>
  </cols>
  <sheetData>
    <row r="1" spans="1:19">
      <c r="C1" s="81" t="s">
        <v>444</v>
      </c>
      <c r="E1" s="75"/>
      <c r="F1" s="33"/>
      <c r="G1" s="33"/>
      <c r="H1" s="69"/>
      <c r="J1" s="42" t="s">
        <v>445</v>
      </c>
    </row>
    <row r="2" spans="1:19" s="30" customFormat="1" ht="60" customHeight="1">
      <c r="A2" s="31" t="s">
        <v>1565</v>
      </c>
      <c r="B2" s="31" t="s">
        <v>443</v>
      </c>
      <c r="C2" s="90" t="s">
        <v>470</v>
      </c>
      <c r="D2" s="34" t="s">
        <v>1566</v>
      </c>
      <c r="E2" s="76" t="s">
        <v>1567</v>
      </c>
      <c r="F2" s="35" t="s">
        <v>280</v>
      </c>
      <c r="G2" s="35" t="s">
        <v>1568</v>
      </c>
      <c r="H2" s="70" t="s">
        <v>1569</v>
      </c>
      <c r="I2" s="49" t="s">
        <v>1570</v>
      </c>
      <c r="J2" s="43" t="s">
        <v>446</v>
      </c>
      <c r="K2" s="43" t="s">
        <v>447</v>
      </c>
      <c r="L2" s="45" t="s">
        <v>448</v>
      </c>
      <c r="M2" s="45" t="s">
        <v>449</v>
      </c>
      <c r="N2" s="47" t="s">
        <v>1571</v>
      </c>
      <c r="O2" s="47" t="s">
        <v>783</v>
      </c>
      <c r="P2" s="47" t="s">
        <v>1572</v>
      </c>
      <c r="Q2" s="47" t="s">
        <v>1573</v>
      </c>
      <c r="R2" s="79" t="s">
        <v>1574</v>
      </c>
      <c r="S2" s="30" t="s">
        <v>1474</v>
      </c>
    </row>
    <row r="3" spans="1:19">
      <c r="A3" s="32">
        <v>13</v>
      </c>
      <c r="B3" s="32">
        <v>10</v>
      </c>
      <c r="C3" s="81">
        <v>1</v>
      </c>
      <c r="D3" s="36" t="s">
        <v>281</v>
      </c>
      <c r="E3" s="37">
        <v>42779</v>
      </c>
      <c r="F3" s="38" t="s">
        <v>282</v>
      </c>
      <c r="G3" s="39" t="s">
        <v>283</v>
      </c>
      <c r="H3" s="71">
        <v>0</v>
      </c>
      <c r="I3" s="50">
        <v>45435</v>
      </c>
      <c r="J3" s="42">
        <v>10.93251895904541</v>
      </c>
      <c r="K3" s="42">
        <v>10.865084648132324</v>
      </c>
      <c r="L3" s="44">
        <v>19190658</v>
      </c>
      <c r="M3" s="44">
        <v>20002658</v>
      </c>
      <c r="N3" s="46">
        <f t="shared" ref="N3:N66" si="0">AVERAGE(L3:M3)</f>
        <v>19596658</v>
      </c>
      <c r="O3" s="46">
        <f t="shared" ref="O3:O66" si="1">STDEVA(L3:M3)</f>
        <v>574170.70632347662</v>
      </c>
      <c r="P3" s="46">
        <f t="shared" ref="P3:P66" si="2">O3*100/N3</f>
        <v>2.929941964203675</v>
      </c>
      <c r="Q3" s="66">
        <f t="shared" ref="Q3:Q66" si="3">N3*70</f>
        <v>1371766060</v>
      </c>
      <c r="R3" s="80">
        <f>Q3/500</f>
        <v>2743532.12</v>
      </c>
    </row>
    <row r="4" spans="1:19">
      <c r="A4" s="32">
        <v>13</v>
      </c>
      <c r="B4" s="32">
        <v>20</v>
      </c>
      <c r="C4" s="81">
        <v>1</v>
      </c>
      <c r="D4" s="36" t="s">
        <v>817</v>
      </c>
      <c r="E4" s="37">
        <v>42814</v>
      </c>
      <c r="F4" s="38" t="s">
        <v>282</v>
      </c>
      <c r="G4" s="40" t="s">
        <v>825</v>
      </c>
      <c r="H4" s="71">
        <v>0</v>
      </c>
      <c r="I4" s="48">
        <v>45477</v>
      </c>
      <c r="J4" s="42">
        <v>8.3999671936035156</v>
      </c>
      <c r="K4" s="42">
        <v>8.2904815673828125</v>
      </c>
      <c r="L4" s="44">
        <v>153993920</v>
      </c>
      <c r="M4" s="44">
        <v>164222576</v>
      </c>
      <c r="N4" s="46">
        <f t="shared" si="0"/>
        <v>159108248</v>
      </c>
      <c r="O4" s="46">
        <f t="shared" si="1"/>
        <v>7232752.0200244663</v>
      </c>
      <c r="P4" s="46">
        <f t="shared" si="2"/>
        <v>4.5458058340410279</v>
      </c>
      <c r="Q4" s="66">
        <f t="shared" si="3"/>
        <v>11137577360</v>
      </c>
      <c r="R4" s="80">
        <f t="shared" ref="R4:R67" si="4">Q4/500</f>
        <v>22275154.719999999</v>
      </c>
    </row>
    <row r="5" spans="1:19">
      <c r="A5" s="32">
        <v>13</v>
      </c>
      <c r="B5" s="32">
        <v>30</v>
      </c>
      <c r="C5" s="81">
        <v>2</v>
      </c>
      <c r="D5" s="36" t="s">
        <v>818</v>
      </c>
      <c r="E5" s="37">
        <v>42849</v>
      </c>
      <c r="F5" s="38" t="s">
        <v>282</v>
      </c>
      <c r="G5" s="40" t="s">
        <v>826</v>
      </c>
      <c r="H5" s="71">
        <v>7</v>
      </c>
      <c r="I5" s="48">
        <v>45477</v>
      </c>
      <c r="J5" s="42">
        <v>9.8926630020141602</v>
      </c>
      <c r="K5" s="42">
        <v>9.8485403060913086</v>
      </c>
      <c r="L5" s="44">
        <v>64080156</v>
      </c>
      <c r="M5" s="44">
        <v>65762612</v>
      </c>
      <c r="N5" s="46">
        <f t="shared" si="0"/>
        <v>64921384</v>
      </c>
      <c r="O5" s="46">
        <f t="shared" si="1"/>
        <v>1189676.0466479941</v>
      </c>
      <c r="P5" s="46">
        <f t="shared" si="2"/>
        <v>1.8324871919674326</v>
      </c>
      <c r="Q5" s="66">
        <f t="shared" si="3"/>
        <v>4544496880</v>
      </c>
      <c r="R5" s="80">
        <f t="shared" si="4"/>
        <v>9088993.7599999998</v>
      </c>
    </row>
    <row r="6" spans="1:19">
      <c r="A6" s="32">
        <v>13</v>
      </c>
      <c r="B6" s="32">
        <v>40</v>
      </c>
      <c r="C6" s="81">
        <v>3</v>
      </c>
      <c r="D6" s="36" t="s">
        <v>819</v>
      </c>
      <c r="E6" s="37">
        <v>42884</v>
      </c>
      <c r="F6" s="38" t="s">
        <v>282</v>
      </c>
      <c r="G6" s="40" t="s">
        <v>827</v>
      </c>
      <c r="H6" s="71">
        <v>0</v>
      </c>
      <c r="I6" s="48">
        <v>45477</v>
      </c>
      <c r="J6" s="42">
        <v>9.8478937149047852</v>
      </c>
      <c r="K6" s="42">
        <v>9.7777414321899414</v>
      </c>
      <c r="L6" s="44">
        <v>65787592</v>
      </c>
      <c r="M6" s="44">
        <v>68555064</v>
      </c>
      <c r="N6" s="46">
        <f t="shared" si="0"/>
        <v>67171328</v>
      </c>
      <c r="O6" s="46">
        <f t="shared" si="1"/>
        <v>1956898.217943897</v>
      </c>
      <c r="P6" s="46">
        <f t="shared" si="2"/>
        <v>2.9132939249673564</v>
      </c>
      <c r="Q6" s="66">
        <f t="shared" si="3"/>
        <v>4701992960</v>
      </c>
      <c r="R6" s="80">
        <f t="shared" si="4"/>
        <v>9403985.9199999999</v>
      </c>
    </row>
    <row r="7" spans="1:19">
      <c r="A7" s="32">
        <v>13</v>
      </c>
      <c r="B7" s="32">
        <v>50</v>
      </c>
      <c r="C7" s="81">
        <v>2</v>
      </c>
      <c r="D7" s="36" t="s">
        <v>284</v>
      </c>
      <c r="E7" s="37">
        <v>42940</v>
      </c>
      <c r="F7" s="38" t="s">
        <v>282</v>
      </c>
      <c r="G7" s="39" t="s">
        <v>285</v>
      </c>
      <c r="H7" s="71">
        <v>0</v>
      </c>
      <c r="I7" s="50">
        <v>45435</v>
      </c>
      <c r="J7" s="42">
        <v>7.6086583137512207</v>
      </c>
      <c r="K7" s="42">
        <v>7.6978416442871094</v>
      </c>
      <c r="L7" s="44">
        <v>147982272</v>
      </c>
      <c r="M7" s="44">
        <v>140090016</v>
      </c>
      <c r="N7" s="46">
        <f t="shared" si="0"/>
        <v>144036144</v>
      </c>
      <c r="O7" s="46">
        <f t="shared" si="1"/>
        <v>5580667.7364602173</v>
      </c>
      <c r="P7" s="46">
        <f t="shared" si="2"/>
        <v>3.8744912085817966</v>
      </c>
      <c r="Q7" s="66">
        <f t="shared" si="3"/>
        <v>10082530080</v>
      </c>
      <c r="R7" s="80">
        <f t="shared" si="4"/>
        <v>20165060.16</v>
      </c>
    </row>
    <row r="8" spans="1:19">
      <c r="A8" s="32">
        <v>13</v>
      </c>
      <c r="B8" s="32">
        <v>60</v>
      </c>
      <c r="C8" s="81">
        <v>4</v>
      </c>
      <c r="D8" s="36" t="s">
        <v>820</v>
      </c>
      <c r="E8" s="37">
        <v>42975</v>
      </c>
      <c r="F8" s="38" t="s">
        <v>282</v>
      </c>
      <c r="G8" s="40" t="s">
        <v>828</v>
      </c>
      <c r="H8" s="71">
        <v>0</v>
      </c>
      <c r="I8" s="48">
        <v>45477</v>
      </c>
      <c r="J8" s="42">
        <v>8.0771408081054688</v>
      </c>
      <c r="K8" s="42">
        <v>8.0467357635498047</v>
      </c>
      <c r="L8" s="44">
        <v>186146624</v>
      </c>
      <c r="M8" s="44">
        <v>189500928</v>
      </c>
      <c r="N8" s="46">
        <f t="shared" si="0"/>
        <v>187823776</v>
      </c>
      <c r="O8" s="46">
        <f t="shared" si="1"/>
        <v>2371851.1045611612</v>
      </c>
      <c r="P8" s="46">
        <f t="shared" si="2"/>
        <v>1.26280663453447</v>
      </c>
      <c r="Q8" s="66">
        <f t="shared" si="3"/>
        <v>13147664320</v>
      </c>
      <c r="R8" s="80">
        <f t="shared" si="4"/>
        <v>26295328.640000001</v>
      </c>
    </row>
    <row r="9" spans="1:19">
      <c r="A9" s="32">
        <v>13</v>
      </c>
      <c r="B9" s="32">
        <v>70</v>
      </c>
      <c r="C9" s="81">
        <v>5</v>
      </c>
      <c r="D9" s="36" t="s">
        <v>821</v>
      </c>
      <c r="E9" s="37">
        <v>43010</v>
      </c>
      <c r="F9" s="38" t="s">
        <v>282</v>
      </c>
      <c r="G9" s="40" t="s">
        <v>829</v>
      </c>
      <c r="H9" s="71">
        <v>0</v>
      </c>
      <c r="I9" s="48">
        <v>45477</v>
      </c>
      <c r="J9" s="42">
        <v>8.0300750732421875</v>
      </c>
      <c r="K9" s="42">
        <v>7.9265594482421875</v>
      </c>
      <c r="L9" s="44">
        <v>191364512</v>
      </c>
      <c r="M9" s="44">
        <v>203361056</v>
      </c>
      <c r="N9" s="46">
        <f t="shared" si="0"/>
        <v>197362784</v>
      </c>
      <c r="O9" s="46">
        <f t="shared" si="1"/>
        <v>8482837.6132027898</v>
      </c>
      <c r="P9" s="46">
        <f t="shared" si="2"/>
        <v>4.2980938155000841</v>
      </c>
      <c r="Q9" s="66">
        <f t="shared" si="3"/>
        <v>13815394880</v>
      </c>
      <c r="R9" s="80">
        <f t="shared" si="4"/>
        <v>27630789.760000002</v>
      </c>
    </row>
    <row r="10" spans="1:19">
      <c r="A10" s="32">
        <v>13</v>
      </c>
      <c r="B10" s="32">
        <v>80</v>
      </c>
      <c r="C10" s="81">
        <v>6</v>
      </c>
      <c r="D10" s="36" t="s">
        <v>822</v>
      </c>
      <c r="E10" s="37">
        <v>43045</v>
      </c>
      <c r="F10" s="38" t="s">
        <v>282</v>
      </c>
      <c r="G10" s="40" t="s">
        <v>830</v>
      </c>
      <c r="H10" s="71">
        <v>0</v>
      </c>
      <c r="I10" s="48">
        <v>45477</v>
      </c>
      <c r="J10" s="42">
        <v>8.783442497253418</v>
      </c>
      <c r="K10" s="42">
        <v>9.0672826766967773</v>
      </c>
      <c r="L10" s="44">
        <v>122936472</v>
      </c>
      <c r="M10" s="44">
        <v>104057736</v>
      </c>
      <c r="N10" s="46">
        <f t="shared" si="0"/>
        <v>113497104</v>
      </c>
      <c r="O10" s="46">
        <f t="shared" si="1"/>
        <v>13349282.245830597</v>
      </c>
      <c r="P10" s="46">
        <f t="shared" si="2"/>
        <v>11.761782261713567</v>
      </c>
      <c r="Q10" s="66">
        <f t="shared" si="3"/>
        <v>7944797280</v>
      </c>
      <c r="R10" s="80">
        <f t="shared" si="4"/>
        <v>15889594.560000001</v>
      </c>
    </row>
    <row r="11" spans="1:19">
      <c r="A11" s="32">
        <v>13</v>
      </c>
      <c r="B11" s="32">
        <v>90</v>
      </c>
      <c r="C11" s="81">
        <v>7</v>
      </c>
      <c r="D11" s="36" t="s">
        <v>823</v>
      </c>
      <c r="E11" s="37">
        <v>43080</v>
      </c>
      <c r="F11" s="38" t="s">
        <v>282</v>
      </c>
      <c r="G11" s="40" t="s">
        <v>831</v>
      </c>
      <c r="H11" s="71">
        <v>0</v>
      </c>
      <c r="I11" s="48">
        <v>45477</v>
      </c>
      <c r="J11" s="42">
        <v>8.8288717269897461</v>
      </c>
      <c r="K11" s="42">
        <v>8.482635498046875</v>
      </c>
      <c r="L11" s="44">
        <v>119699392</v>
      </c>
      <c r="M11" s="44">
        <v>146694992</v>
      </c>
      <c r="N11" s="46">
        <f t="shared" si="0"/>
        <v>133197192</v>
      </c>
      <c r="O11" s="46">
        <f t="shared" si="1"/>
        <v>19088771.822199561</v>
      </c>
      <c r="P11" s="46">
        <f t="shared" si="2"/>
        <v>14.331211893866023</v>
      </c>
      <c r="Q11" s="66">
        <f t="shared" si="3"/>
        <v>9323803440</v>
      </c>
      <c r="R11" s="80">
        <f t="shared" si="4"/>
        <v>18647606.879999999</v>
      </c>
    </row>
    <row r="12" spans="1:19">
      <c r="A12" s="32">
        <v>13</v>
      </c>
      <c r="B12" s="32">
        <v>100</v>
      </c>
      <c r="C12" s="81">
        <v>3</v>
      </c>
      <c r="D12" s="36" t="s">
        <v>286</v>
      </c>
      <c r="E12" s="37">
        <v>43136</v>
      </c>
      <c r="F12" s="38" t="s">
        <v>282</v>
      </c>
      <c r="G12" s="40" t="s">
        <v>287</v>
      </c>
      <c r="H12" s="71">
        <v>0</v>
      </c>
      <c r="I12" s="50">
        <v>45435</v>
      </c>
      <c r="J12" s="42">
        <v>6.8665285110473633</v>
      </c>
      <c r="K12" s="42">
        <v>6.9853916168212891</v>
      </c>
      <c r="L12" s="44">
        <v>233496304</v>
      </c>
      <c r="M12" s="44">
        <v>217048160</v>
      </c>
      <c r="N12" s="46">
        <f t="shared" si="0"/>
        <v>225272232</v>
      </c>
      <c r="O12" s="46">
        <f t="shared" si="1"/>
        <v>11630594.160332825</v>
      </c>
      <c r="P12" s="46">
        <f t="shared" si="2"/>
        <v>5.1629062566099249</v>
      </c>
      <c r="Q12" s="66">
        <f t="shared" si="3"/>
        <v>15769056240</v>
      </c>
      <c r="R12" s="80">
        <f t="shared" si="4"/>
        <v>31538112.48</v>
      </c>
    </row>
    <row r="13" spans="1:19">
      <c r="A13" s="32">
        <v>13</v>
      </c>
      <c r="B13" s="32">
        <v>110</v>
      </c>
      <c r="C13" s="81">
        <v>8</v>
      </c>
      <c r="D13" s="36" t="s">
        <v>824</v>
      </c>
      <c r="E13" s="37">
        <v>43171</v>
      </c>
      <c r="F13" s="38" t="s">
        <v>282</v>
      </c>
      <c r="G13" s="40" t="s">
        <v>832</v>
      </c>
      <c r="H13" s="71">
        <v>0</v>
      </c>
      <c r="I13" s="48">
        <v>45477</v>
      </c>
      <c r="J13" s="42">
        <v>8.6155862808227539</v>
      </c>
      <c r="K13" s="42">
        <v>8.2150659561157227</v>
      </c>
      <c r="L13" s="44">
        <v>135675088</v>
      </c>
      <c r="M13" s="44">
        <v>171660768</v>
      </c>
      <c r="N13" s="46">
        <f t="shared" si="0"/>
        <v>153667928</v>
      </c>
      <c r="O13" s="46">
        <f t="shared" si="1"/>
        <v>25445718.353609119</v>
      </c>
      <c r="P13" s="46">
        <f t="shared" si="2"/>
        <v>16.558899885478457</v>
      </c>
      <c r="Q13" s="66">
        <f t="shared" si="3"/>
        <v>10756754960</v>
      </c>
      <c r="R13" s="80">
        <f t="shared" si="4"/>
        <v>21513509.920000002</v>
      </c>
    </row>
    <row r="14" spans="1:19">
      <c r="A14" s="32">
        <v>13</v>
      </c>
      <c r="B14" s="32">
        <v>120</v>
      </c>
      <c r="C14" s="81">
        <v>9</v>
      </c>
      <c r="D14" s="36" t="s">
        <v>833</v>
      </c>
      <c r="E14" s="37">
        <v>43206</v>
      </c>
      <c r="F14" s="38" t="s">
        <v>282</v>
      </c>
      <c r="G14" s="40" t="s">
        <v>834</v>
      </c>
      <c r="H14" s="71">
        <v>5</v>
      </c>
      <c r="I14" s="48">
        <v>45477</v>
      </c>
      <c r="J14" s="42">
        <v>9.8889455795288086</v>
      </c>
      <c r="K14" s="42">
        <v>9.5869464874267578</v>
      </c>
      <c r="L14" s="44">
        <v>64220228</v>
      </c>
      <c r="M14" s="44">
        <v>76685008</v>
      </c>
      <c r="N14" s="46">
        <f t="shared" si="0"/>
        <v>70452618</v>
      </c>
      <c r="O14" s="46">
        <f t="shared" si="1"/>
        <v>8813930.4639984537</v>
      </c>
      <c r="P14" s="46">
        <f t="shared" si="2"/>
        <v>12.510437105401042</v>
      </c>
      <c r="Q14" s="66">
        <f t="shared" si="3"/>
        <v>4931683260</v>
      </c>
      <c r="R14" s="80">
        <f t="shared" si="4"/>
        <v>9863366.5199999996</v>
      </c>
    </row>
    <row r="15" spans="1:19">
      <c r="A15" s="32">
        <v>13</v>
      </c>
      <c r="B15" s="32">
        <v>130</v>
      </c>
      <c r="C15" s="81">
        <v>10</v>
      </c>
      <c r="D15" s="36" t="s">
        <v>835</v>
      </c>
      <c r="E15" s="37">
        <v>43242</v>
      </c>
      <c r="F15" s="38" t="s">
        <v>282</v>
      </c>
      <c r="G15" s="40" t="s">
        <v>836</v>
      </c>
      <c r="H15" s="71">
        <v>5</v>
      </c>
      <c r="I15" s="48">
        <v>45477</v>
      </c>
      <c r="J15" s="42">
        <v>8.2469902038574219</v>
      </c>
      <c r="K15" s="42">
        <v>7.935401439666748</v>
      </c>
      <c r="L15" s="44">
        <v>168471840</v>
      </c>
      <c r="M15" s="44">
        <v>202307616</v>
      </c>
      <c r="N15" s="46">
        <f t="shared" si="0"/>
        <v>185389728</v>
      </c>
      <c r="O15" s="46">
        <f t="shared" si="1"/>
        <v>23925506.656309035</v>
      </c>
      <c r="P15" s="46">
        <f t="shared" si="2"/>
        <v>12.905519045968411</v>
      </c>
      <c r="Q15" s="66">
        <f t="shared" si="3"/>
        <v>12977280960</v>
      </c>
      <c r="R15" s="80">
        <f t="shared" si="4"/>
        <v>25954561.920000002</v>
      </c>
    </row>
    <row r="16" spans="1:19">
      <c r="A16" s="32">
        <v>13</v>
      </c>
      <c r="B16" s="32">
        <v>140</v>
      </c>
      <c r="C16" s="81">
        <v>11</v>
      </c>
      <c r="D16" s="36" t="s">
        <v>837</v>
      </c>
      <c r="E16" s="37">
        <v>43276</v>
      </c>
      <c r="F16" s="38" t="s">
        <v>282</v>
      </c>
      <c r="G16" s="40" t="s">
        <v>838</v>
      </c>
      <c r="H16" s="71">
        <v>5</v>
      </c>
      <c r="I16" s="48">
        <v>45477</v>
      </c>
      <c r="J16" s="42">
        <v>9.8199310302734375</v>
      </c>
      <c r="K16" s="42">
        <v>9.738642692565918</v>
      </c>
      <c r="L16" s="44">
        <v>66877056</v>
      </c>
      <c r="M16" s="44">
        <v>70147704</v>
      </c>
      <c r="N16" s="46">
        <f t="shared" si="0"/>
        <v>68512380</v>
      </c>
      <c r="O16" s="46">
        <f t="shared" si="1"/>
        <v>2312697.3796742191</v>
      </c>
      <c r="P16" s="46">
        <f t="shared" si="2"/>
        <v>3.3755904840471449</v>
      </c>
      <c r="Q16" s="66">
        <f t="shared" si="3"/>
        <v>4795866600</v>
      </c>
      <c r="R16" s="80">
        <f t="shared" si="4"/>
        <v>9591733.1999999993</v>
      </c>
    </row>
    <row r="17" spans="1:18">
      <c r="A17" s="32">
        <v>13</v>
      </c>
      <c r="B17" s="32">
        <v>150</v>
      </c>
      <c r="C17" s="81">
        <v>4</v>
      </c>
      <c r="D17" s="36" t="s">
        <v>288</v>
      </c>
      <c r="E17" s="37">
        <v>43311</v>
      </c>
      <c r="F17" s="38" t="s">
        <v>282</v>
      </c>
      <c r="G17" s="39" t="s">
        <v>289</v>
      </c>
      <c r="H17" s="71">
        <v>0</v>
      </c>
      <c r="I17" s="50">
        <v>45435</v>
      </c>
      <c r="J17" s="42">
        <v>8.4231882095336914</v>
      </c>
      <c r="K17" s="42">
        <v>8.3545351028442383</v>
      </c>
      <c r="L17" s="44">
        <v>89704912</v>
      </c>
      <c r="M17" s="44">
        <v>93570584</v>
      </c>
      <c r="N17" s="46">
        <f t="shared" si="0"/>
        <v>91637748</v>
      </c>
      <c r="O17" s="46">
        <f t="shared" si="1"/>
        <v>2733442.8850429635</v>
      </c>
      <c r="P17" s="46">
        <f t="shared" si="2"/>
        <v>2.9828787205060556</v>
      </c>
      <c r="Q17" s="66">
        <f t="shared" si="3"/>
        <v>6414642360</v>
      </c>
      <c r="R17" s="80">
        <f t="shared" si="4"/>
        <v>12829284.720000001</v>
      </c>
    </row>
    <row r="18" spans="1:18">
      <c r="A18" s="32">
        <v>13</v>
      </c>
      <c r="B18" s="32">
        <v>160</v>
      </c>
      <c r="C18" s="81">
        <v>12</v>
      </c>
      <c r="D18" s="36" t="s">
        <v>839</v>
      </c>
      <c r="E18" s="37">
        <v>43346</v>
      </c>
      <c r="F18" s="38" t="s">
        <v>282</v>
      </c>
      <c r="G18" s="40" t="s">
        <v>840</v>
      </c>
      <c r="H18" s="71">
        <v>5</v>
      </c>
      <c r="I18" s="48">
        <v>45477</v>
      </c>
      <c r="J18" s="42">
        <v>9.0102748870849609</v>
      </c>
      <c r="K18" s="42">
        <v>9.0187129974365234</v>
      </c>
      <c r="L18" s="44">
        <v>107601128</v>
      </c>
      <c r="M18" s="44">
        <v>107069136</v>
      </c>
      <c r="N18" s="46">
        <f t="shared" si="0"/>
        <v>107335132</v>
      </c>
      <c r="O18" s="46">
        <f t="shared" si="1"/>
        <v>376175.15073699382</v>
      </c>
      <c r="P18" s="46">
        <f t="shared" si="2"/>
        <v>0.35046786986482098</v>
      </c>
      <c r="Q18" s="66">
        <f t="shared" si="3"/>
        <v>7513459240</v>
      </c>
      <c r="R18" s="80">
        <f t="shared" si="4"/>
        <v>15026918.48</v>
      </c>
    </row>
    <row r="19" spans="1:18">
      <c r="A19" s="32">
        <v>13</v>
      </c>
      <c r="B19" s="32">
        <v>170</v>
      </c>
      <c r="C19" s="81">
        <v>13</v>
      </c>
      <c r="D19" s="36" t="s">
        <v>841</v>
      </c>
      <c r="E19" s="37">
        <v>43381</v>
      </c>
      <c r="F19" s="38" t="s">
        <v>282</v>
      </c>
      <c r="G19" s="40" t="s">
        <v>842</v>
      </c>
      <c r="H19" s="71">
        <v>5</v>
      </c>
      <c r="I19" s="48">
        <v>45477</v>
      </c>
      <c r="J19" s="42">
        <v>8.3412857055664062</v>
      </c>
      <c r="K19" s="42">
        <v>8.2570724487304688</v>
      </c>
      <c r="L19" s="44">
        <v>159394368</v>
      </c>
      <c r="M19" s="44">
        <v>167477088</v>
      </c>
      <c r="N19" s="46">
        <f t="shared" si="0"/>
        <v>163435728</v>
      </c>
      <c r="O19" s="46">
        <f t="shared" si="1"/>
        <v>5715346.1224321313</v>
      </c>
      <c r="P19" s="46">
        <f t="shared" si="2"/>
        <v>3.4969992133128516</v>
      </c>
      <c r="Q19" s="66">
        <f t="shared" si="3"/>
        <v>11440500960</v>
      </c>
      <c r="R19" s="80">
        <f t="shared" si="4"/>
        <v>22881001.920000002</v>
      </c>
    </row>
    <row r="20" spans="1:18">
      <c r="A20" s="32">
        <v>13</v>
      </c>
      <c r="B20" s="32">
        <v>180</v>
      </c>
      <c r="C20" s="81">
        <v>14</v>
      </c>
      <c r="D20" s="36" t="s">
        <v>843</v>
      </c>
      <c r="E20" s="37">
        <v>43416</v>
      </c>
      <c r="F20" s="38" t="s">
        <v>282</v>
      </c>
      <c r="G20" s="40" t="s">
        <v>844</v>
      </c>
      <c r="H20" s="71">
        <v>5</v>
      </c>
      <c r="I20" s="48">
        <v>45477</v>
      </c>
      <c r="J20" s="42">
        <v>8.954742431640625</v>
      </c>
      <c r="K20" s="42">
        <v>8.914647102355957</v>
      </c>
      <c r="L20" s="44">
        <v>111168792</v>
      </c>
      <c r="M20" s="44">
        <v>113818024</v>
      </c>
      <c r="N20" s="46">
        <f t="shared" si="0"/>
        <v>112493408</v>
      </c>
      <c r="O20" s="46">
        <f t="shared" si="1"/>
        <v>1873289.9121363997</v>
      </c>
      <c r="P20" s="46">
        <f t="shared" si="2"/>
        <v>1.6652441644726417</v>
      </c>
      <c r="Q20" s="66">
        <f t="shared" si="3"/>
        <v>7874538560</v>
      </c>
      <c r="R20" s="80">
        <f t="shared" si="4"/>
        <v>15749077.119999999</v>
      </c>
    </row>
    <row r="21" spans="1:18">
      <c r="A21" s="32">
        <v>13</v>
      </c>
      <c r="B21" s="32">
        <v>190</v>
      </c>
      <c r="C21" s="81">
        <v>15</v>
      </c>
      <c r="D21" s="36" t="s">
        <v>845</v>
      </c>
      <c r="E21" s="37">
        <v>43451</v>
      </c>
      <c r="F21" s="38" t="s">
        <v>282</v>
      </c>
      <c r="G21" s="40" t="s">
        <v>846</v>
      </c>
      <c r="H21" s="71">
        <v>7</v>
      </c>
      <c r="I21" s="48">
        <v>45477</v>
      </c>
      <c r="J21" s="42">
        <v>10.082225799560547</v>
      </c>
      <c r="K21" s="42">
        <v>10.00352668762207</v>
      </c>
      <c r="L21" s="44">
        <v>57328020</v>
      </c>
      <c r="M21" s="44">
        <v>60040280</v>
      </c>
      <c r="N21" s="46">
        <f t="shared" si="0"/>
        <v>58684150</v>
      </c>
      <c r="O21" s="46">
        <f t="shared" si="1"/>
        <v>1917857.4383410255</v>
      </c>
      <c r="P21" s="46">
        <f t="shared" si="2"/>
        <v>3.2681012476810611</v>
      </c>
      <c r="Q21" s="66">
        <f t="shared" si="3"/>
        <v>4107890500</v>
      </c>
      <c r="R21" s="80">
        <f t="shared" si="4"/>
        <v>8215781</v>
      </c>
    </row>
    <row r="22" spans="1:18">
      <c r="A22" s="32">
        <v>13</v>
      </c>
      <c r="B22" s="32">
        <v>200</v>
      </c>
      <c r="C22" s="81">
        <v>5</v>
      </c>
      <c r="D22" s="36" t="s">
        <v>290</v>
      </c>
      <c r="E22" s="37">
        <v>43549</v>
      </c>
      <c r="F22" s="38" t="s">
        <v>282</v>
      </c>
      <c r="G22" s="39" t="s">
        <v>291</v>
      </c>
      <c r="H22" s="71">
        <v>5</v>
      </c>
      <c r="I22" s="50">
        <v>45435</v>
      </c>
      <c r="J22" s="42">
        <v>10.026359558105469</v>
      </c>
      <c r="K22" s="42">
        <v>9.9718389511108398</v>
      </c>
      <c r="L22" s="44">
        <v>33491818</v>
      </c>
      <c r="M22" s="44">
        <v>34632988</v>
      </c>
      <c r="N22" s="46">
        <f t="shared" si="0"/>
        <v>34062403</v>
      </c>
      <c r="O22" s="46">
        <f t="shared" si="1"/>
        <v>806929.04548665241</v>
      </c>
      <c r="P22" s="46">
        <f t="shared" si="2"/>
        <v>2.3689727512373464</v>
      </c>
      <c r="Q22" s="66">
        <f t="shared" si="3"/>
        <v>2384368210</v>
      </c>
      <c r="R22" s="80">
        <f t="shared" si="4"/>
        <v>4768736.42</v>
      </c>
    </row>
    <row r="23" spans="1:18">
      <c r="A23" s="32">
        <v>13</v>
      </c>
      <c r="B23" s="32">
        <v>210</v>
      </c>
      <c r="C23" s="81">
        <v>16</v>
      </c>
      <c r="D23" s="36" t="s">
        <v>847</v>
      </c>
      <c r="E23" s="37">
        <v>43584</v>
      </c>
      <c r="F23" s="38" t="s">
        <v>282</v>
      </c>
      <c r="G23" s="40" t="s">
        <v>848</v>
      </c>
      <c r="H23" s="71">
        <v>5</v>
      </c>
      <c r="I23" s="48">
        <v>45477</v>
      </c>
      <c r="J23" s="42">
        <v>10.357789039611816</v>
      </c>
      <c r="K23" s="42">
        <v>10.558627128601074</v>
      </c>
      <c r="L23" s="44">
        <v>48760928</v>
      </c>
      <c r="M23" s="44">
        <v>43335028</v>
      </c>
      <c r="N23" s="46">
        <f t="shared" si="0"/>
        <v>46047978</v>
      </c>
      <c r="O23" s="46">
        <f t="shared" si="1"/>
        <v>3836690.6840400882</v>
      </c>
      <c r="P23" s="46">
        <f t="shared" si="2"/>
        <v>8.3319417066262673</v>
      </c>
      <c r="Q23" s="66">
        <f t="shared" si="3"/>
        <v>3223358460</v>
      </c>
      <c r="R23" s="80">
        <f t="shared" si="4"/>
        <v>6446716.9199999999</v>
      </c>
    </row>
    <row r="24" spans="1:18">
      <c r="A24" s="32">
        <v>13</v>
      </c>
      <c r="B24" s="32">
        <v>220</v>
      </c>
      <c r="C24" s="81">
        <v>17</v>
      </c>
      <c r="D24" s="36" t="s">
        <v>849</v>
      </c>
      <c r="E24" s="37">
        <v>43619</v>
      </c>
      <c r="F24" s="38" t="s">
        <v>282</v>
      </c>
      <c r="G24" s="40" t="s">
        <v>850</v>
      </c>
      <c r="H24" s="71">
        <v>5</v>
      </c>
      <c r="I24" s="48">
        <v>45477</v>
      </c>
      <c r="J24" s="42">
        <v>10.28297233581543</v>
      </c>
      <c r="K24" s="42">
        <v>10.390413284301758</v>
      </c>
      <c r="L24" s="44">
        <v>50951548</v>
      </c>
      <c r="M24" s="44">
        <v>47835428</v>
      </c>
      <c r="N24" s="46">
        <f t="shared" si="0"/>
        <v>49393488</v>
      </c>
      <c r="O24" s="46">
        <f t="shared" si="1"/>
        <v>2203429.5829910245</v>
      </c>
      <c r="P24" s="46">
        <f t="shared" si="2"/>
        <v>4.4609718248507262</v>
      </c>
      <c r="Q24" s="66">
        <f t="shared" si="3"/>
        <v>3457544160</v>
      </c>
      <c r="R24" s="80">
        <f t="shared" si="4"/>
        <v>6915088.3200000003</v>
      </c>
    </row>
    <row r="25" spans="1:18">
      <c r="A25" s="32">
        <v>13</v>
      </c>
      <c r="B25" s="32">
        <v>230</v>
      </c>
      <c r="C25" s="81">
        <v>18</v>
      </c>
      <c r="D25" s="36" t="s">
        <v>851</v>
      </c>
      <c r="E25" s="37">
        <v>43661</v>
      </c>
      <c r="F25" s="38" t="s">
        <v>282</v>
      </c>
      <c r="G25" s="40" t="s">
        <v>852</v>
      </c>
      <c r="H25" s="71">
        <v>10</v>
      </c>
      <c r="I25" s="48">
        <v>45477</v>
      </c>
      <c r="J25" s="42">
        <v>10.642374038696289</v>
      </c>
      <c r="K25" s="42">
        <v>10.852862358093262</v>
      </c>
      <c r="L25" s="44">
        <v>41254908</v>
      </c>
      <c r="M25" s="44">
        <v>36457004</v>
      </c>
      <c r="N25" s="46">
        <f t="shared" si="0"/>
        <v>38855956</v>
      </c>
      <c r="O25" s="46">
        <f t="shared" si="1"/>
        <v>3392630.4538820609</v>
      </c>
      <c r="P25" s="46">
        <f t="shared" si="2"/>
        <v>8.7313009461974413</v>
      </c>
      <c r="Q25" s="66">
        <f t="shared" si="3"/>
        <v>2719916920</v>
      </c>
      <c r="R25" s="80">
        <f t="shared" si="4"/>
        <v>5439833.8399999999</v>
      </c>
    </row>
    <row r="26" spans="1:18">
      <c r="A26" s="32">
        <v>13</v>
      </c>
      <c r="B26" s="32">
        <v>240</v>
      </c>
      <c r="C26" s="81">
        <v>19</v>
      </c>
      <c r="D26" s="36" t="s">
        <v>853</v>
      </c>
      <c r="E26" s="37">
        <v>43696</v>
      </c>
      <c r="F26" s="38" t="s">
        <v>282</v>
      </c>
      <c r="G26" s="40" t="s">
        <v>854</v>
      </c>
      <c r="H26" s="71">
        <v>5</v>
      </c>
      <c r="I26" s="48">
        <v>45477</v>
      </c>
      <c r="J26" s="42">
        <v>9.8586854934692383</v>
      </c>
      <c r="K26" s="42">
        <v>9.9900531768798828</v>
      </c>
      <c r="L26" s="44">
        <v>65371892</v>
      </c>
      <c r="M26" s="44">
        <v>60517328</v>
      </c>
      <c r="N26" s="46">
        <f t="shared" si="0"/>
        <v>62944610</v>
      </c>
      <c r="O26" s="46">
        <f t="shared" si="1"/>
        <v>3432695.124104091</v>
      </c>
      <c r="P26" s="46">
        <f t="shared" si="2"/>
        <v>5.4535171861484102</v>
      </c>
      <c r="Q26" s="66">
        <f t="shared" si="3"/>
        <v>4406122700</v>
      </c>
      <c r="R26" s="80">
        <f t="shared" si="4"/>
        <v>8812245.4000000004</v>
      </c>
    </row>
    <row r="27" spans="1:18">
      <c r="A27" s="32">
        <v>13</v>
      </c>
      <c r="B27" s="32">
        <v>250</v>
      </c>
      <c r="C27" s="81">
        <v>6</v>
      </c>
      <c r="D27" s="36" t="s">
        <v>292</v>
      </c>
      <c r="E27" s="37">
        <v>43731</v>
      </c>
      <c r="F27" s="38" t="s">
        <v>282</v>
      </c>
      <c r="G27" s="39" t="s">
        <v>293</v>
      </c>
      <c r="H27" s="71">
        <v>5</v>
      </c>
      <c r="I27" s="50">
        <v>45435</v>
      </c>
      <c r="J27" s="42">
        <v>10.314961433410645</v>
      </c>
      <c r="K27" s="42">
        <v>10.299386024475098</v>
      </c>
      <c r="L27" s="44">
        <v>28048684</v>
      </c>
      <c r="M27" s="44">
        <v>28318450</v>
      </c>
      <c r="N27" s="46">
        <f t="shared" si="0"/>
        <v>28183567</v>
      </c>
      <c r="O27" s="46">
        <f t="shared" si="1"/>
        <v>190753.36793357017</v>
      </c>
      <c r="P27" s="46">
        <f t="shared" si="2"/>
        <v>0.67682478918857281</v>
      </c>
      <c r="Q27" s="66">
        <f t="shared" si="3"/>
        <v>1972849690</v>
      </c>
      <c r="R27" s="80">
        <f t="shared" si="4"/>
        <v>3945699.38</v>
      </c>
    </row>
    <row r="28" spans="1:18">
      <c r="A28" s="32">
        <v>13</v>
      </c>
      <c r="B28" s="32">
        <v>260</v>
      </c>
      <c r="C28" s="81">
        <v>20</v>
      </c>
      <c r="D28" s="36" t="s">
        <v>855</v>
      </c>
      <c r="E28" s="37">
        <v>43766</v>
      </c>
      <c r="F28" s="38" t="s">
        <v>282</v>
      </c>
      <c r="G28" s="40" t="s">
        <v>856</v>
      </c>
      <c r="H28" s="71">
        <v>5</v>
      </c>
      <c r="I28" s="48">
        <v>45477</v>
      </c>
      <c r="J28" s="42">
        <v>10.420641899108887</v>
      </c>
      <c r="K28" s="42">
        <v>10.945047378540039</v>
      </c>
      <c r="L28" s="44">
        <v>46993576</v>
      </c>
      <c r="M28" s="44">
        <v>34535440</v>
      </c>
      <c r="N28" s="46">
        <f t="shared" si="0"/>
        <v>40764508</v>
      </c>
      <c r="O28" s="46">
        <f t="shared" si="1"/>
        <v>8809232.4465442505</v>
      </c>
      <c r="P28" s="46">
        <f t="shared" si="2"/>
        <v>21.610054625323212</v>
      </c>
      <c r="Q28" s="66">
        <f t="shared" si="3"/>
        <v>2853515560</v>
      </c>
      <c r="R28" s="80">
        <f t="shared" si="4"/>
        <v>5707031.1200000001</v>
      </c>
    </row>
    <row r="29" spans="1:18">
      <c r="A29" s="32">
        <v>13</v>
      </c>
      <c r="B29" s="32">
        <v>270</v>
      </c>
      <c r="C29" s="81">
        <v>21</v>
      </c>
      <c r="D29" s="36" t="s">
        <v>857</v>
      </c>
      <c r="E29" s="37">
        <v>43801</v>
      </c>
      <c r="F29" s="38" t="s">
        <v>282</v>
      </c>
      <c r="G29" s="40" t="s">
        <v>858</v>
      </c>
      <c r="H29" s="71">
        <v>5</v>
      </c>
      <c r="I29" s="48">
        <v>45477</v>
      </c>
      <c r="J29" s="42">
        <v>10.084408760070801</v>
      </c>
      <c r="K29" s="42">
        <v>10.01488208770752</v>
      </c>
      <c r="L29" s="44">
        <v>57254556</v>
      </c>
      <c r="M29" s="44">
        <v>59641152</v>
      </c>
      <c r="N29" s="46">
        <f t="shared" si="0"/>
        <v>58447854</v>
      </c>
      <c r="O29" s="46">
        <f t="shared" si="1"/>
        <v>1687578.2155526895</v>
      </c>
      <c r="P29" s="46">
        <f t="shared" si="2"/>
        <v>2.8873228015397956</v>
      </c>
      <c r="Q29" s="66">
        <f t="shared" si="3"/>
        <v>4091349780</v>
      </c>
      <c r="R29" s="80">
        <f t="shared" si="4"/>
        <v>8182699.5599999996</v>
      </c>
    </row>
    <row r="30" spans="1:18">
      <c r="A30" s="32">
        <v>13</v>
      </c>
      <c r="B30" s="32">
        <v>280</v>
      </c>
      <c r="C30" s="81">
        <v>22</v>
      </c>
      <c r="D30" s="36" t="s">
        <v>859</v>
      </c>
      <c r="E30" s="37">
        <v>43836</v>
      </c>
      <c r="F30" s="38" t="s">
        <v>282</v>
      </c>
      <c r="G30" s="40" t="s">
        <v>860</v>
      </c>
      <c r="H30" s="71">
        <v>7</v>
      </c>
      <c r="I30" s="48">
        <v>45477</v>
      </c>
      <c r="J30" s="42">
        <v>9.392852783203125</v>
      </c>
      <c r="K30" s="42">
        <v>9.1598014831542969</v>
      </c>
      <c r="L30" s="44">
        <v>85945456</v>
      </c>
      <c r="M30" s="44">
        <v>98553776</v>
      </c>
      <c r="N30" s="46">
        <f t="shared" si="0"/>
        <v>92249616</v>
      </c>
      <c r="O30" s="46">
        <f t="shared" si="1"/>
        <v>8915428.5713699702</v>
      </c>
      <c r="P30" s="46">
        <f t="shared" si="2"/>
        <v>9.6644614448801285</v>
      </c>
      <c r="Q30" s="66">
        <f t="shared" si="3"/>
        <v>6457473120</v>
      </c>
      <c r="R30" s="80">
        <f t="shared" si="4"/>
        <v>12914946.24</v>
      </c>
    </row>
    <row r="31" spans="1:18">
      <c r="A31" s="32">
        <v>13</v>
      </c>
      <c r="B31" s="32">
        <v>290</v>
      </c>
      <c r="C31" s="81">
        <v>23</v>
      </c>
      <c r="D31" s="36" t="s">
        <v>861</v>
      </c>
      <c r="E31" s="37">
        <v>43878</v>
      </c>
      <c r="F31" s="38" t="s">
        <v>282</v>
      </c>
      <c r="G31" s="40" t="s">
        <v>862</v>
      </c>
      <c r="H31" s="71">
        <v>7</v>
      </c>
      <c r="I31" s="48">
        <v>45477</v>
      </c>
      <c r="J31" s="42">
        <v>10.337493896484375</v>
      </c>
      <c r="K31" s="42">
        <v>10.34154224395752</v>
      </c>
      <c r="L31" s="44">
        <v>49345684</v>
      </c>
      <c r="M31" s="44">
        <v>49228484</v>
      </c>
      <c r="N31" s="46">
        <f t="shared" si="0"/>
        <v>49287084</v>
      </c>
      <c r="O31" s="46">
        <f t="shared" si="1"/>
        <v>82872.914755063364</v>
      </c>
      <c r="P31" s="46">
        <f t="shared" si="2"/>
        <v>0.1681432700604957</v>
      </c>
      <c r="Q31" s="66">
        <f t="shared" si="3"/>
        <v>3450095880</v>
      </c>
      <c r="R31" s="80">
        <f t="shared" si="4"/>
        <v>6900191.7599999998</v>
      </c>
    </row>
    <row r="32" spans="1:18">
      <c r="A32" s="32">
        <v>13</v>
      </c>
      <c r="B32" s="32">
        <v>300</v>
      </c>
      <c r="C32" s="81">
        <v>7</v>
      </c>
      <c r="D32" s="36" t="s">
        <v>294</v>
      </c>
      <c r="E32" s="37">
        <v>43913</v>
      </c>
      <c r="F32" s="38" t="s">
        <v>282</v>
      </c>
      <c r="G32" s="39" t="s">
        <v>295</v>
      </c>
      <c r="H32" s="71">
        <v>5</v>
      </c>
      <c r="I32" s="50">
        <v>45435</v>
      </c>
      <c r="J32" s="42">
        <v>10.187539100646973</v>
      </c>
      <c r="K32" s="42">
        <v>10.057483673095703</v>
      </c>
      <c r="L32" s="44">
        <v>30333380</v>
      </c>
      <c r="M32" s="44">
        <v>32857300</v>
      </c>
      <c r="N32" s="46">
        <f t="shared" si="0"/>
        <v>31595340</v>
      </c>
      <c r="O32" s="46">
        <f t="shared" si="1"/>
        <v>1784680.9471723509</v>
      </c>
      <c r="P32" s="46">
        <f t="shared" si="2"/>
        <v>5.6485574998476071</v>
      </c>
      <c r="Q32" s="66">
        <f t="shared" si="3"/>
        <v>2211673800</v>
      </c>
      <c r="R32" s="80">
        <f t="shared" si="4"/>
        <v>4423347.5999999996</v>
      </c>
    </row>
    <row r="33" spans="1:18">
      <c r="A33" s="32">
        <v>13</v>
      </c>
      <c r="B33" s="32">
        <v>310</v>
      </c>
      <c r="C33" s="81">
        <v>24</v>
      </c>
      <c r="D33" s="36" t="s">
        <v>863</v>
      </c>
      <c r="E33" s="37">
        <v>44025</v>
      </c>
      <c r="F33" s="38" t="s">
        <v>282</v>
      </c>
      <c r="G33" s="40" t="s">
        <v>864</v>
      </c>
      <c r="H33" s="71">
        <v>5</v>
      </c>
      <c r="I33" s="48">
        <v>45477</v>
      </c>
      <c r="J33" s="42">
        <v>12.624889373779297</v>
      </c>
      <c r="K33" s="42">
        <v>12.296994209289551</v>
      </c>
      <c r="L33" s="44">
        <v>12874928</v>
      </c>
      <c r="M33" s="44">
        <v>15609515</v>
      </c>
      <c r="N33" s="46">
        <f t="shared" si="0"/>
        <v>14242221.5</v>
      </c>
      <c r="O33" s="46">
        <f t="shared" si="1"/>
        <v>1933645.0114445775</v>
      </c>
      <c r="P33" s="46">
        <f t="shared" si="2"/>
        <v>13.576849731234537</v>
      </c>
      <c r="Q33" s="66">
        <f t="shared" si="3"/>
        <v>996955505</v>
      </c>
      <c r="R33" s="80">
        <f t="shared" si="4"/>
        <v>1993911.01</v>
      </c>
    </row>
    <row r="34" spans="1:18">
      <c r="A34" s="32">
        <v>13</v>
      </c>
      <c r="B34" s="32">
        <v>320</v>
      </c>
      <c r="C34" s="81">
        <v>25</v>
      </c>
      <c r="D34" s="36" t="s">
        <v>865</v>
      </c>
      <c r="E34" s="37">
        <v>44060</v>
      </c>
      <c r="F34" s="38" t="s">
        <v>282</v>
      </c>
      <c r="G34" s="40" t="s">
        <v>866</v>
      </c>
      <c r="H34" s="71">
        <v>5</v>
      </c>
      <c r="I34" s="48">
        <v>45477</v>
      </c>
      <c r="J34" s="42">
        <v>14.233787536621094</v>
      </c>
      <c r="K34" s="42">
        <v>14.497615814208984</v>
      </c>
      <c r="L34" s="44">
        <v>5004055</v>
      </c>
      <c r="M34" s="44">
        <v>4285689</v>
      </c>
      <c r="N34" s="46">
        <f t="shared" si="0"/>
        <v>4644872</v>
      </c>
      <c r="O34" s="46">
        <f t="shared" si="1"/>
        <v>507961.46997385542</v>
      </c>
      <c r="P34" s="46">
        <f t="shared" si="2"/>
        <v>10.935962712726107</v>
      </c>
      <c r="Q34" s="66">
        <f t="shared" si="3"/>
        <v>325141040</v>
      </c>
      <c r="R34" s="80">
        <f t="shared" si="4"/>
        <v>650282.07999999996</v>
      </c>
    </row>
    <row r="35" spans="1:18">
      <c r="A35" s="32">
        <v>13</v>
      </c>
      <c r="B35" s="32">
        <v>330</v>
      </c>
      <c r="C35" s="81">
        <v>26</v>
      </c>
      <c r="D35" s="36" t="s">
        <v>867</v>
      </c>
      <c r="E35" s="37">
        <v>44095</v>
      </c>
      <c r="F35" s="38" t="s">
        <v>282</v>
      </c>
      <c r="G35" s="40" t="s">
        <v>868</v>
      </c>
      <c r="H35" s="71">
        <v>0</v>
      </c>
      <c r="I35" s="48">
        <v>45477</v>
      </c>
      <c r="J35" s="42">
        <v>14.705480575561523</v>
      </c>
      <c r="K35" s="42">
        <v>14.960144996643066</v>
      </c>
      <c r="L35" s="44">
        <v>3793108.75</v>
      </c>
      <c r="M35" s="44">
        <v>3266115.5</v>
      </c>
      <c r="N35" s="46">
        <f t="shared" si="0"/>
        <v>3529612.125</v>
      </c>
      <c r="O35" s="46">
        <f t="shared" si="1"/>
        <v>372640.50071453751</v>
      </c>
      <c r="P35" s="46">
        <f t="shared" si="2"/>
        <v>10.557548181431905</v>
      </c>
      <c r="Q35" s="66">
        <f t="shared" si="3"/>
        <v>247072848.75</v>
      </c>
      <c r="R35" s="80">
        <f t="shared" si="4"/>
        <v>494145.69750000001</v>
      </c>
    </row>
    <row r="36" spans="1:18">
      <c r="A36" s="32">
        <v>13</v>
      </c>
      <c r="B36" s="32">
        <v>340</v>
      </c>
      <c r="C36" s="81">
        <v>27</v>
      </c>
      <c r="D36" s="36" t="s">
        <v>869</v>
      </c>
      <c r="E36" s="37">
        <v>44130</v>
      </c>
      <c r="F36" s="38" t="s">
        <v>282</v>
      </c>
      <c r="G36" s="40" t="s">
        <v>870</v>
      </c>
      <c r="H36" s="71">
        <v>5</v>
      </c>
      <c r="I36" s="48">
        <v>45477</v>
      </c>
      <c r="J36" s="42">
        <v>10.785348892211914</v>
      </c>
      <c r="K36" s="42">
        <v>10.152365684509277</v>
      </c>
      <c r="L36" s="44">
        <v>37931792</v>
      </c>
      <c r="M36" s="44">
        <v>55014168</v>
      </c>
      <c r="N36" s="46">
        <f t="shared" si="0"/>
        <v>46472980</v>
      </c>
      <c r="O36" s="46">
        <f t="shared" si="1"/>
        <v>12079063.908378331</v>
      </c>
      <c r="P36" s="46">
        <f t="shared" si="2"/>
        <v>25.99158459039711</v>
      </c>
      <c r="Q36" s="66">
        <f t="shared" si="3"/>
        <v>3253108600</v>
      </c>
      <c r="R36" s="80">
        <f t="shared" si="4"/>
        <v>6506217.2000000002</v>
      </c>
    </row>
    <row r="37" spans="1:18">
      <c r="A37" s="32">
        <v>13</v>
      </c>
      <c r="B37" s="32">
        <v>350</v>
      </c>
      <c r="C37" s="81">
        <v>8</v>
      </c>
      <c r="D37" s="36" t="s">
        <v>296</v>
      </c>
      <c r="E37" s="37">
        <v>44165</v>
      </c>
      <c r="F37" s="38" t="s">
        <v>282</v>
      </c>
      <c r="G37" s="39" t="s">
        <v>297</v>
      </c>
      <c r="H37" s="71">
        <v>5</v>
      </c>
      <c r="I37" s="50">
        <v>45435</v>
      </c>
      <c r="J37" s="42">
        <v>9.5507583618164062</v>
      </c>
      <c r="K37" s="42">
        <v>9.6587762832641602</v>
      </c>
      <c r="L37" s="44">
        <v>44861524</v>
      </c>
      <c r="M37" s="44">
        <v>41980216</v>
      </c>
      <c r="N37" s="46">
        <f t="shared" si="0"/>
        <v>43420870</v>
      </c>
      <c r="O37" s="46">
        <f t="shared" si="1"/>
        <v>2037392.4254870489</v>
      </c>
      <c r="P37" s="46">
        <f t="shared" si="2"/>
        <v>4.6921962307228045</v>
      </c>
      <c r="Q37" s="66">
        <f t="shared" si="3"/>
        <v>3039460900</v>
      </c>
      <c r="R37" s="80">
        <f t="shared" si="4"/>
        <v>6078921.7999999998</v>
      </c>
    </row>
    <row r="38" spans="1:18">
      <c r="A38" s="32">
        <v>13</v>
      </c>
      <c r="B38" s="32">
        <v>360</v>
      </c>
      <c r="C38" s="81">
        <v>28</v>
      </c>
      <c r="D38" s="36" t="s">
        <v>871</v>
      </c>
      <c r="E38" s="37">
        <v>44200</v>
      </c>
      <c r="F38" s="38" t="s">
        <v>282</v>
      </c>
      <c r="G38" s="40" t="s">
        <v>872</v>
      </c>
      <c r="H38" s="71">
        <v>5</v>
      </c>
      <c r="I38" s="48">
        <v>45477</v>
      </c>
      <c r="J38" s="42">
        <v>10.510276794433594</v>
      </c>
      <c r="K38" s="42">
        <v>10.269403457641602</v>
      </c>
      <c r="L38" s="44">
        <v>44583384</v>
      </c>
      <c r="M38" s="44">
        <v>51359260</v>
      </c>
      <c r="N38" s="46">
        <f t="shared" si="0"/>
        <v>47971322</v>
      </c>
      <c r="O38" s="46">
        <f t="shared" si="1"/>
        <v>4791267.868079179</v>
      </c>
      <c r="P38" s="46">
        <f t="shared" si="2"/>
        <v>9.9877753381055019</v>
      </c>
      <c r="Q38" s="66">
        <f t="shared" si="3"/>
        <v>3357992540</v>
      </c>
      <c r="R38" s="80">
        <f t="shared" si="4"/>
        <v>6715985.0800000001</v>
      </c>
    </row>
    <row r="39" spans="1:18">
      <c r="A39" s="32">
        <v>13</v>
      </c>
      <c r="B39" s="32">
        <v>370</v>
      </c>
      <c r="C39" s="81">
        <v>29</v>
      </c>
      <c r="D39" s="36" t="s">
        <v>873</v>
      </c>
      <c r="E39" s="37">
        <v>44235</v>
      </c>
      <c r="F39" s="38" t="s">
        <v>282</v>
      </c>
      <c r="G39" s="40" t="s">
        <v>874</v>
      </c>
      <c r="H39" s="71">
        <v>5</v>
      </c>
      <c r="I39" s="48">
        <v>45477</v>
      </c>
      <c r="J39" s="42">
        <v>10.057233810424805</v>
      </c>
      <c r="K39" s="42">
        <v>10.018906593322754</v>
      </c>
      <c r="L39" s="44">
        <v>58175788</v>
      </c>
      <c r="M39" s="44">
        <v>59500332</v>
      </c>
      <c r="N39" s="46">
        <f t="shared" si="0"/>
        <v>58838060</v>
      </c>
      <c r="O39" s="46">
        <f t="shared" si="1"/>
        <v>936594.04437995446</v>
      </c>
      <c r="P39" s="46">
        <f t="shared" si="2"/>
        <v>1.5918166648933607</v>
      </c>
      <c r="Q39" s="66">
        <f t="shared" si="3"/>
        <v>4118664200</v>
      </c>
      <c r="R39" s="80">
        <f t="shared" si="4"/>
        <v>8237328.4000000004</v>
      </c>
    </row>
    <row r="40" spans="1:18">
      <c r="A40" s="32">
        <v>13</v>
      </c>
      <c r="B40" s="32">
        <v>380</v>
      </c>
      <c r="C40" s="81">
        <v>30</v>
      </c>
      <c r="D40" s="36" t="s">
        <v>875</v>
      </c>
      <c r="E40" s="37">
        <v>44270</v>
      </c>
      <c r="F40" s="38" t="s">
        <v>282</v>
      </c>
      <c r="G40" s="40" t="s">
        <v>876</v>
      </c>
      <c r="H40" s="71">
        <v>0</v>
      </c>
      <c r="I40" s="48">
        <v>45477</v>
      </c>
      <c r="J40" s="42">
        <v>9.7254257202148438</v>
      </c>
      <c r="K40" s="42">
        <v>9.8853979110717773</v>
      </c>
      <c r="L40" s="44">
        <v>70694400</v>
      </c>
      <c r="M40" s="44">
        <v>64354192</v>
      </c>
      <c r="N40" s="46">
        <f t="shared" si="0"/>
        <v>67524296</v>
      </c>
      <c r="O40" s="46">
        <f t="shared" si="1"/>
        <v>4483204.0709331986</v>
      </c>
      <c r="P40" s="46">
        <f t="shared" si="2"/>
        <v>6.6393940203881554</v>
      </c>
      <c r="Q40" s="66">
        <f t="shared" si="3"/>
        <v>4726700720</v>
      </c>
      <c r="R40" s="80">
        <f t="shared" si="4"/>
        <v>9453401.4399999995</v>
      </c>
    </row>
    <row r="41" spans="1:18">
      <c r="A41" s="32">
        <v>13</v>
      </c>
      <c r="B41" s="32">
        <v>390</v>
      </c>
      <c r="C41" s="81">
        <v>31</v>
      </c>
      <c r="D41" s="36" t="s">
        <v>877</v>
      </c>
      <c r="E41" s="37">
        <v>44305</v>
      </c>
      <c r="F41" s="38" t="s">
        <v>282</v>
      </c>
      <c r="G41" s="40" t="s">
        <v>878</v>
      </c>
      <c r="H41" s="71">
        <v>0</v>
      </c>
      <c r="I41" s="48">
        <v>45477</v>
      </c>
      <c r="J41" s="42">
        <v>9.6774845123291016</v>
      </c>
      <c r="K41" s="42">
        <v>9.6877632141113281</v>
      </c>
      <c r="L41" s="44">
        <v>72713432</v>
      </c>
      <c r="M41" s="44">
        <v>72275744</v>
      </c>
      <c r="N41" s="46">
        <f t="shared" si="0"/>
        <v>72494588</v>
      </c>
      <c r="O41" s="46">
        <f t="shared" si="1"/>
        <v>309492.15284397762</v>
      </c>
      <c r="P41" s="46">
        <f t="shared" si="2"/>
        <v>0.42691759672318935</v>
      </c>
      <c r="Q41" s="66">
        <f t="shared" si="3"/>
        <v>5074621160</v>
      </c>
      <c r="R41" s="80">
        <f t="shared" si="4"/>
        <v>10149242.32</v>
      </c>
    </row>
    <row r="42" spans="1:18">
      <c r="A42" s="32">
        <v>13</v>
      </c>
      <c r="B42" s="32">
        <v>400</v>
      </c>
      <c r="C42" s="81">
        <v>9</v>
      </c>
      <c r="D42" s="36" t="s">
        <v>298</v>
      </c>
      <c r="E42" s="37">
        <v>44341</v>
      </c>
      <c r="F42" s="38" t="s">
        <v>282</v>
      </c>
      <c r="G42" s="39" t="s">
        <v>299</v>
      </c>
      <c r="H42" s="71">
        <v>0</v>
      </c>
      <c r="I42" s="50">
        <v>45435</v>
      </c>
      <c r="J42" s="42">
        <v>10.286369323730469</v>
      </c>
      <c r="K42" s="42">
        <v>10.201836585998535</v>
      </c>
      <c r="L42" s="44">
        <v>28545890</v>
      </c>
      <c r="M42" s="44">
        <v>30068024</v>
      </c>
      <c r="N42" s="46">
        <f t="shared" si="0"/>
        <v>29306957</v>
      </c>
      <c r="O42" s="46">
        <f t="shared" si="1"/>
        <v>1076311.2732746042</v>
      </c>
      <c r="P42" s="46">
        <f t="shared" si="2"/>
        <v>3.6725453047704826</v>
      </c>
      <c r="Q42" s="66">
        <f t="shared" si="3"/>
        <v>2051486990</v>
      </c>
      <c r="R42" s="80">
        <f t="shared" si="4"/>
        <v>4102973.98</v>
      </c>
    </row>
    <row r="43" spans="1:18">
      <c r="A43" s="32">
        <v>13</v>
      </c>
      <c r="B43" s="32">
        <v>410</v>
      </c>
      <c r="C43" s="81">
        <v>32</v>
      </c>
      <c r="D43" s="36" t="s">
        <v>879</v>
      </c>
      <c r="E43" s="37">
        <v>44375</v>
      </c>
      <c r="F43" s="38" t="s">
        <v>282</v>
      </c>
      <c r="G43" s="40" t="s">
        <v>880</v>
      </c>
      <c r="H43" s="71">
        <v>0</v>
      </c>
      <c r="I43" s="48">
        <v>45477</v>
      </c>
      <c r="J43" s="42">
        <v>11.266829490661621</v>
      </c>
      <c r="K43" s="42">
        <v>11.438725471496582</v>
      </c>
      <c r="L43" s="44">
        <v>28587740</v>
      </c>
      <c r="M43" s="44">
        <v>25842226</v>
      </c>
      <c r="N43" s="46">
        <f t="shared" si="0"/>
        <v>27214983</v>
      </c>
      <c r="O43" s="46">
        <f t="shared" si="1"/>
        <v>1941371.5672426028</v>
      </c>
      <c r="P43" s="46">
        <f t="shared" si="2"/>
        <v>7.133466029512503</v>
      </c>
      <c r="Q43" s="66">
        <f t="shared" si="3"/>
        <v>1905048810</v>
      </c>
      <c r="R43" s="80">
        <f t="shared" si="4"/>
        <v>3810097.62</v>
      </c>
    </row>
    <row r="44" spans="1:18">
      <c r="A44" s="32">
        <v>13</v>
      </c>
      <c r="B44" s="32">
        <v>420</v>
      </c>
      <c r="C44" s="81">
        <v>33</v>
      </c>
      <c r="D44" s="36" t="s">
        <v>881</v>
      </c>
      <c r="E44" s="37">
        <v>44410</v>
      </c>
      <c r="F44" s="38" t="s">
        <v>282</v>
      </c>
      <c r="G44" s="40" t="s">
        <v>882</v>
      </c>
      <c r="H44" s="71">
        <v>0</v>
      </c>
      <c r="I44" s="48">
        <v>45477</v>
      </c>
      <c r="J44" s="42">
        <v>11.398521423339844</v>
      </c>
      <c r="K44" s="42">
        <v>11.613627433776855</v>
      </c>
      <c r="L44" s="44">
        <v>26459754</v>
      </c>
      <c r="M44" s="44">
        <v>23319176</v>
      </c>
      <c r="N44" s="46">
        <f t="shared" si="0"/>
        <v>24889465</v>
      </c>
      <c r="O44" s="46">
        <f t="shared" si="1"/>
        <v>2220724.000645285</v>
      </c>
      <c r="P44" s="46">
        <f t="shared" si="2"/>
        <v>8.9223452599133211</v>
      </c>
      <c r="Q44" s="66">
        <f t="shared" si="3"/>
        <v>1742262550</v>
      </c>
      <c r="R44" s="80">
        <f t="shared" si="4"/>
        <v>3484525.1</v>
      </c>
    </row>
    <row r="45" spans="1:18">
      <c r="A45" s="32">
        <v>13</v>
      </c>
      <c r="B45" s="32">
        <v>430</v>
      </c>
      <c r="C45" s="81">
        <v>34</v>
      </c>
      <c r="D45" s="36" t="s">
        <v>883</v>
      </c>
      <c r="E45" s="37">
        <v>44445</v>
      </c>
      <c r="F45" s="38" t="s">
        <v>282</v>
      </c>
      <c r="G45" s="40" t="s">
        <v>884</v>
      </c>
      <c r="H45" s="71">
        <v>5</v>
      </c>
      <c r="I45" s="48">
        <v>45477</v>
      </c>
      <c r="J45" s="42">
        <v>10.294119834899902</v>
      </c>
      <c r="K45" s="42">
        <v>10.51927661895752</v>
      </c>
      <c r="L45" s="44">
        <v>50619016</v>
      </c>
      <c r="M45" s="44">
        <v>44348324</v>
      </c>
      <c r="N45" s="46">
        <f t="shared" si="0"/>
        <v>47483670</v>
      </c>
      <c r="O45" s="46">
        <f t="shared" si="1"/>
        <v>4434048.8359322343</v>
      </c>
      <c r="P45" s="46">
        <f t="shared" si="2"/>
        <v>9.33804997788131</v>
      </c>
      <c r="Q45" s="66">
        <f t="shared" si="3"/>
        <v>3323856900</v>
      </c>
      <c r="R45" s="80">
        <f t="shared" si="4"/>
        <v>6647713.7999999998</v>
      </c>
    </row>
    <row r="46" spans="1:18">
      <c r="A46" s="32">
        <v>13</v>
      </c>
      <c r="B46" s="32">
        <v>440</v>
      </c>
      <c r="C46" s="81">
        <v>35</v>
      </c>
      <c r="D46" s="36" t="s">
        <v>885</v>
      </c>
      <c r="E46" s="37">
        <v>44480</v>
      </c>
      <c r="F46" s="38" t="s">
        <v>282</v>
      </c>
      <c r="G46" s="40" t="s">
        <v>886</v>
      </c>
      <c r="H46" s="71">
        <v>5</v>
      </c>
      <c r="I46" s="48">
        <v>45477</v>
      </c>
      <c r="J46" s="42">
        <v>10.928468704223633</v>
      </c>
      <c r="K46" s="42">
        <v>10.648143768310547</v>
      </c>
      <c r="L46" s="44">
        <v>34873388</v>
      </c>
      <c r="M46" s="44">
        <v>41115332</v>
      </c>
      <c r="N46" s="46">
        <f t="shared" si="0"/>
        <v>37994360</v>
      </c>
      <c r="O46" s="46">
        <f t="shared" si="1"/>
        <v>4413720.9301866833</v>
      </c>
      <c r="P46" s="46">
        <f t="shared" si="2"/>
        <v>11.616779254043715</v>
      </c>
      <c r="Q46" s="66">
        <f t="shared" si="3"/>
        <v>2659605200</v>
      </c>
      <c r="R46" s="80">
        <f t="shared" si="4"/>
        <v>5319210.4000000004</v>
      </c>
    </row>
    <row r="47" spans="1:18">
      <c r="A47" s="32">
        <v>13</v>
      </c>
      <c r="B47" s="32">
        <v>450</v>
      </c>
      <c r="C47" s="81">
        <v>10</v>
      </c>
      <c r="D47" s="36" t="s">
        <v>300</v>
      </c>
      <c r="E47" s="37">
        <v>44515</v>
      </c>
      <c r="F47" s="38" t="s">
        <v>282</v>
      </c>
      <c r="G47" s="40" t="s">
        <v>301</v>
      </c>
      <c r="H47" s="71">
        <v>0</v>
      </c>
      <c r="I47" s="50">
        <v>45435</v>
      </c>
      <c r="J47" s="42">
        <v>11.56141471862793</v>
      </c>
      <c r="K47" s="42">
        <v>11.124639511108398</v>
      </c>
      <c r="L47" s="44">
        <v>13038904</v>
      </c>
      <c r="M47" s="44">
        <v>17053516</v>
      </c>
      <c r="N47" s="46">
        <f t="shared" si="0"/>
        <v>15046210</v>
      </c>
      <c r="O47" s="46">
        <f t="shared" si="1"/>
        <v>2838759.3690328877</v>
      </c>
      <c r="P47" s="46">
        <f t="shared" si="2"/>
        <v>18.866939707958934</v>
      </c>
      <c r="Q47" s="66">
        <f t="shared" si="3"/>
        <v>1053234700</v>
      </c>
      <c r="R47" s="80">
        <f t="shared" si="4"/>
        <v>2106469.4</v>
      </c>
    </row>
    <row r="48" spans="1:18">
      <c r="A48" s="32">
        <v>13</v>
      </c>
      <c r="B48" s="32">
        <v>460</v>
      </c>
      <c r="C48" s="81">
        <v>1</v>
      </c>
      <c r="D48" s="36" t="s">
        <v>510</v>
      </c>
      <c r="E48" s="37">
        <v>44550</v>
      </c>
      <c r="F48" s="38" t="s">
        <v>282</v>
      </c>
      <c r="G48" s="40" t="s">
        <v>511</v>
      </c>
      <c r="H48" s="71">
        <v>0</v>
      </c>
      <c r="I48" s="50">
        <v>45454</v>
      </c>
      <c r="J48" s="42">
        <v>10.837470054626465</v>
      </c>
      <c r="K48" s="42">
        <v>11.115846633911133</v>
      </c>
      <c r="L48" s="44">
        <v>37601664</v>
      </c>
      <c r="M48" s="44">
        <v>31786442</v>
      </c>
      <c r="N48" s="46">
        <f t="shared" si="0"/>
        <v>34694053</v>
      </c>
      <c r="O48" s="46">
        <f t="shared" si="1"/>
        <v>4111982.9103051974</v>
      </c>
      <c r="P48" s="46">
        <f t="shared" si="2"/>
        <v>11.852126098686703</v>
      </c>
      <c r="Q48" s="66">
        <f t="shared" si="3"/>
        <v>2428583710</v>
      </c>
      <c r="R48" s="80">
        <f t="shared" si="4"/>
        <v>4857167.42</v>
      </c>
    </row>
    <row r="49" spans="1:18">
      <c r="A49" s="32">
        <v>13</v>
      </c>
      <c r="B49" s="32">
        <v>470</v>
      </c>
      <c r="C49" s="81">
        <v>2</v>
      </c>
      <c r="D49" s="36" t="s">
        <v>512</v>
      </c>
      <c r="E49" s="37">
        <v>44585</v>
      </c>
      <c r="F49" s="38" t="s">
        <v>282</v>
      </c>
      <c r="G49" s="40" t="s">
        <v>513</v>
      </c>
      <c r="H49" s="71">
        <v>0</v>
      </c>
      <c r="I49" s="50">
        <v>45454</v>
      </c>
      <c r="J49" s="42">
        <v>9.3962211608886719</v>
      </c>
      <c r="K49" s="42">
        <v>9.5341014862060547</v>
      </c>
      <c r="L49" s="44">
        <v>89737096</v>
      </c>
      <c r="M49" s="44">
        <v>82571904</v>
      </c>
      <c r="N49" s="46">
        <f t="shared" si="0"/>
        <v>86154500</v>
      </c>
      <c r="O49" s="46">
        <f t="shared" si="1"/>
        <v>5066555.851703601</v>
      </c>
      <c r="P49" s="46">
        <f t="shared" si="2"/>
        <v>5.8807791255286732</v>
      </c>
      <c r="Q49" s="66">
        <f t="shared" si="3"/>
        <v>6030815000</v>
      </c>
      <c r="R49" s="80">
        <f t="shared" si="4"/>
        <v>12061630</v>
      </c>
    </row>
    <row r="50" spans="1:18">
      <c r="A50" s="32">
        <v>13</v>
      </c>
      <c r="B50" s="32">
        <v>480</v>
      </c>
      <c r="C50" s="81">
        <v>3</v>
      </c>
      <c r="D50" s="36" t="s">
        <v>514</v>
      </c>
      <c r="E50" s="37">
        <v>44620</v>
      </c>
      <c r="F50" s="38" t="s">
        <v>282</v>
      </c>
      <c r="G50" s="40" t="s">
        <v>515</v>
      </c>
      <c r="H50" s="71">
        <v>0</v>
      </c>
      <c r="I50" s="50">
        <v>45454</v>
      </c>
      <c r="J50" s="42">
        <v>10.011922836303711</v>
      </c>
      <c r="K50" s="42">
        <v>9.89801025390625</v>
      </c>
      <c r="L50" s="44">
        <v>61885768</v>
      </c>
      <c r="M50" s="44">
        <v>66290052</v>
      </c>
      <c r="N50" s="46">
        <f t="shared" si="0"/>
        <v>64087910</v>
      </c>
      <c r="O50" s="46">
        <f t="shared" si="1"/>
        <v>3114299.0826714123</v>
      </c>
      <c r="P50" s="46">
        <f t="shared" si="2"/>
        <v>4.8594174512344255</v>
      </c>
      <c r="Q50" s="66">
        <f t="shared" si="3"/>
        <v>4486153700</v>
      </c>
      <c r="R50" s="80">
        <f t="shared" si="4"/>
        <v>8972307.4000000004</v>
      </c>
    </row>
    <row r="51" spans="1:18">
      <c r="A51" s="32">
        <v>13</v>
      </c>
      <c r="B51" s="32">
        <v>490</v>
      </c>
      <c r="C51" s="81">
        <v>4</v>
      </c>
      <c r="D51" s="36" t="s">
        <v>516</v>
      </c>
      <c r="E51" s="37">
        <v>44655</v>
      </c>
      <c r="F51" s="38" t="s">
        <v>282</v>
      </c>
      <c r="G51" s="40" t="s">
        <v>517</v>
      </c>
      <c r="H51" s="71">
        <v>0</v>
      </c>
      <c r="I51" s="50">
        <v>45454</v>
      </c>
      <c r="J51" s="42">
        <v>8.3880805969238281</v>
      </c>
      <c r="K51" s="42">
        <v>8.2625627517700195</v>
      </c>
      <c r="L51" s="44">
        <v>164897920</v>
      </c>
      <c r="M51" s="44">
        <v>177874880</v>
      </c>
      <c r="N51" s="46">
        <f t="shared" si="0"/>
        <v>171386400</v>
      </c>
      <c r="O51" s="46">
        <f t="shared" si="1"/>
        <v>9176096.4151865803</v>
      </c>
      <c r="P51" s="46">
        <f t="shared" si="2"/>
        <v>5.3540400026995023</v>
      </c>
      <c r="Q51" s="66">
        <f t="shared" si="3"/>
        <v>11997048000</v>
      </c>
      <c r="R51" s="80">
        <f t="shared" si="4"/>
        <v>23994096</v>
      </c>
    </row>
    <row r="52" spans="1:18">
      <c r="A52" s="32">
        <v>13</v>
      </c>
      <c r="B52" s="32">
        <v>500</v>
      </c>
      <c r="C52" s="81">
        <v>5</v>
      </c>
      <c r="D52" s="36" t="s">
        <v>518</v>
      </c>
      <c r="E52" s="37">
        <v>44697</v>
      </c>
      <c r="F52" s="38" t="s">
        <v>282</v>
      </c>
      <c r="G52" s="40" t="s">
        <v>519</v>
      </c>
      <c r="H52" s="71">
        <v>0</v>
      </c>
      <c r="I52" s="50">
        <v>45454</v>
      </c>
      <c r="J52" s="42">
        <v>8.866633415222168</v>
      </c>
      <c r="K52" s="42">
        <v>8.8426227569580078</v>
      </c>
      <c r="L52" s="44">
        <v>123532712</v>
      </c>
      <c r="M52" s="44">
        <v>125335872</v>
      </c>
      <c r="N52" s="46">
        <f t="shared" si="0"/>
        <v>124434292</v>
      </c>
      <c r="O52" s="46">
        <f t="shared" si="1"/>
        <v>1275026.6635643351</v>
      </c>
      <c r="P52" s="46">
        <f t="shared" si="2"/>
        <v>1.0246585913506343</v>
      </c>
      <c r="Q52" s="66">
        <f t="shared" si="3"/>
        <v>8710400440</v>
      </c>
      <c r="R52" s="80">
        <f t="shared" si="4"/>
        <v>17420800.879999999</v>
      </c>
    </row>
    <row r="53" spans="1:18">
      <c r="A53" s="32">
        <v>13</v>
      </c>
      <c r="B53" s="32">
        <v>510</v>
      </c>
      <c r="C53" s="81">
        <v>6</v>
      </c>
      <c r="D53" s="36" t="s">
        <v>520</v>
      </c>
      <c r="E53" s="37">
        <v>44732</v>
      </c>
      <c r="F53" s="38" t="s">
        <v>282</v>
      </c>
      <c r="G53" s="40" t="s">
        <v>521</v>
      </c>
      <c r="H53" s="71">
        <v>0</v>
      </c>
      <c r="I53" s="50">
        <v>45454</v>
      </c>
      <c r="J53" s="42">
        <v>9.3968410491943359</v>
      </c>
      <c r="K53" s="42">
        <v>9.3236293792724609</v>
      </c>
      <c r="L53" s="44">
        <v>89703528</v>
      </c>
      <c r="M53" s="44">
        <v>93755984</v>
      </c>
      <c r="N53" s="46">
        <f t="shared" si="0"/>
        <v>91729756</v>
      </c>
      <c r="O53" s="46">
        <f t="shared" si="1"/>
        <v>2865519.1180601115</v>
      </c>
      <c r="P53" s="46">
        <f t="shared" si="2"/>
        <v>3.1238708604655083</v>
      </c>
      <c r="Q53" s="66">
        <f t="shared" si="3"/>
        <v>6421082920</v>
      </c>
      <c r="R53" s="80">
        <f t="shared" si="4"/>
        <v>12842165.84</v>
      </c>
    </row>
    <row r="54" spans="1:18">
      <c r="A54" s="32">
        <v>13</v>
      </c>
      <c r="B54" s="32">
        <v>520</v>
      </c>
      <c r="C54" s="81">
        <v>1</v>
      </c>
      <c r="D54" s="36" t="s">
        <v>522</v>
      </c>
      <c r="E54" s="37">
        <v>44771</v>
      </c>
      <c r="F54" s="38" t="s">
        <v>282</v>
      </c>
      <c r="G54" s="40" t="s">
        <v>563</v>
      </c>
      <c r="H54" s="71">
        <v>10</v>
      </c>
      <c r="I54" s="50">
        <v>45454</v>
      </c>
      <c r="J54" s="42">
        <v>9.7460527420043945</v>
      </c>
      <c r="K54" s="42">
        <v>9.9029340744018555</v>
      </c>
      <c r="L54" s="44">
        <v>157188624</v>
      </c>
      <c r="M54" s="44">
        <v>139350384</v>
      </c>
      <c r="N54" s="46">
        <f t="shared" si="0"/>
        <v>148269504</v>
      </c>
      <c r="O54" s="46">
        <f t="shared" si="1"/>
        <v>12613540.468433119</v>
      </c>
      <c r="P54" s="46">
        <f t="shared" si="2"/>
        <v>8.5071711499305476</v>
      </c>
      <c r="Q54" s="66">
        <f t="shared" si="3"/>
        <v>10378865280</v>
      </c>
      <c r="R54" s="80">
        <f t="shared" si="4"/>
        <v>20757730.559999999</v>
      </c>
    </row>
    <row r="55" spans="1:18">
      <c r="A55" s="32">
        <v>13</v>
      </c>
      <c r="B55" s="32">
        <v>530</v>
      </c>
      <c r="C55" s="81">
        <v>7</v>
      </c>
      <c r="D55" s="36" t="s">
        <v>523</v>
      </c>
      <c r="E55" s="37">
        <v>44802</v>
      </c>
      <c r="F55" s="38" t="s">
        <v>282</v>
      </c>
      <c r="G55" s="40" t="s">
        <v>524</v>
      </c>
      <c r="H55" s="71">
        <v>5</v>
      </c>
      <c r="I55" s="50">
        <v>45454</v>
      </c>
      <c r="J55" s="42">
        <v>10.480194091796875</v>
      </c>
      <c r="K55" s="42">
        <v>10.365715980529785</v>
      </c>
      <c r="L55" s="44">
        <v>46650088</v>
      </c>
      <c r="M55" s="44">
        <v>49987136</v>
      </c>
      <c r="N55" s="46">
        <f t="shared" si="0"/>
        <v>48318612</v>
      </c>
      <c r="O55" s="46">
        <f t="shared" si="1"/>
        <v>2359649.2699450059</v>
      </c>
      <c r="P55" s="46">
        <f t="shared" si="2"/>
        <v>4.8835203915729322</v>
      </c>
      <c r="Q55" s="66">
        <f t="shared" si="3"/>
        <v>3382302840</v>
      </c>
      <c r="R55" s="80">
        <f t="shared" si="4"/>
        <v>6764605.6799999997</v>
      </c>
    </row>
    <row r="56" spans="1:18">
      <c r="A56" s="32">
        <v>13</v>
      </c>
      <c r="B56" s="32">
        <v>540</v>
      </c>
      <c r="C56" s="81">
        <v>8</v>
      </c>
      <c r="D56" s="36" t="s">
        <v>525</v>
      </c>
      <c r="E56" s="37">
        <v>44837</v>
      </c>
      <c r="F56" s="38" t="s">
        <v>282</v>
      </c>
      <c r="G56" s="40" t="s">
        <v>526</v>
      </c>
      <c r="H56" s="71">
        <v>5</v>
      </c>
      <c r="I56" s="50">
        <v>45454</v>
      </c>
      <c r="J56" s="42">
        <v>11.36400318145752</v>
      </c>
      <c r="K56" s="42">
        <v>12.197627067565918</v>
      </c>
      <c r="L56" s="44">
        <v>27365144</v>
      </c>
      <c r="M56" s="44">
        <v>16546153</v>
      </c>
      <c r="N56" s="46">
        <f t="shared" si="0"/>
        <v>21955648.5</v>
      </c>
      <c r="O56" s="46">
        <f t="shared" si="1"/>
        <v>7650181.9016962266</v>
      </c>
      <c r="P56" s="46">
        <f t="shared" si="2"/>
        <v>34.843798404297765</v>
      </c>
      <c r="Q56" s="66">
        <f t="shared" si="3"/>
        <v>1536895395</v>
      </c>
      <c r="R56" s="80">
        <f t="shared" si="4"/>
        <v>3073790.79</v>
      </c>
    </row>
    <row r="57" spans="1:18">
      <c r="A57" s="32">
        <v>13</v>
      </c>
      <c r="B57" s="32">
        <v>550</v>
      </c>
      <c r="C57" s="81">
        <v>9</v>
      </c>
      <c r="D57" s="36" t="s">
        <v>527</v>
      </c>
      <c r="E57" s="37" t="s">
        <v>528</v>
      </c>
      <c r="F57" s="38" t="s">
        <v>282</v>
      </c>
      <c r="G57" s="40" t="s">
        <v>529</v>
      </c>
      <c r="H57" s="71">
        <v>5</v>
      </c>
      <c r="I57" s="50">
        <v>45454</v>
      </c>
      <c r="J57" s="42">
        <v>10.054452896118164</v>
      </c>
      <c r="K57" s="42">
        <v>10.045594215393066</v>
      </c>
      <c r="L57" s="44">
        <v>60317488</v>
      </c>
      <c r="M57" s="44">
        <v>60640840</v>
      </c>
      <c r="N57" s="46">
        <f t="shared" si="0"/>
        <v>60479164</v>
      </c>
      <c r="O57" s="46">
        <f t="shared" si="1"/>
        <v>228644.39191023252</v>
      </c>
      <c r="P57" s="46">
        <f t="shared" si="2"/>
        <v>0.37805481555636672</v>
      </c>
      <c r="Q57" s="66">
        <f t="shared" si="3"/>
        <v>4233541480</v>
      </c>
      <c r="R57" s="80">
        <f t="shared" si="4"/>
        <v>8467082.9600000009</v>
      </c>
    </row>
    <row r="58" spans="1:18">
      <c r="A58" s="32">
        <v>13</v>
      </c>
      <c r="B58" s="32">
        <v>560</v>
      </c>
      <c r="C58" s="81">
        <v>10</v>
      </c>
      <c r="D58" s="36" t="s">
        <v>571</v>
      </c>
      <c r="E58" s="37" t="s">
        <v>528</v>
      </c>
      <c r="F58" s="38" t="s">
        <v>282</v>
      </c>
      <c r="G58" s="40" t="s">
        <v>572</v>
      </c>
      <c r="H58" s="71">
        <v>5</v>
      </c>
      <c r="I58" s="50">
        <v>45454</v>
      </c>
      <c r="J58" s="42">
        <v>9.6685323715209961</v>
      </c>
      <c r="K58" s="42">
        <v>9.4824666976928711</v>
      </c>
      <c r="L58" s="44">
        <v>76137160</v>
      </c>
      <c r="M58" s="44">
        <v>85185608</v>
      </c>
      <c r="N58" s="46">
        <f t="shared" si="0"/>
        <v>80661384</v>
      </c>
      <c r="O58" s="46">
        <f t="shared" si="1"/>
        <v>6398218.9400138538</v>
      </c>
      <c r="P58" s="46">
        <f t="shared" si="2"/>
        <v>7.9321958324120168</v>
      </c>
      <c r="Q58" s="66">
        <f t="shared" si="3"/>
        <v>5646296880</v>
      </c>
      <c r="R58" s="80">
        <f t="shared" si="4"/>
        <v>11292593.76</v>
      </c>
    </row>
    <row r="59" spans="1:18">
      <c r="A59" s="32">
        <v>13</v>
      </c>
      <c r="B59" s="32">
        <v>570</v>
      </c>
      <c r="C59" s="81">
        <v>2</v>
      </c>
      <c r="D59" s="36" t="s">
        <v>596</v>
      </c>
      <c r="E59" s="37" t="s">
        <v>528</v>
      </c>
      <c r="F59" s="38" t="s">
        <v>282</v>
      </c>
      <c r="G59" s="40" t="s">
        <v>595</v>
      </c>
      <c r="H59" s="71">
        <v>5</v>
      </c>
      <c r="I59" s="50">
        <v>45454</v>
      </c>
      <c r="J59" s="42">
        <v>10.204206466674805</v>
      </c>
      <c r="K59" s="42">
        <v>10.537355422973633</v>
      </c>
      <c r="L59" s="44">
        <v>110572512</v>
      </c>
      <c r="M59" s="44">
        <v>85616368</v>
      </c>
      <c r="N59" s="46">
        <f t="shared" si="0"/>
        <v>98094440</v>
      </c>
      <c r="O59" s="46">
        <f t="shared" si="1"/>
        <v>17646658.65466797</v>
      </c>
      <c r="P59" s="46">
        <f t="shared" si="2"/>
        <v>17.989458581615807</v>
      </c>
      <c r="Q59" s="66">
        <f t="shared" si="3"/>
        <v>6866610800</v>
      </c>
      <c r="R59" s="80">
        <f t="shared" si="4"/>
        <v>13733221.6</v>
      </c>
    </row>
    <row r="60" spans="1:18">
      <c r="A60" s="32">
        <v>14</v>
      </c>
      <c r="B60" s="32">
        <v>10</v>
      </c>
      <c r="C60" s="81">
        <v>11</v>
      </c>
      <c r="D60" s="36" t="s">
        <v>450</v>
      </c>
      <c r="E60" s="37">
        <v>42779</v>
      </c>
      <c r="F60" s="38" t="s">
        <v>282</v>
      </c>
      <c r="G60" s="40" t="s">
        <v>451</v>
      </c>
      <c r="H60" s="71">
        <v>5</v>
      </c>
      <c r="I60" s="50">
        <v>45435</v>
      </c>
      <c r="J60" s="42">
        <v>11.170021057128906</v>
      </c>
      <c r="K60" s="42">
        <v>11.015993118286133</v>
      </c>
      <c r="L60" s="44">
        <v>16584480</v>
      </c>
      <c r="M60" s="44">
        <v>18231024</v>
      </c>
      <c r="N60" s="46">
        <f t="shared" si="0"/>
        <v>17407752</v>
      </c>
      <c r="O60" s="46">
        <f t="shared" si="1"/>
        <v>1164282.4279220228</v>
      </c>
      <c r="P60" s="46">
        <f t="shared" si="2"/>
        <v>6.6882985690629253</v>
      </c>
      <c r="Q60" s="66">
        <f t="shared" si="3"/>
        <v>1218542640</v>
      </c>
      <c r="R60" s="80">
        <f t="shared" si="4"/>
        <v>2437085.2799999998</v>
      </c>
    </row>
    <row r="61" spans="1:18">
      <c r="A61" s="32">
        <v>14</v>
      </c>
      <c r="B61" s="32">
        <v>20</v>
      </c>
      <c r="C61" s="81">
        <v>1</v>
      </c>
      <c r="D61" s="36" t="s">
        <v>893</v>
      </c>
      <c r="E61" s="37">
        <v>42814</v>
      </c>
      <c r="F61" s="38" t="s">
        <v>282</v>
      </c>
      <c r="G61" s="40" t="s">
        <v>894</v>
      </c>
      <c r="H61" s="71">
        <v>7</v>
      </c>
      <c r="I61" s="48">
        <v>45474</v>
      </c>
      <c r="J61" s="42">
        <v>8.6155519485473633</v>
      </c>
      <c r="K61" s="42">
        <v>8.5282907485961914</v>
      </c>
      <c r="L61" s="44">
        <v>122546656</v>
      </c>
      <c r="M61" s="44">
        <v>129055288</v>
      </c>
      <c r="N61" s="46">
        <f t="shared" si="0"/>
        <v>125800972</v>
      </c>
      <c r="O61" s="46">
        <f t="shared" si="1"/>
        <v>4602297.8234477611</v>
      </c>
      <c r="P61" s="46">
        <f t="shared" si="2"/>
        <v>3.6583960761827505</v>
      </c>
      <c r="Q61" s="66">
        <f t="shared" si="3"/>
        <v>8806068040</v>
      </c>
      <c r="R61" s="80">
        <f t="shared" si="4"/>
        <v>17612136.079999998</v>
      </c>
    </row>
    <row r="62" spans="1:18">
      <c r="A62" s="32">
        <v>14</v>
      </c>
      <c r="B62" s="32">
        <v>30</v>
      </c>
      <c r="C62" s="81">
        <v>2</v>
      </c>
      <c r="D62" s="36" t="s">
        <v>895</v>
      </c>
      <c r="E62" s="37">
        <v>42849</v>
      </c>
      <c r="F62" s="38" t="s">
        <v>282</v>
      </c>
      <c r="G62" s="40" t="s">
        <v>896</v>
      </c>
      <c r="H62" s="71">
        <v>5</v>
      </c>
      <c r="I62" s="48">
        <v>45474</v>
      </c>
      <c r="J62" s="42">
        <v>8.9652824401855469</v>
      </c>
      <c r="K62" s="42">
        <v>8.9874229431152344</v>
      </c>
      <c r="L62" s="44">
        <v>99592680</v>
      </c>
      <c r="M62" s="44">
        <v>98293560</v>
      </c>
      <c r="N62" s="46">
        <f t="shared" si="0"/>
        <v>98943120</v>
      </c>
      <c r="O62" s="46">
        <f t="shared" si="1"/>
        <v>918616.56157506758</v>
      </c>
      <c r="P62" s="46">
        <f t="shared" si="2"/>
        <v>0.92842894137062548</v>
      </c>
      <c r="Q62" s="66">
        <f t="shared" si="3"/>
        <v>6926018400</v>
      </c>
      <c r="R62" s="80">
        <f t="shared" si="4"/>
        <v>13852036.800000001</v>
      </c>
    </row>
    <row r="63" spans="1:18">
      <c r="A63" s="32">
        <v>14</v>
      </c>
      <c r="B63" s="32">
        <v>40</v>
      </c>
      <c r="C63" s="81">
        <v>3</v>
      </c>
      <c r="D63" s="36" t="s">
        <v>897</v>
      </c>
      <c r="E63" s="37">
        <v>42884</v>
      </c>
      <c r="F63" s="38" t="s">
        <v>282</v>
      </c>
      <c r="G63" s="40" t="s">
        <v>898</v>
      </c>
      <c r="H63" s="71">
        <v>5</v>
      </c>
      <c r="I63" s="48">
        <v>45474</v>
      </c>
      <c r="J63" s="42">
        <v>10.464415550231934</v>
      </c>
      <c r="K63" s="42">
        <v>10.511527061462402</v>
      </c>
      <c r="L63" s="44">
        <v>40937524</v>
      </c>
      <c r="M63" s="44">
        <v>39809604</v>
      </c>
      <c r="N63" s="46">
        <f t="shared" si="0"/>
        <v>40373564</v>
      </c>
      <c r="O63" s="46">
        <f t="shared" si="1"/>
        <v>797559.88063593069</v>
      </c>
      <c r="P63" s="46">
        <f t="shared" si="2"/>
        <v>1.9754507693101624</v>
      </c>
      <c r="Q63" s="66">
        <f t="shared" si="3"/>
        <v>2826149480</v>
      </c>
      <c r="R63" s="80">
        <f t="shared" si="4"/>
        <v>5652298.96</v>
      </c>
    </row>
    <row r="64" spans="1:18">
      <c r="A64" s="32">
        <v>14</v>
      </c>
      <c r="B64" s="32">
        <v>50</v>
      </c>
      <c r="C64" s="81">
        <v>12</v>
      </c>
      <c r="D64" s="36" t="s">
        <v>452</v>
      </c>
      <c r="E64" s="37">
        <v>42940</v>
      </c>
      <c r="F64" s="38" t="s">
        <v>282</v>
      </c>
      <c r="G64" s="40" t="s">
        <v>453</v>
      </c>
      <c r="H64" s="71">
        <v>5</v>
      </c>
      <c r="I64" s="50">
        <v>45435</v>
      </c>
      <c r="J64" s="42">
        <v>8.5770645141601562</v>
      </c>
      <c r="K64" s="42">
        <v>8.5397100448608398</v>
      </c>
      <c r="L64" s="44">
        <v>81610776</v>
      </c>
      <c r="M64" s="44">
        <v>83505904</v>
      </c>
      <c r="N64" s="46">
        <f t="shared" si="0"/>
        <v>82558340</v>
      </c>
      <c r="O64" s="46">
        <f t="shared" si="1"/>
        <v>1340057.8600164994</v>
      </c>
      <c r="P64" s="46">
        <f t="shared" si="2"/>
        <v>1.6231647341946307</v>
      </c>
      <c r="Q64" s="66">
        <f t="shared" si="3"/>
        <v>5779083800</v>
      </c>
      <c r="R64" s="80">
        <f t="shared" si="4"/>
        <v>11558167.6</v>
      </c>
    </row>
    <row r="65" spans="1:18">
      <c r="A65" s="32">
        <v>14</v>
      </c>
      <c r="B65" s="32">
        <v>60</v>
      </c>
      <c r="C65" s="81">
        <v>4</v>
      </c>
      <c r="D65" s="36" t="s">
        <v>899</v>
      </c>
      <c r="E65" s="37">
        <v>42975</v>
      </c>
      <c r="F65" s="38" t="s">
        <v>282</v>
      </c>
      <c r="G65" s="40" t="s">
        <v>900</v>
      </c>
      <c r="H65" s="71">
        <v>5</v>
      </c>
      <c r="I65" s="48">
        <v>45474</v>
      </c>
      <c r="J65" s="42">
        <v>10.45798397064209</v>
      </c>
      <c r="K65" s="42">
        <v>10.566167831420898</v>
      </c>
      <c r="L65" s="44">
        <v>41093964</v>
      </c>
      <c r="M65" s="44">
        <v>38540292</v>
      </c>
      <c r="N65" s="46">
        <f t="shared" si="0"/>
        <v>39817128</v>
      </c>
      <c r="O65" s="46">
        <f t="shared" si="1"/>
        <v>1805718.7881262132</v>
      </c>
      <c r="P65" s="46">
        <f t="shared" si="2"/>
        <v>4.5350302214821054</v>
      </c>
      <c r="Q65" s="66">
        <f t="shared" si="3"/>
        <v>2787198960</v>
      </c>
      <c r="R65" s="80">
        <f t="shared" si="4"/>
        <v>5574397.9199999999</v>
      </c>
    </row>
    <row r="66" spans="1:18">
      <c r="A66" s="32">
        <v>14</v>
      </c>
      <c r="B66" s="32">
        <v>70</v>
      </c>
      <c r="C66" s="81">
        <v>5</v>
      </c>
      <c r="D66" s="36" t="s">
        <v>901</v>
      </c>
      <c r="E66" s="37">
        <v>43010</v>
      </c>
      <c r="F66" s="38" t="s">
        <v>282</v>
      </c>
      <c r="G66" s="40" t="s">
        <v>902</v>
      </c>
      <c r="H66" s="71">
        <v>5</v>
      </c>
      <c r="I66" s="48">
        <v>45474</v>
      </c>
      <c r="J66" s="42">
        <v>8.5897741317749023</v>
      </c>
      <c r="K66" s="42">
        <v>8.4766731262207031</v>
      </c>
      <c r="L66" s="44">
        <v>124434440</v>
      </c>
      <c r="M66" s="44">
        <v>133066912</v>
      </c>
      <c r="N66" s="46">
        <f t="shared" si="0"/>
        <v>128750676</v>
      </c>
      <c r="O66" s="46">
        <f t="shared" si="1"/>
        <v>6104079.4896029979</v>
      </c>
      <c r="P66" s="46">
        <f t="shared" si="2"/>
        <v>4.7410077206918881</v>
      </c>
      <c r="Q66" s="66">
        <f t="shared" si="3"/>
        <v>9012547320</v>
      </c>
      <c r="R66" s="80">
        <f t="shared" si="4"/>
        <v>18025094.640000001</v>
      </c>
    </row>
    <row r="67" spans="1:18">
      <c r="A67" s="32">
        <v>14</v>
      </c>
      <c r="B67" s="32">
        <v>80</v>
      </c>
      <c r="C67" s="81">
        <v>6</v>
      </c>
      <c r="D67" s="36" t="s">
        <v>903</v>
      </c>
      <c r="E67" s="37">
        <v>43045</v>
      </c>
      <c r="F67" s="38" t="s">
        <v>282</v>
      </c>
      <c r="G67" s="40" t="s">
        <v>904</v>
      </c>
      <c r="H67" s="71">
        <v>5</v>
      </c>
      <c r="I67" s="48">
        <v>45474</v>
      </c>
      <c r="J67" s="42">
        <v>9.5246829986572266</v>
      </c>
      <c r="K67" s="42">
        <v>9.4362564086914062</v>
      </c>
      <c r="L67" s="44">
        <v>71474688</v>
      </c>
      <c r="M67" s="44">
        <v>75322856</v>
      </c>
      <c r="N67" s="46">
        <f t="shared" ref="N67:N130" si="5">AVERAGE(L67:M67)</f>
        <v>73398772</v>
      </c>
      <c r="O67" s="46">
        <f t="shared" ref="O67:O130" si="6">STDEVA(L67:M67)</f>
        <v>2721065.6879450744</v>
      </c>
      <c r="P67" s="46">
        <f t="shared" ref="P67:P130" si="7">O67*100/N67</f>
        <v>3.707235984745187</v>
      </c>
      <c r="Q67" s="66">
        <f t="shared" ref="Q67:Q130" si="8">N67*70</f>
        <v>5137914040</v>
      </c>
      <c r="R67" s="80">
        <f t="shared" si="4"/>
        <v>10275828.08</v>
      </c>
    </row>
    <row r="68" spans="1:18">
      <c r="A68" s="32">
        <v>14</v>
      </c>
      <c r="B68" s="32">
        <v>90</v>
      </c>
      <c r="C68" s="81">
        <v>7</v>
      </c>
      <c r="D68" s="36" t="s">
        <v>905</v>
      </c>
      <c r="E68" s="37">
        <v>43080</v>
      </c>
      <c r="F68" s="38" t="s">
        <v>282</v>
      </c>
      <c r="G68" s="40" t="s">
        <v>906</v>
      </c>
      <c r="H68" s="71">
        <v>5</v>
      </c>
      <c r="I68" s="48">
        <v>45474</v>
      </c>
      <c r="J68" s="42">
        <v>9.3694534301757812</v>
      </c>
      <c r="K68" s="42">
        <v>9.179290771484375</v>
      </c>
      <c r="L68" s="44">
        <v>78366792</v>
      </c>
      <c r="M68" s="44">
        <v>87722088</v>
      </c>
      <c r="N68" s="46">
        <f t="shared" si="5"/>
        <v>83044440</v>
      </c>
      <c r="O68" s="46">
        <f t="shared" si="6"/>
        <v>6615193.2416073829</v>
      </c>
      <c r="P68" s="46">
        <f t="shared" si="7"/>
        <v>7.9658472519140142</v>
      </c>
      <c r="Q68" s="66">
        <f t="shared" si="8"/>
        <v>5813110800</v>
      </c>
      <c r="R68" s="80">
        <f t="shared" ref="R68:R131" si="9">Q68/500</f>
        <v>11626221.6</v>
      </c>
    </row>
    <row r="69" spans="1:18">
      <c r="A69" s="32">
        <v>14</v>
      </c>
      <c r="B69" s="32">
        <v>100</v>
      </c>
      <c r="C69" s="81">
        <v>13</v>
      </c>
      <c r="D69" s="36" t="s">
        <v>454</v>
      </c>
      <c r="E69" s="37">
        <v>43136</v>
      </c>
      <c r="F69" s="38" t="s">
        <v>282</v>
      </c>
      <c r="G69" s="40" t="s">
        <v>455</v>
      </c>
      <c r="H69" s="71">
        <v>5</v>
      </c>
      <c r="I69" s="50">
        <v>45435</v>
      </c>
      <c r="J69" s="42">
        <v>7.9436359405517578</v>
      </c>
      <c r="K69" s="42">
        <v>7.7992491722106934</v>
      </c>
      <c r="L69" s="44">
        <v>120449784</v>
      </c>
      <c r="M69" s="44">
        <v>131626112</v>
      </c>
      <c r="N69" s="46">
        <f t="shared" si="5"/>
        <v>126037948</v>
      </c>
      <c r="O69" s="46">
        <f t="shared" si="6"/>
        <v>7902857.3175650844</v>
      </c>
      <c r="P69" s="46">
        <f t="shared" si="7"/>
        <v>6.2702205510082445</v>
      </c>
      <c r="Q69" s="66">
        <f t="shared" si="8"/>
        <v>8822656360</v>
      </c>
      <c r="R69" s="80">
        <f t="shared" si="9"/>
        <v>17645312.719999999</v>
      </c>
    </row>
    <row r="70" spans="1:18">
      <c r="A70" s="32">
        <v>14</v>
      </c>
      <c r="B70" s="32">
        <v>110</v>
      </c>
      <c r="C70" s="81">
        <v>8</v>
      </c>
      <c r="D70" s="36" t="s">
        <v>907</v>
      </c>
      <c r="E70" s="37">
        <v>43171</v>
      </c>
      <c r="F70" s="38" t="s">
        <v>282</v>
      </c>
      <c r="G70" s="40" t="s">
        <v>908</v>
      </c>
      <c r="H70" s="71">
        <v>10</v>
      </c>
      <c r="I70" s="48">
        <v>45474</v>
      </c>
      <c r="J70" s="42">
        <v>15.573269844055176</v>
      </c>
      <c r="K70" s="42">
        <v>9.6270389556884766</v>
      </c>
      <c r="L70" s="44">
        <v>1978436.875</v>
      </c>
      <c r="M70" s="44">
        <v>67265168</v>
      </c>
      <c r="N70" s="46">
        <f t="shared" si="5"/>
        <v>34621802.4375</v>
      </c>
      <c r="O70" s="46">
        <f t="shared" si="6"/>
        <v>46164690.299990341</v>
      </c>
      <c r="P70" s="46">
        <f t="shared" si="7"/>
        <v>133.33993914189708</v>
      </c>
      <c r="Q70" s="66">
        <f t="shared" si="8"/>
        <v>2423526170.625</v>
      </c>
      <c r="R70" s="80">
        <f t="shared" si="9"/>
        <v>4847052.3412499996</v>
      </c>
    </row>
    <row r="71" spans="1:18">
      <c r="A71" s="32">
        <v>14</v>
      </c>
      <c r="B71" s="32">
        <v>120</v>
      </c>
      <c r="C71" s="81">
        <v>9</v>
      </c>
      <c r="D71" s="36" t="s">
        <v>909</v>
      </c>
      <c r="E71" s="37">
        <v>43206</v>
      </c>
      <c r="F71" s="38" t="s">
        <v>282</v>
      </c>
      <c r="G71" s="40" t="s">
        <v>910</v>
      </c>
      <c r="H71" s="71">
        <v>5</v>
      </c>
      <c r="I71" s="48">
        <v>45474</v>
      </c>
      <c r="J71" s="42">
        <v>9.5279445648193359</v>
      </c>
      <c r="K71" s="42">
        <v>9.4005575180053711</v>
      </c>
      <c r="L71" s="44">
        <v>71336576</v>
      </c>
      <c r="M71" s="44">
        <v>76934496</v>
      </c>
      <c r="N71" s="46">
        <f t="shared" si="5"/>
        <v>74135536</v>
      </c>
      <c r="O71" s="46">
        <f t="shared" si="6"/>
        <v>3958327.1925397981</v>
      </c>
      <c r="P71" s="46">
        <f t="shared" si="7"/>
        <v>5.3393114909694566</v>
      </c>
      <c r="Q71" s="66">
        <f t="shared" si="8"/>
        <v>5189487520</v>
      </c>
      <c r="R71" s="80">
        <f t="shared" si="9"/>
        <v>10378975.039999999</v>
      </c>
    </row>
    <row r="72" spans="1:18">
      <c r="A72" s="32">
        <v>14</v>
      </c>
      <c r="B72" s="32">
        <v>130</v>
      </c>
      <c r="C72" s="81">
        <v>10</v>
      </c>
      <c r="D72" s="36" t="s">
        <v>911</v>
      </c>
      <c r="E72" s="37">
        <v>43242</v>
      </c>
      <c r="F72" s="38" t="s">
        <v>282</v>
      </c>
      <c r="G72" s="40" t="s">
        <v>912</v>
      </c>
      <c r="H72" s="71">
        <v>0</v>
      </c>
      <c r="I72" s="48">
        <v>45474</v>
      </c>
      <c r="J72" s="42">
        <v>8.7177181243896484</v>
      </c>
      <c r="K72" s="42">
        <v>8.3655729293823242</v>
      </c>
      <c r="L72" s="44">
        <v>115342208</v>
      </c>
      <c r="M72" s="44">
        <v>142129504</v>
      </c>
      <c r="N72" s="46">
        <f t="shared" si="5"/>
        <v>128735856</v>
      </c>
      <c r="O72" s="46">
        <f t="shared" si="6"/>
        <v>18941478.651251279</v>
      </c>
      <c r="P72" s="46">
        <f t="shared" si="7"/>
        <v>14.713444443365708</v>
      </c>
      <c r="Q72" s="66">
        <f t="shared" si="8"/>
        <v>9011509920</v>
      </c>
      <c r="R72" s="80">
        <f t="shared" si="9"/>
        <v>18023019.84</v>
      </c>
    </row>
    <row r="73" spans="1:18">
      <c r="A73" s="32">
        <v>14</v>
      </c>
      <c r="B73" s="32">
        <v>140</v>
      </c>
      <c r="C73" s="81">
        <v>11</v>
      </c>
      <c r="D73" s="36" t="s">
        <v>913</v>
      </c>
      <c r="E73" s="37">
        <v>43276</v>
      </c>
      <c r="F73" s="38" t="s">
        <v>282</v>
      </c>
      <c r="G73" s="40" t="s">
        <v>914</v>
      </c>
      <c r="H73" s="71">
        <v>0</v>
      </c>
      <c r="I73" s="48">
        <v>45474</v>
      </c>
      <c r="J73" s="42">
        <v>9.4727592468261719</v>
      </c>
      <c r="K73" s="42">
        <v>9.6878376007080078</v>
      </c>
      <c r="L73" s="44">
        <v>73709824</v>
      </c>
      <c r="M73" s="44">
        <v>64883064</v>
      </c>
      <c r="N73" s="46">
        <f t="shared" si="5"/>
        <v>69296444</v>
      </c>
      <c r="O73" s="46">
        <f t="shared" si="6"/>
        <v>6241461.8519061701</v>
      </c>
      <c r="P73" s="46">
        <f t="shared" si="7"/>
        <v>9.0069006310138651</v>
      </c>
      <c r="Q73" s="66">
        <f t="shared" si="8"/>
        <v>4850751080</v>
      </c>
      <c r="R73" s="80">
        <f t="shared" si="9"/>
        <v>9701502.1600000001</v>
      </c>
    </row>
    <row r="74" spans="1:18">
      <c r="A74" s="32">
        <v>14</v>
      </c>
      <c r="B74" s="32">
        <v>150</v>
      </c>
      <c r="C74" s="81">
        <v>14</v>
      </c>
      <c r="D74" s="36" t="s">
        <v>456</v>
      </c>
      <c r="E74" s="37">
        <v>43311</v>
      </c>
      <c r="F74" s="38" t="s">
        <v>282</v>
      </c>
      <c r="G74" s="40" t="s">
        <v>457</v>
      </c>
      <c r="H74" s="71">
        <v>0</v>
      </c>
      <c r="I74" s="50">
        <v>45435</v>
      </c>
      <c r="J74" s="42">
        <v>7.7692289352416992</v>
      </c>
      <c r="K74" s="42">
        <v>7.8374724388122559</v>
      </c>
      <c r="L74" s="44">
        <v>134077000</v>
      </c>
      <c r="M74" s="44">
        <v>128570248</v>
      </c>
      <c r="N74" s="46">
        <f t="shared" si="5"/>
        <v>131323624</v>
      </c>
      <c r="O74" s="46">
        <f t="shared" si="6"/>
        <v>3893861.681512583</v>
      </c>
      <c r="P74" s="46">
        <f t="shared" si="7"/>
        <v>2.9650885064766284</v>
      </c>
      <c r="Q74" s="66">
        <f t="shared" si="8"/>
        <v>9192653680</v>
      </c>
      <c r="R74" s="80">
        <f t="shared" si="9"/>
        <v>18385307.359999999</v>
      </c>
    </row>
    <row r="75" spans="1:18">
      <c r="A75" s="32">
        <v>14</v>
      </c>
      <c r="B75" s="32">
        <v>160</v>
      </c>
      <c r="C75" s="81">
        <v>12</v>
      </c>
      <c r="D75" s="36" t="s">
        <v>915</v>
      </c>
      <c r="E75" s="37">
        <v>43346</v>
      </c>
      <c r="F75" s="38" t="s">
        <v>282</v>
      </c>
      <c r="G75" s="40" t="s">
        <v>916</v>
      </c>
      <c r="H75" s="71">
        <v>0</v>
      </c>
      <c r="I75" s="48">
        <v>45474</v>
      </c>
      <c r="J75" s="42">
        <v>8.9554662704467773</v>
      </c>
      <c r="K75" s="42">
        <v>8.8489446640014648</v>
      </c>
      <c r="L75" s="44">
        <v>100174136</v>
      </c>
      <c r="M75" s="44">
        <v>106706416</v>
      </c>
      <c r="N75" s="46">
        <f t="shared" si="5"/>
        <v>103440276</v>
      </c>
      <c r="O75" s="46">
        <f t="shared" si="6"/>
        <v>4619019.4846092602</v>
      </c>
      <c r="P75" s="46">
        <f t="shared" si="7"/>
        <v>4.4653974865740498</v>
      </c>
      <c r="Q75" s="66">
        <f t="shared" si="8"/>
        <v>7240819320</v>
      </c>
      <c r="R75" s="80">
        <f t="shared" si="9"/>
        <v>14481638.640000001</v>
      </c>
    </row>
    <row r="76" spans="1:18">
      <c r="A76" s="32">
        <v>14</v>
      </c>
      <c r="B76" s="32">
        <v>170</v>
      </c>
      <c r="C76" s="81">
        <v>13</v>
      </c>
      <c r="D76" s="36" t="s">
        <v>917</v>
      </c>
      <c r="E76" s="37">
        <v>43381</v>
      </c>
      <c r="F76" s="38" t="s">
        <v>282</v>
      </c>
      <c r="G76" s="40" t="s">
        <v>918</v>
      </c>
      <c r="H76" s="71">
        <v>0</v>
      </c>
      <c r="I76" s="48">
        <v>45474</v>
      </c>
      <c r="J76" s="42">
        <v>8.8676023483276367</v>
      </c>
      <c r="K76" s="42">
        <v>8.8572425842285156</v>
      </c>
      <c r="L76" s="44">
        <v>105532248</v>
      </c>
      <c r="M76" s="44">
        <v>106182600</v>
      </c>
      <c r="N76" s="46">
        <f t="shared" si="5"/>
        <v>105857424</v>
      </c>
      <c r="O76" s="46">
        <f t="shared" si="6"/>
        <v>459868.30935823353</v>
      </c>
      <c r="P76" s="46">
        <f t="shared" si="7"/>
        <v>0.43442235034760862</v>
      </c>
      <c r="Q76" s="66">
        <f t="shared" si="8"/>
        <v>7410019680</v>
      </c>
      <c r="R76" s="80">
        <f t="shared" si="9"/>
        <v>14820039.359999999</v>
      </c>
    </row>
    <row r="77" spans="1:18">
      <c r="A77" s="32">
        <v>14</v>
      </c>
      <c r="B77" s="32">
        <v>180</v>
      </c>
      <c r="C77" s="81">
        <v>14</v>
      </c>
      <c r="D77" s="36" t="s">
        <v>919</v>
      </c>
      <c r="E77" s="37">
        <v>43416</v>
      </c>
      <c r="F77" s="38" t="s">
        <v>282</v>
      </c>
      <c r="G77" s="40" t="s">
        <v>920</v>
      </c>
      <c r="H77" s="71">
        <v>0</v>
      </c>
      <c r="I77" s="48">
        <v>45474</v>
      </c>
      <c r="J77" s="42">
        <v>8.8623628616333008</v>
      </c>
      <c r="K77" s="42">
        <v>8.6767206192016602</v>
      </c>
      <c r="L77" s="44">
        <v>105860664</v>
      </c>
      <c r="M77" s="44">
        <v>118180904</v>
      </c>
      <c r="N77" s="46">
        <f t="shared" si="5"/>
        <v>112020784</v>
      </c>
      <c r="O77" s="46">
        <f t="shared" si="6"/>
        <v>8711725.2498457506</v>
      </c>
      <c r="P77" s="46">
        <f t="shared" si="7"/>
        <v>7.776882948655091</v>
      </c>
      <c r="Q77" s="66">
        <f t="shared" si="8"/>
        <v>7841454880</v>
      </c>
      <c r="R77" s="80">
        <f t="shared" si="9"/>
        <v>15682909.76</v>
      </c>
    </row>
    <row r="78" spans="1:18">
      <c r="A78" s="32">
        <v>14</v>
      </c>
      <c r="B78" s="32">
        <v>190</v>
      </c>
      <c r="C78" s="81">
        <v>15</v>
      </c>
      <c r="D78" s="36" t="s">
        <v>921</v>
      </c>
      <c r="E78" s="37">
        <v>43451</v>
      </c>
      <c r="F78" s="38" t="s">
        <v>282</v>
      </c>
      <c r="G78" s="40" t="s">
        <v>922</v>
      </c>
      <c r="H78" s="71">
        <v>5</v>
      </c>
      <c r="I78" s="48">
        <v>45474</v>
      </c>
      <c r="J78" s="42">
        <v>9.7742652893066406</v>
      </c>
      <c r="K78" s="42">
        <v>9.7075920104980469</v>
      </c>
      <c r="L78" s="44">
        <v>61641284</v>
      </c>
      <c r="M78" s="44">
        <v>64127388</v>
      </c>
      <c r="N78" s="46">
        <f t="shared" si="5"/>
        <v>62884336</v>
      </c>
      <c r="O78" s="46">
        <f t="shared" si="6"/>
        <v>1757940.9971350005</v>
      </c>
      <c r="P78" s="46">
        <f t="shared" si="7"/>
        <v>2.7955149230406131</v>
      </c>
      <c r="Q78" s="66">
        <f t="shared" si="8"/>
        <v>4401903520</v>
      </c>
      <c r="R78" s="80">
        <f t="shared" si="9"/>
        <v>8803807.0399999991</v>
      </c>
    </row>
    <row r="79" spans="1:18">
      <c r="A79" s="32">
        <v>14</v>
      </c>
      <c r="B79" s="32">
        <v>200</v>
      </c>
      <c r="C79" s="81">
        <v>15</v>
      </c>
      <c r="D79" s="36" t="s">
        <v>458</v>
      </c>
      <c r="E79" s="37">
        <v>43549</v>
      </c>
      <c r="F79" s="38" t="s">
        <v>282</v>
      </c>
      <c r="G79" s="40" t="s">
        <v>459</v>
      </c>
      <c r="H79" s="71">
        <v>0</v>
      </c>
      <c r="I79" s="50">
        <v>45435</v>
      </c>
      <c r="J79" s="42">
        <v>10.101279258728027</v>
      </c>
      <c r="K79" s="42">
        <v>10.004439353942871</v>
      </c>
      <c r="L79" s="44">
        <v>31984758</v>
      </c>
      <c r="M79" s="44">
        <v>33946040</v>
      </c>
      <c r="N79" s="46">
        <f t="shared" si="5"/>
        <v>32965399</v>
      </c>
      <c r="O79" s="46">
        <f t="shared" si="6"/>
        <v>1386835.8020191144</v>
      </c>
      <c r="P79" s="46">
        <f t="shared" si="7"/>
        <v>4.2069437776837297</v>
      </c>
      <c r="Q79" s="66">
        <f t="shared" si="8"/>
        <v>2307577930</v>
      </c>
      <c r="R79" s="80">
        <f t="shared" si="9"/>
        <v>4615155.8600000003</v>
      </c>
    </row>
    <row r="80" spans="1:18">
      <c r="A80" s="32">
        <v>14</v>
      </c>
      <c r="B80" s="32">
        <v>210</v>
      </c>
      <c r="C80" s="81">
        <v>16</v>
      </c>
      <c r="D80" s="36" t="s">
        <v>923</v>
      </c>
      <c r="E80" s="37">
        <v>43584</v>
      </c>
      <c r="F80" s="38" t="s">
        <v>282</v>
      </c>
      <c r="G80" s="40" t="s">
        <v>924</v>
      </c>
      <c r="H80" s="71">
        <v>0</v>
      </c>
      <c r="I80" s="48">
        <v>45474</v>
      </c>
      <c r="J80" s="42">
        <v>10.643953323364258</v>
      </c>
      <c r="K80" s="42">
        <v>10.774174690246582</v>
      </c>
      <c r="L80" s="44">
        <v>36802824</v>
      </c>
      <c r="M80" s="44">
        <v>34067656</v>
      </c>
      <c r="N80" s="46">
        <f t="shared" si="5"/>
        <v>35435240</v>
      </c>
      <c r="O80" s="46">
        <f t="shared" si="6"/>
        <v>1934055.8404844468</v>
      </c>
      <c r="P80" s="46">
        <f t="shared" si="7"/>
        <v>5.4580012453265363</v>
      </c>
      <c r="Q80" s="66">
        <f t="shared" si="8"/>
        <v>2480466800</v>
      </c>
      <c r="R80" s="80">
        <f t="shared" si="9"/>
        <v>4960933.5999999996</v>
      </c>
    </row>
    <row r="81" spans="1:18">
      <c r="A81" s="32">
        <v>14</v>
      </c>
      <c r="B81" s="32">
        <v>220</v>
      </c>
      <c r="C81" s="81">
        <v>17</v>
      </c>
      <c r="D81" s="36" t="s">
        <v>925</v>
      </c>
      <c r="E81" s="37">
        <v>43619</v>
      </c>
      <c r="F81" s="38" t="s">
        <v>282</v>
      </c>
      <c r="G81" s="40" t="s">
        <v>926</v>
      </c>
      <c r="H81" s="71">
        <v>5</v>
      </c>
      <c r="I81" s="48">
        <v>45474</v>
      </c>
      <c r="J81" s="42">
        <v>10.316147804260254</v>
      </c>
      <c r="K81" s="42">
        <v>10.200176239013672</v>
      </c>
      <c r="L81" s="44">
        <v>44700084</v>
      </c>
      <c r="M81" s="44">
        <v>47882536</v>
      </c>
      <c r="N81" s="46">
        <f t="shared" si="5"/>
        <v>46291310</v>
      </c>
      <c r="O81" s="46">
        <f t="shared" si="6"/>
        <v>2250333.3900006907</v>
      </c>
      <c r="P81" s="46">
        <f t="shared" si="7"/>
        <v>4.8612436977927196</v>
      </c>
      <c r="Q81" s="66">
        <f t="shared" si="8"/>
        <v>3240391700</v>
      </c>
      <c r="R81" s="80">
        <f t="shared" si="9"/>
        <v>6480783.4000000004</v>
      </c>
    </row>
    <row r="82" spans="1:18">
      <c r="A82" s="32">
        <v>14</v>
      </c>
      <c r="B82" s="32">
        <v>230</v>
      </c>
      <c r="C82" s="81">
        <v>18</v>
      </c>
      <c r="D82" s="36" t="s">
        <v>927</v>
      </c>
      <c r="E82" s="37">
        <v>43661</v>
      </c>
      <c r="F82" s="38" t="s">
        <v>282</v>
      </c>
      <c r="G82" s="40" t="s">
        <v>928</v>
      </c>
      <c r="H82" s="71">
        <v>10</v>
      </c>
      <c r="I82" s="48">
        <v>45474</v>
      </c>
      <c r="J82" s="42">
        <v>14.173172950744629</v>
      </c>
      <c r="K82" s="42">
        <v>10.358953475952148</v>
      </c>
      <c r="L82" s="44">
        <v>4538590</v>
      </c>
      <c r="M82" s="44">
        <v>43579640</v>
      </c>
      <c r="N82" s="46">
        <f t="shared" si="5"/>
        <v>24059115</v>
      </c>
      <c r="O82" s="46">
        <f t="shared" si="6"/>
        <v>27606191.199643061</v>
      </c>
      <c r="P82" s="46">
        <f t="shared" si="7"/>
        <v>114.74316989483221</v>
      </c>
      <c r="Q82" s="66">
        <f t="shared" si="8"/>
        <v>1684138050</v>
      </c>
      <c r="R82" s="80">
        <f t="shared" si="9"/>
        <v>3368276.1</v>
      </c>
    </row>
    <row r="83" spans="1:18">
      <c r="A83" s="32">
        <v>14</v>
      </c>
      <c r="B83" s="32">
        <v>240</v>
      </c>
      <c r="C83" s="81">
        <v>19</v>
      </c>
      <c r="D83" s="36" t="s">
        <v>929</v>
      </c>
      <c r="E83" s="37">
        <v>43696</v>
      </c>
      <c r="F83" s="38" t="s">
        <v>282</v>
      </c>
      <c r="G83" s="40" t="s">
        <v>930</v>
      </c>
      <c r="H83" s="71">
        <v>5</v>
      </c>
      <c r="I83" s="48">
        <v>45474</v>
      </c>
      <c r="J83" s="42">
        <v>9.7032489776611328</v>
      </c>
      <c r="K83" s="42">
        <v>9.6772470474243164</v>
      </c>
      <c r="L83" s="44">
        <v>64292764</v>
      </c>
      <c r="M83" s="44">
        <v>65291852</v>
      </c>
      <c r="N83" s="46">
        <f t="shared" si="5"/>
        <v>64792308</v>
      </c>
      <c r="O83" s="46">
        <f t="shared" si="6"/>
        <v>706461.89980210538</v>
      </c>
      <c r="P83" s="46">
        <f t="shared" si="7"/>
        <v>1.0903484095706322</v>
      </c>
      <c r="Q83" s="66">
        <f t="shared" si="8"/>
        <v>4535461560</v>
      </c>
      <c r="R83" s="80">
        <f t="shared" si="9"/>
        <v>9070923.1199999992</v>
      </c>
    </row>
    <row r="84" spans="1:18">
      <c r="A84" s="32">
        <v>14</v>
      </c>
      <c r="B84" s="32">
        <v>250</v>
      </c>
      <c r="C84" s="81">
        <v>16</v>
      </c>
      <c r="D84" s="36" t="s">
        <v>460</v>
      </c>
      <c r="E84" s="37">
        <v>43731</v>
      </c>
      <c r="F84" s="38" t="s">
        <v>282</v>
      </c>
      <c r="G84" s="40" t="s">
        <v>461</v>
      </c>
      <c r="H84" s="71">
        <v>5</v>
      </c>
      <c r="I84" s="50">
        <v>45435</v>
      </c>
      <c r="J84" s="42">
        <v>9.4218626022338867</v>
      </c>
      <c r="K84" s="42">
        <v>9.5032157897949219</v>
      </c>
      <c r="L84" s="44">
        <v>48559656</v>
      </c>
      <c r="M84" s="44">
        <v>46191588</v>
      </c>
      <c r="N84" s="46">
        <f t="shared" si="5"/>
        <v>47375622</v>
      </c>
      <c r="O84" s="46">
        <f t="shared" si="6"/>
        <v>1674476.9411108652</v>
      </c>
      <c r="P84" s="46">
        <f t="shared" si="7"/>
        <v>3.5344695656151282</v>
      </c>
      <c r="Q84" s="66">
        <f t="shared" si="8"/>
        <v>3316293540</v>
      </c>
      <c r="R84" s="80">
        <f t="shared" si="9"/>
        <v>6632587.0800000001</v>
      </c>
    </row>
    <row r="85" spans="1:18">
      <c r="A85" s="32">
        <v>14</v>
      </c>
      <c r="B85" s="32">
        <v>260</v>
      </c>
      <c r="C85" s="81">
        <v>20</v>
      </c>
      <c r="D85" s="36" t="s">
        <v>931</v>
      </c>
      <c r="E85" s="37">
        <v>43766</v>
      </c>
      <c r="F85" s="38" t="s">
        <v>282</v>
      </c>
      <c r="G85" s="40" t="s">
        <v>932</v>
      </c>
      <c r="H85" s="71">
        <v>0</v>
      </c>
      <c r="I85" s="48">
        <v>45474</v>
      </c>
      <c r="J85" s="42">
        <v>10.142441749572754</v>
      </c>
      <c r="K85" s="42">
        <v>11.45137882232666</v>
      </c>
      <c r="L85" s="44">
        <v>49550360</v>
      </c>
      <c r="M85" s="44">
        <v>22799562</v>
      </c>
      <c r="N85" s="46">
        <f t="shared" si="5"/>
        <v>36174961</v>
      </c>
      <c r="O85" s="46">
        <f t="shared" si="6"/>
        <v>18915670.667951532</v>
      </c>
      <c r="P85" s="46">
        <f t="shared" si="7"/>
        <v>52.289401688509166</v>
      </c>
      <c r="Q85" s="66">
        <f t="shared" si="8"/>
        <v>2532247270</v>
      </c>
      <c r="R85" s="80">
        <f t="shared" si="9"/>
        <v>5064494.54</v>
      </c>
    </row>
    <row r="86" spans="1:18">
      <c r="A86" s="32">
        <v>14</v>
      </c>
      <c r="B86" s="32">
        <v>270</v>
      </c>
      <c r="C86" s="81">
        <v>21</v>
      </c>
      <c r="D86" s="36" t="s">
        <v>933</v>
      </c>
      <c r="E86" s="37">
        <v>43801</v>
      </c>
      <c r="F86" s="38" t="s">
        <v>282</v>
      </c>
      <c r="G86" s="40" t="s">
        <v>934</v>
      </c>
      <c r="H86" s="71">
        <v>0</v>
      </c>
      <c r="I86" s="48">
        <v>45474</v>
      </c>
      <c r="J86" s="42">
        <v>9.8300180435180664</v>
      </c>
      <c r="K86" s="42">
        <v>28.023355484008789</v>
      </c>
      <c r="L86" s="44">
        <v>59636532</v>
      </c>
      <c r="M86" s="44">
        <v>1229.6134033203125</v>
      </c>
      <c r="N86" s="46">
        <f t="shared" si="5"/>
        <v>29818880.80670166</v>
      </c>
      <c r="O86" s="46">
        <f t="shared" si="6"/>
        <v>42168526.715672813</v>
      </c>
      <c r="P86" s="46">
        <f t="shared" si="7"/>
        <v>141.41552457661533</v>
      </c>
      <c r="Q86" s="66">
        <f t="shared" si="8"/>
        <v>2087321656.4691162</v>
      </c>
      <c r="R86" s="80">
        <f t="shared" si="9"/>
        <v>4174643.3129382324</v>
      </c>
    </row>
    <row r="87" spans="1:18">
      <c r="A87" s="32">
        <v>14</v>
      </c>
      <c r="B87" s="32">
        <v>280</v>
      </c>
      <c r="C87" s="81">
        <v>22</v>
      </c>
      <c r="D87" s="36" t="s">
        <v>935</v>
      </c>
      <c r="E87" s="37">
        <v>43836</v>
      </c>
      <c r="F87" s="38" t="s">
        <v>282</v>
      </c>
      <c r="G87" s="40" t="s">
        <v>936</v>
      </c>
      <c r="H87" s="71">
        <v>0</v>
      </c>
      <c r="I87" s="48">
        <v>45474</v>
      </c>
      <c r="J87" s="42">
        <v>9.8007011413574219</v>
      </c>
      <c r="K87" s="42">
        <v>9.7082357406616211</v>
      </c>
      <c r="L87" s="44">
        <v>60682440</v>
      </c>
      <c r="M87" s="44">
        <v>64102912</v>
      </c>
      <c r="N87" s="46">
        <f t="shared" si="5"/>
        <v>62392676</v>
      </c>
      <c r="O87" s="46">
        <f t="shared" si="6"/>
        <v>2418638.9460587124</v>
      </c>
      <c r="P87" s="46">
        <f t="shared" si="7"/>
        <v>3.8764789413082914</v>
      </c>
      <c r="Q87" s="66">
        <f t="shared" si="8"/>
        <v>4367487320</v>
      </c>
      <c r="R87" s="80">
        <f t="shared" si="9"/>
        <v>8734974.6400000006</v>
      </c>
    </row>
    <row r="88" spans="1:18">
      <c r="A88" s="32">
        <v>14</v>
      </c>
      <c r="B88" s="32">
        <v>290</v>
      </c>
      <c r="C88" s="81">
        <v>23</v>
      </c>
      <c r="D88" s="36" t="s">
        <v>937</v>
      </c>
      <c r="E88" s="37">
        <v>43878</v>
      </c>
      <c r="F88" s="38" t="s">
        <v>282</v>
      </c>
      <c r="G88" s="40" t="s">
        <v>938</v>
      </c>
      <c r="H88" s="71">
        <v>0</v>
      </c>
      <c r="I88" s="48">
        <v>45474</v>
      </c>
      <c r="J88" s="42">
        <v>10.273725509643555</v>
      </c>
      <c r="K88" s="42">
        <v>10.432504653930664</v>
      </c>
      <c r="L88" s="44">
        <v>45838912</v>
      </c>
      <c r="M88" s="44">
        <v>41719616</v>
      </c>
      <c r="N88" s="46">
        <f t="shared" si="5"/>
        <v>43779264</v>
      </c>
      <c r="O88" s="46">
        <f t="shared" si="6"/>
        <v>2912782.1353146206</v>
      </c>
      <c r="P88" s="46">
        <f t="shared" si="7"/>
        <v>6.6533373775187741</v>
      </c>
      <c r="Q88" s="66">
        <f t="shared" si="8"/>
        <v>3064548480</v>
      </c>
      <c r="R88" s="80">
        <f t="shared" si="9"/>
        <v>6129096.96</v>
      </c>
    </row>
    <row r="89" spans="1:18">
      <c r="A89" s="32">
        <v>14</v>
      </c>
      <c r="B89" s="32">
        <v>300</v>
      </c>
      <c r="C89" s="81">
        <v>17</v>
      </c>
      <c r="D89" s="36" t="s">
        <v>462</v>
      </c>
      <c r="E89" s="37">
        <v>43913</v>
      </c>
      <c r="F89" s="38" t="s">
        <v>282</v>
      </c>
      <c r="G89" s="40" t="s">
        <v>463</v>
      </c>
      <c r="H89" s="71">
        <v>0</v>
      </c>
      <c r="I89" s="50">
        <v>45435</v>
      </c>
      <c r="J89" s="42">
        <v>9.6180944442749023</v>
      </c>
      <c r="K89" s="42">
        <v>9.7505416870117188</v>
      </c>
      <c r="L89" s="44">
        <v>43042988</v>
      </c>
      <c r="M89" s="44">
        <v>39678292</v>
      </c>
      <c r="N89" s="46">
        <f t="shared" si="5"/>
        <v>41360640</v>
      </c>
      <c r="O89" s="46">
        <f t="shared" si="6"/>
        <v>2379199.3582312516</v>
      </c>
      <c r="P89" s="46">
        <f t="shared" si="7"/>
        <v>5.7523272324394679</v>
      </c>
      <c r="Q89" s="66">
        <f t="shared" si="8"/>
        <v>2895244800</v>
      </c>
      <c r="R89" s="80">
        <f t="shared" si="9"/>
        <v>5790489.5999999996</v>
      </c>
    </row>
    <row r="90" spans="1:18">
      <c r="A90" s="32">
        <v>14</v>
      </c>
      <c r="B90" s="32">
        <v>310</v>
      </c>
      <c r="C90" s="81">
        <v>24</v>
      </c>
      <c r="D90" s="36" t="s">
        <v>939</v>
      </c>
      <c r="E90" s="37">
        <v>44025</v>
      </c>
      <c r="F90" s="38" t="s">
        <v>282</v>
      </c>
      <c r="G90" s="40" t="s">
        <v>940</v>
      </c>
      <c r="H90" s="71">
        <v>0</v>
      </c>
      <c r="I90" s="48">
        <v>45474</v>
      </c>
      <c r="J90" s="42">
        <v>8.7197017669677734</v>
      </c>
      <c r="K90" s="42">
        <v>8.7871322631835938</v>
      </c>
      <c r="L90" s="44">
        <v>115206608</v>
      </c>
      <c r="M90" s="44">
        <v>110690528</v>
      </c>
      <c r="N90" s="46">
        <f t="shared" si="5"/>
        <v>112948568</v>
      </c>
      <c r="O90" s="46">
        <f t="shared" si="6"/>
        <v>3193350.7923809434</v>
      </c>
      <c r="P90" s="46">
        <f t="shared" si="7"/>
        <v>2.8272609816362997</v>
      </c>
      <c r="Q90" s="66">
        <f t="shared" si="8"/>
        <v>7906399760</v>
      </c>
      <c r="R90" s="80">
        <f t="shared" si="9"/>
        <v>15812799.52</v>
      </c>
    </row>
    <row r="91" spans="1:18">
      <c r="A91" s="32">
        <v>14</v>
      </c>
      <c r="B91" s="32">
        <v>320</v>
      </c>
      <c r="C91" s="81">
        <v>25</v>
      </c>
      <c r="D91" s="36" t="s">
        <v>941</v>
      </c>
      <c r="E91" s="37">
        <v>44060</v>
      </c>
      <c r="F91" s="38" t="s">
        <v>282</v>
      </c>
      <c r="G91" s="40" t="s">
        <v>942</v>
      </c>
      <c r="H91" s="71">
        <v>0</v>
      </c>
      <c r="I91" s="48">
        <v>45474</v>
      </c>
      <c r="J91" s="42">
        <v>8.602482795715332</v>
      </c>
      <c r="K91" s="42">
        <v>8.8353242874145508</v>
      </c>
      <c r="L91" s="44">
        <v>123500136</v>
      </c>
      <c r="M91" s="44">
        <v>107571816</v>
      </c>
      <c r="N91" s="46">
        <f t="shared" si="5"/>
        <v>115535976</v>
      </c>
      <c r="O91" s="46">
        <f t="shared" si="6"/>
        <v>11263023.084909309</v>
      </c>
      <c r="P91" s="46">
        <f t="shared" si="7"/>
        <v>9.7484986710194121</v>
      </c>
      <c r="Q91" s="66">
        <f t="shared" si="8"/>
        <v>8087518320</v>
      </c>
      <c r="R91" s="80">
        <f t="shared" si="9"/>
        <v>16175036.640000001</v>
      </c>
    </row>
    <row r="92" spans="1:18">
      <c r="A92" s="32">
        <v>14</v>
      </c>
      <c r="B92" s="32">
        <v>330</v>
      </c>
      <c r="C92" s="81">
        <v>26</v>
      </c>
      <c r="D92" s="36" t="s">
        <v>943</v>
      </c>
      <c r="E92" s="37">
        <v>44095</v>
      </c>
      <c r="F92" s="38" t="s">
        <v>282</v>
      </c>
      <c r="G92" s="40" t="s">
        <v>944</v>
      </c>
      <c r="H92" s="71">
        <v>0</v>
      </c>
      <c r="I92" s="48">
        <v>45474</v>
      </c>
      <c r="J92" s="42">
        <v>7.652677059173584</v>
      </c>
      <c r="K92" s="42">
        <v>7.9830102920532227</v>
      </c>
      <c r="L92" s="44">
        <v>216916464</v>
      </c>
      <c r="M92" s="44">
        <v>178325840</v>
      </c>
      <c r="N92" s="46">
        <f t="shared" si="5"/>
        <v>197621152</v>
      </c>
      <c r="O92" s="46">
        <f t="shared" si="6"/>
        <v>27287691.92062033</v>
      </c>
      <c r="P92" s="46">
        <f t="shared" si="7"/>
        <v>13.808082608799047</v>
      </c>
      <c r="Q92" s="66">
        <f t="shared" si="8"/>
        <v>13833480640</v>
      </c>
      <c r="R92" s="80">
        <f t="shared" si="9"/>
        <v>27666961.280000001</v>
      </c>
    </row>
    <row r="93" spans="1:18">
      <c r="A93" s="32">
        <v>14</v>
      </c>
      <c r="B93" s="32">
        <v>340</v>
      </c>
      <c r="C93" s="81">
        <v>27</v>
      </c>
      <c r="D93" s="36" t="s">
        <v>945</v>
      </c>
      <c r="E93" s="37">
        <v>44130</v>
      </c>
      <c r="F93" s="38" t="s">
        <v>282</v>
      </c>
      <c r="G93" s="40" t="s">
        <v>946</v>
      </c>
      <c r="H93" s="71">
        <v>15</v>
      </c>
      <c r="I93" s="48">
        <v>45474</v>
      </c>
      <c r="J93" s="42">
        <v>9.5578708648681641</v>
      </c>
      <c r="K93" s="42">
        <v>9.4206418991088867</v>
      </c>
      <c r="L93" s="44">
        <v>70081704</v>
      </c>
      <c r="M93" s="44">
        <v>76023584</v>
      </c>
      <c r="N93" s="46">
        <f t="shared" si="5"/>
        <v>73052644</v>
      </c>
      <c r="O93" s="46">
        <f t="shared" si="6"/>
        <v>4201543.6409967234</v>
      </c>
      <c r="P93" s="46">
        <f t="shared" si="7"/>
        <v>5.751391614240168</v>
      </c>
      <c r="Q93" s="66">
        <f t="shared" si="8"/>
        <v>5113685080</v>
      </c>
      <c r="R93" s="80">
        <f t="shared" si="9"/>
        <v>10227370.16</v>
      </c>
    </row>
    <row r="94" spans="1:18">
      <c r="A94" s="32">
        <v>14</v>
      </c>
      <c r="B94" s="32">
        <v>350</v>
      </c>
      <c r="C94" s="81">
        <v>18</v>
      </c>
      <c r="D94" s="36" t="s">
        <v>464</v>
      </c>
      <c r="E94" s="37">
        <v>44165</v>
      </c>
      <c r="F94" s="38" t="s">
        <v>282</v>
      </c>
      <c r="G94" s="40" t="s">
        <v>465</v>
      </c>
      <c r="H94" s="71">
        <v>5</v>
      </c>
      <c r="I94" s="50">
        <v>45435</v>
      </c>
      <c r="J94" s="42">
        <v>9.2700099945068359</v>
      </c>
      <c r="K94" s="42">
        <v>9.2487525939941406</v>
      </c>
      <c r="L94" s="44">
        <v>53309452</v>
      </c>
      <c r="M94" s="44">
        <v>54010436</v>
      </c>
      <c r="N94" s="46">
        <f t="shared" si="5"/>
        <v>53659944</v>
      </c>
      <c r="O94" s="46">
        <f t="shared" si="6"/>
        <v>495670.53990327084</v>
      </c>
      <c r="P94" s="46">
        <f t="shared" si="7"/>
        <v>0.9237254140691441</v>
      </c>
      <c r="Q94" s="66">
        <f t="shared" si="8"/>
        <v>3756196080</v>
      </c>
      <c r="R94" s="80">
        <f t="shared" si="9"/>
        <v>7512392.1600000001</v>
      </c>
    </row>
    <row r="95" spans="1:18">
      <c r="A95" s="32">
        <v>14</v>
      </c>
      <c r="B95" s="32">
        <v>360</v>
      </c>
      <c r="C95" s="81">
        <v>28</v>
      </c>
      <c r="D95" s="36" t="s">
        <v>947</v>
      </c>
      <c r="E95" s="37">
        <v>44200</v>
      </c>
      <c r="F95" s="38" t="s">
        <v>282</v>
      </c>
      <c r="G95" s="40" t="s">
        <v>948</v>
      </c>
      <c r="H95" s="71">
        <v>0</v>
      </c>
      <c r="I95" s="48">
        <v>45474</v>
      </c>
      <c r="J95" s="42">
        <v>11.998898506164551</v>
      </c>
      <c r="K95" s="42">
        <v>12.953164100646973</v>
      </c>
      <c r="L95" s="44">
        <v>16478258</v>
      </c>
      <c r="M95" s="44">
        <v>9357021</v>
      </c>
      <c r="N95" s="46">
        <f t="shared" si="5"/>
        <v>12917639.5</v>
      </c>
      <c r="O95" s="46">
        <f t="shared" si="6"/>
        <v>5035474.9731365461</v>
      </c>
      <c r="P95" s="46">
        <f t="shared" si="7"/>
        <v>38.981386445538647</v>
      </c>
      <c r="Q95" s="66">
        <f t="shared" si="8"/>
        <v>904234765</v>
      </c>
      <c r="R95" s="80">
        <f t="shared" si="9"/>
        <v>1808469.53</v>
      </c>
    </row>
    <row r="96" spans="1:18">
      <c r="A96" s="32">
        <v>14</v>
      </c>
      <c r="B96" s="32">
        <v>370</v>
      </c>
      <c r="C96" s="81">
        <v>29</v>
      </c>
      <c r="D96" s="36" t="s">
        <v>949</v>
      </c>
      <c r="E96" s="37">
        <v>44235</v>
      </c>
      <c r="F96" s="38" t="s">
        <v>282</v>
      </c>
      <c r="G96" s="40" t="s">
        <v>950</v>
      </c>
      <c r="H96" s="71">
        <v>0</v>
      </c>
      <c r="I96" s="48">
        <v>45474</v>
      </c>
      <c r="J96" s="42">
        <v>10.940055847167969</v>
      </c>
      <c r="K96" s="42">
        <v>12.093592643737793</v>
      </c>
      <c r="L96" s="44">
        <v>30875864</v>
      </c>
      <c r="M96" s="44">
        <v>15578390</v>
      </c>
      <c r="N96" s="46">
        <f t="shared" si="5"/>
        <v>23227127</v>
      </c>
      <c r="O96" s="46">
        <f t="shared" si="6"/>
        <v>10816947.600424901</v>
      </c>
      <c r="P96" s="46">
        <f t="shared" si="7"/>
        <v>46.570320989009531</v>
      </c>
      <c r="Q96" s="66">
        <f t="shared" si="8"/>
        <v>1625898890</v>
      </c>
      <c r="R96" s="80">
        <f t="shared" si="9"/>
        <v>3251797.78</v>
      </c>
    </row>
    <row r="97" spans="1:18">
      <c r="A97" s="32">
        <v>14</v>
      </c>
      <c r="B97" s="32">
        <v>380</v>
      </c>
      <c r="C97" s="81">
        <v>30</v>
      </c>
      <c r="D97" s="36" t="s">
        <v>951</v>
      </c>
      <c r="E97" s="37">
        <v>44270</v>
      </c>
      <c r="F97" s="38" t="s">
        <v>282</v>
      </c>
      <c r="G97" s="40" t="s">
        <v>952</v>
      </c>
      <c r="H97" s="71">
        <v>0</v>
      </c>
      <c r="I97" s="48">
        <v>45474</v>
      </c>
      <c r="J97" s="42">
        <v>9.4409370422363281</v>
      </c>
      <c r="K97" s="42">
        <v>9.4847517013549805</v>
      </c>
      <c r="L97" s="44">
        <v>75114064</v>
      </c>
      <c r="M97" s="44">
        <v>73187464</v>
      </c>
      <c r="N97" s="46">
        <f t="shared" si="5"/>
        <v>74150764</v>
      </c>
      <c r="O97" s="46">
        <f t="shared" si="6"/>
        <v>1362311.9246340024</v>
      </c>
      <c r="P97" s="46">
        <f t="shared" si="7"/>
        <v>1.8372189997044432</v>
      </c>
      <c r="Q97" s="66">
        <f t="shared" si="8"/>
        <v>5190553480</v>
      </c>
      <c r="R97" s="80">
        <f t="shared" si="9"/>
        <v>10381106.960000001</v>
      </c>
    </row>
    <row r="98" spans="1:18">
      <c r="A98" s="32">
        <v>14</v>
      </c>
      <c r="B98" s="32">
        <v>390</v>
      </c>
      <c r="C98" s="81">
        <v>31</v>
      </c>
      <c r="D98" s="36" t="s">
        <v>953</v>
      </c>
      <c r="E98" s="37">
        <v>44305</v>
      </c>
      <c r="F98" s="38" t="s">
        <v>282</v>
      </c>
      <c r="G98" s="40" t="s">
        <v>954</v>
      </c>
      <c r="H98" s="71">
        <v>0</v>
      </c>
      <c r="I98" s="48">
        <v>45474</v>
      </c>
      <c r="J98" s="42">
        <v>9.1081924438476562</v>
      </c>
      <c r="K98" s="42">
        <v>9.0727148056030273</v>
      </c>
      <c r="L98" s="44">
        <v>91499888</v>
      </c>
      <c r="M98" s="44">
        <v>93445400</v>
      </c>
      <c r="N98" s="46">
        <f t="shared" si="5"/>
        <v>92472644</v>
      </c>
      <c r="O98" s="46">
        <f t="shared" si="6"/>
        <v>1375684.7280798024</v>
      </c>
      <c r="P98" s="46">
        <f t="shared" si="7"/>
        <v>1.487666696412187</v>
      </c>
      <c r="Q98" s="66">
        <f t="shared" si="8"/>
        <v>6473085080</v>
      </c>
      <c r="R98" s="80">
        <f t="shared" si="9"/>
        <v>12946170.16</v>
      </c>
    </row>
    <row r="99" spans="1:18">
      <c r="A99" s="32">
        <v>14</v>
      </c>
      <c r="B99" s="32">
        <v>400</v>
      </c>
      <c r="C99" s="81">
        <v>19</v>
      </c>
      <c r="D99" s="36" t="s">
        <v>466</v>
      </c>
      <c r="E99" s="37">
        <v>44341</v>
      </c>
      <c r="F99" s="38" t="s">
        <v>282</v>
      </c>
      <c r="G99" s="40" t="s">
        <v>467</v>
      </c>
      <c r="H99" s="71">
        <v>5</v>
      </c>
      <c r="I99" s="50">
        <v>45435</v>
      </c>
      <c r="J99" s="42">
        <v>9.2163763046264648</v>
      </c>
      <c r="K99" s="42">
        <v>9.3387298583984375</v>
      </c>
      <c r="L99" s="44">
        <v>55095832</v>
      </c>
      <c r="M99" s="44">
        <v>51104984</v>
      </c>
      <c r="N99" s="46">
        <f t="shared" si="5"/>
        <v>53100408</v>
      </c>
      <c r="O99" s="46">
        <f t="shared" si="6"/>
        <v>2821955.6834847708</v>
      </c>
      <c r="P99" s="46">
        <f t="shared" si="7"/>
        <v>5.3143766493936742</v>
      </c>
      <c r="Q99" s="66">
        <f t="shared" si="8"/>
        <v>3717028560</v>
      </c>
      <c r="R99" s="80">
        <f t="shared" si="9"/>
        <v>7434057.1200000001</v>
      </c>
    </row>
    <row r="100" spans="1:18">
      <c r="A100" s="32">
        <v>14</v>
      </c>
      <c r="B100" s="32">
        <v>410</v>
      </c>
      <c r="C100" s="81">
        <v>32</v>
      </c>
      <c r="D100" s="36" t="s">
        <v>955</v>
      </c>
      <c r="E100" s="37">
        <v>44375</v>
      </c>
      <c r="F100" s="38" t="s">
        <v>282</v>
      </c>
      <c r="G100" s="40" t="s">
        <v>956</v>
      </c>
      <c r="H100" s="71">
        <v>15</v>
      </c>
      <c r="I100" s="48">
        <v>45474</v>
      </c>
      <c r="J100" s="42">
        <v>11.21843147277832</v>
      </c>
      <c r="K100" s="42">
        <v>11.394522666931152</v>
      </c>
      <c r="L100" s="44">
        <v>26177172</v>
      </c>
      <c r="M100" s="44">
        <v>23581420</v>
      </c>
      <c r="N100" s="46">
        <f t="shared" si="5"/>
        <v>24879296</v>
      </c>
      <c r="O100" s="46">
        <f t="shared" si="6"/>
        <v>1835473.8414785431</v>
      </c>
      <c r="P100" s="46">
        <f t="shared" si="7"/>
        <v>7.3775151896522431</v>
      </c>
      <c r="Q100" s="66">
        <f t="shared" si="8"/>
        <v>1741550720</v>
      </c>
      <c r="R100" s="80">
        <f t="shared" si="9"/>
        <v>3483101.44</v>
      </c>
    </row>
    <row r="101" spans="1:18">
      <c r="A101" s="32">
        <v>14</v>
      </c>
      <c r="B101" s="32">
        <v>420</v>
      </c>
      <c r="C101" s="81">
        <v>33</v>
      </c>
      <c r="D101" s="36" t="s">
        <v>957</v>
      </c>
      <c r="E101" s="37">
        <v>44410</v>
      </c>
      <c r="F101" s="38" t="s">
        <v>282</v>
      </c>
      <c r="G101" s="40" t="s">
        <v>958</v>
      </c>
      <c r="H101" s="71">
        <v>0</v>
      </c>
      <c r="I101" s="48">
        <v>45474</v>
      </c>
      <c r="J101" s="42">
        <v>10.764914512634277</v>
      </c>
      <c r="K101" s="42">
        <v>11.166001319885254</v>
      </c>
      <c r="L101" s="44">
        <v>34255260</v>
      </c>
      <c r="M101" s="44">
        <v>27003884</v>
      </c>
      <c r="N101" s="46">
        <f t="shared" si="5"/>
        <v>30629572</v>
      </c>
      <c r="O101" s="46">
        <f t="shared" si="6"/>
        <v>5127497.1425333824</v>
      </c>
      <c r="P101" s="46">
        <f t="shared" si="7"/>
        <v>16.74034864912047</v>
      </c>
      <c r="Q101" s="66">
        <f t="shared" si="8"/>
        <v>2144070040</v>
      </c>
      <c r="R101" s="80">
        <f t="shared" si="9"/>
        <v>4288140.08</v>
      </c>
    </row>
    <row r="102" spans="1:18">
      <c r="A102" s="32">
        <v>14</v>
      </c>
      <c r="B102" s="32">
        <v>430</v>
      </c>
      <c r="C102" s="81">
        <v>34</v>
      </c>
      <c r="D102" s="36" t="s">
        <v>959</v>
      </c>
      <c r="E102" s="37">
        <v>44445</v>
      </c>
      <c r="F102" s="38" t="s">
        <v>282</v>
      </c>
      <c r="G102" s="40" t="s">
        <v>960</v>
      </c>
      <c r="H102" s="71">
        <v>5</v>
      </c>
      <c r="I102" s="48">
        <v>45474</v>
      </c>
      <c r="J102" s="42">
        <v>20.522472381591797</v>
      </c>
      <c r="K102" s="42">
        <v>21.614519119262695</v>
      </c>
      <c r="L102" s="44">
        <v>105109.3984375</v>
      </c>
      <c r="M102" s="44">
        <v>55002.43359375</v>
      </c>
      <c r="N102" s="46">
        <f t="shared" si="5"/>
        <v>80055.916015625</v>
      </c>
      <c r="O102" s="46">
        <f t="shared" si="6"/>
        <v>35430.974625691561</v>
      </c>
      <c r="P102" s="46">
        <f t="shared" si="7"/>
        <v>44.25778429513727</v>
      </c>
      <c r="Q102" s="66">
        <f t="shared" si="8"/>
        <v>5603914.12109375</v>
      </c>
      <c r="R102" s="80">
        <f t="shared" si="9"/>
        <v>11207.828242187499</v>
      </c>
    </row>
    <row r="103" spans="1:18">
      <c r="A103" s="32">
        <v>14</v>
      </c>
      <c r="B103" s="32">
        <v>440</v>
      </c>
      <c r="C103" s="81">
        <v>35</v>
      </c>
      <c r="D103" s="36" t="s">
        <v>961</v>
      </c>
      <c r="E103" s="37">
        <v>44480</v>
      </c>
      <c r="F103" s="38" t="s">
        <v>282</v>
      </c>
      <c r="G103" s="40" t="s">
        <v>962</v>
      </c>
      <c r="H103" s="71">
        <v>5</v>
      </c>
      <c r="I103" s="48">
        <v>45474</v>
      </c>
      <c r="J103" s="42">
        <v>10.837577819824219</v>
      </c>
      <c r="K103" s="42">
        <v>10.74935245513916</v>
      </c>
      <c r="L103" s="44">
        <v>32810482</v>
      </c>
      <c r="M103" s="44">
        <v>34572860</v>
      </c>
      <c r="N103" s="46">
        <f t="shared" si="5"/>
        <v>33691671</v>
      </c>
      <c r="O103" s="46">
        <f t="shared" si="6"/>
        <v>1246189.4348139854</v>
      </c>
      <c r="P103" s="46">
        <f t="shared" si="7"/>
        <v>3.6988056627229482</v>
      </c>
      <c r="Q103" s="66">
        <f t="shared" si="8"/>
        <v>2358416970</v>
      </c>
      <c r="R103" s="80">
        <f t="shared" si="9"/>
        <v>4716833.9400000004</v>
      </c>
    </row>
    <row r="104" spans="1:18">
      <c r="A104" s="32">
        <v>14</v>
      </c>
      <c r="B104" s="32">
        <v>450</v>
      </c>
      <c r="C104" s="81">
        <v>20</v>
      </c>
      <c r="D104" s="36" t="s">
        <v>468</v>
      </c>
      <c r="E104" s="37">
        <v>44515</v>
      </c>
      <c r="F104" s="38" t="s">
        <v>282</v>
      </c>
      <c r="G104" s="40" t="s">
        <v>469</v>
      </c>
      <c r="H104" s="71">
        <v>5</v>
      </c>
      <c r="I104" s="50">
        <v>45435</v>
      </c>
      <c r="J104" s="42">
        <v>10.712945938110352</v>
      </c>
      <c r="K104" s="42">
        <v>10.838260650634766</v>
      </c>
      <c r="L104" s="44">
        <v>21963050</v>
      </c>
      <c r="M104" s="44">
        <v>20335126</v>
      </c>
      <c r="N104" s="46">
        <f t="shared" si="5"/>
        <v>21149088</v>
      </c>
      <c r="O104" s="46">
        <f t="shared" si="6"/>
        <v>1151116.0996563293</v>
      </c>
      <c r="P104" s="46">
        <f t="shared" si="7"/>
        <v>5.4428640121802383</v>
      </c>
      <c r="Q104" s="66">
        <f t="shared" si="8"/>
        <v>1480436160</v>
      </c>
      <c r="R104" s="80">
        <f t="shared" si="9"/>
        <v>2960872.32</v>
      </c>
    </row>
    <row r="105" spans="1:18">
      <c r="A105" s="32">
        <v>14</v>
      </c>
      <c r="B105" s="32">
        <v>460</v>
      </c>
      <c r="C105" s="81">
        <v>11</v>
      </c>
      <c r="D105" s="36" t="s">
        <v>530</v>
      </c>
      <c r="E105" s="37">
        <v>44550</v>
      </c>
      <c r="F105" s="38" t="s">
        <v>282</v>
      </c>
      <c r="G105" s="40" t="s">
        <v>531</v>
      </c>
      <c r="H105" s="71">
        <v>0</v>
      </c>
      <c r="I105" s="50">
        <v>45454</v>
      </c>
      <c r="J105" s="42">
        <v>10.402966499328613</v>
      </c>
      <c r="K105" s="42">
        <v>10.151899337768555</v>
      </c>
      <c r="L105" s="44">
        <v>48875876</v>
      </c>
      <c r="M105" s="44">
        <v>56872408</v>
      </c>
      <c r="N105" s="46">
        <f t="shared" si="5"/>
        <v>52874142</v>
      </c>
      <c r="O105" s="46">
        <f t="shared" si="6"/>
        <v>5654402.0031752251</v>
      </c>
      <c r="P105" s="46">
        <f t="shared" si="7"/>
        <v>10.694078030004203</v>
      </c>
      <c r="Q105" s="66">
        <f t="shared" si="8"/>
        <v>3701189940</v>
      </c>
      <c r="R105" s="80">
        <f t="shared" si="9"/>
        <v>7402379.8799999999</v>
      </c>
    </row>
    <row r="106" spans="1:18">
      <c r="A106" s="32">
        <v>14</v>
      </c>
      <c r="B106" s="32">
        <v>470</v>
      </c>
      <c r="C106" s="81">
        <v>12</v>
      </c>
      <c r="D106" s="36" t="s">
        <v>532</v>
      </c>
      <c r="E106" s="37">
        <v>44585</v>
      </c>
      <c r="F106" s="38" t="s">
        <v>282</v>
      </c>
      <c r="G106" s="40" t="s">
        <v>533</v>
      </c>
      <c r="H106" s="71">
        <v>0</v>
      </c>
      <c r="I106" s="50">
        <v>45454</v>
      </c>
      <c r="J106" s="42">
        <v>9.0803670883178711</v>
      </c>
      <c r="K106" s="42">
        <v>9.1431770324707031</v>
      </c>
      <c r="L106" s="44">
        <v>108582632</v>
      </c>
      <c r="M106" s="44">
        <v>104543560</v>
      </c>
      <c r="N106" s="46">
        <f t="shared" si="5"/>
        <v>106563096</v>
      </c>
      <c r="O106" s="46">
        <f t="shared" si="6"/>
        <v>2856055.2009007107</v>
      </c>
      <c r="P106" s="46">
        <f t="shared" si="7"/>
        <v>2.6801541134847571</v>
      </c>
      <c r="Q106" s="66">
        <f t="shared" si="8"/>
        <v>7459416720</v>
      </c>
      <c r="R106" s="80">
        <f t="shared" si="9"/>
        <v>14918833.439999999</v>
      </c>
    </row>
    <row r="107" spans="1:18">
      <c r="A107" s="32">
        <v>14</v>
      </c>
      <c r="B107" s="32">
        <v>480</v>
      </c>
      <c r="C107" s="81">
        <v>13</v>
      </c>
      <c r="D107" s="36" t="s">
        <v>534</v>
      </c>
      <c r="E107" s="37">
        <v>44620</v>
      </c>
      <c r="F107" s="38" t="s">
        <v>282</v>
      </c>
      <c r="G107" s="40" t="s">
        <v>535</v>
      </c>
      <c r="H107" s="71">
        <v>5</v>
      </c>
      <c r="I107" s="50">
        <v>45454</v>
      </c>
      <c r="J107" s="42">
        <v>9.009943962097168</v>
      </c>
      <c r="K107" s="42">
        <v>9.0125617980957031</v>
      </c>
      <c r="L107" s="44">
        <v>113297136</v>
      </c>
      <c r="M107" s="44">
        <v>113118272</v>
      </c>
      <c r="N107" s="46">
        <f t="shared" si="5"/>
        <v>113207704</v>
      </c>
      <c r="O107" s="46">
        <f t="shared" si="6"/>
        <v>126475.94731015063</v>
      </c>
      <c r="P107" s="46">
        <f t="shared" si="7"/>
        <v>0.1117202653541588</v>
      </c>
      <c r="Q107" s="66">
        <f t="shared" si="8"/>
        <v>7924539280</v>
      </c>
      <c r="R107" s="80">
        <f t="shared" si="9"/>
        <v>15849078.560000001</v>
      </c>
    </row>
    <row r="108" spans="1:18">
      <c r="A108" s="32">
        <v>14</v>
      </c>
      <c r="B108" s="32">
        <v>490</v>
      </c>
      <c r="C108" s="81">
        <v>14</v>
      </c>
      <c r="D108" s="36" t="s">
        <v>536</v>
      </c>
      <c r="E108" s="37">
        <v>44655</v>
      </c>
      <c r="F108" s="38" t="s">
        <v>282</v>
      </c>
      <c r="G108" s="40" t="s">
        <v>537</v>
      </c>
      <c r="H108" s="71">
        <v>0</v>
      </c>
      <c r="I108" s="50">
        <v>45454</v>
      </c>
      <c r="J108" s="42">
        <v>9.4062042236328125</v>
      </c>
      <c r="K108" s="42">
        <v>9.4723787307739258</v>
      </c>
      <c r="L108" s="44">
        <v>89198048</v>
      </c>
      <c r="M108" s="44">
        <v>85705840</v>
      </c>
      <c r="N108" s="46">
        <f t="shared" si="5"/>
        <v>87451944</v>
      </c>
      <c r="O108" s="46">
        <f t="shared" si="6"/>
        <v>2469363.9581139106</v>
      </c>
      <c r="P108" s="46">
        <f t="shared" si="7"/>
        <v>2.8236810357399378</v>
      </c>
      <c r="Q108" s="66">
        <f t="shared" si="8"/>
        <v>6121636080</v>
      </c>
      <c r="R108" s="80">
        <f t="shared" si="9"/>
        <v>12243272.16</v>
      </c>
    </row>
    <row r="109" spans="1:18">
      <c r="A109" s="32">
        <v>14</v>
      </c>
      <c r="B109" s="32">
        <v>500</v>
      </c>
      <c r="C109" s="81">
        <v>15</v>
      </c>
      <c r="D109" s="36" t="s">
        <v>538</v>
      </c>
      <c r="E109" s="37">
        <v>44697</v>
      </c>
      <c r="F109" s="38" t="s">
        <v>282</v>
      </c>
      <c r="G109" s="40" t="s">
        <v>539</v>
      </c>
      <c r="H109" s="71">
        <v>0</v>
      </c>
      <c r="I109" s="50">
        <v>45454</v>
      </c>
      <c r="J109" s="42">
        <v>8.7081308364868164</v>
      </c>
      <c r="K109" s="42">
        <v>8.6351528167724609</v>
      </c>
      <c r="L109" s="44">
        <v>135933664</v>
      </c>
      <c r="M109" s="44">
        <v>142054576</v>
      </c>
      <c r="N109" s="46">
        <f t="shared" si="5"/>
        <v>138994120</v>
      </c>
      <c r="O109" s="46">
        <f t="shared" si="6"/>
        <v>4328138.3822461134</v>
      </c>
      <c r="P109" s="46">
        <f t="shared" si="7"/>
        <v>3.1139003450261877</v>
      </c>
      <c r="Q109" s="66">
        <f t="shared" si="8"/>
        <v>9729588400</v>
      </c>
      <c r="R109" s="80">
        <f t="shared" si="9"/>
        <v>19459176.800000001</v>
      </c>
    </row>
    <row r="110" spans="1:18">
      <c r="A110" s="32">
        <v>14</v>
      </c>
      <c r="B110" s="32">
        <v>510</v>
      </c>
      <c r="C110" s="81">
        <v>16</v>
      </c>
      <c r="D110" s="36" t="s">
        <v>540</v>
      </c>
      <c r="E110" s="37">
        <v>44732</v>
      </c>
      <c r="F110" s="38" t="s">
        <v>282</v>
      </c>
      <c r="G110" s="40" t="s">
        <v>541</v>
      </c>
      <c r="H110" s="71">
        <v>12</v>
      </c>
      <c r="I110" s="50">
        <v>45454</v>
      </c>
      <c r="J110" s="42">
        <v>9.8471250534057617</v>
      </c>
      <c r="K110" s="42">
        <v>9.9429607391357422</v>
      </c>
      <c r="L110" s="44">
        <v>68357448</v>
      </c>
      <c r="M110" s="44">
        <v>64515848</v>
      </c>
      <c r="N110" s="46">
        <f t="shared" si="5"/>
        <v>66436648</v>
      </c>
      <c r="O110" s="46">
        <f t="shared" si="6"/>
        <v>2716421.4106062409</v>
      </c>
      <c r="P110" s="46">
        <f t="shared" si="7"/>
        <v>4.0887394117268538</v>
      </c>
      <c r="Q110" s="66">
        <f t="shared" si="8"/>
        <v>4650565360</v>
      </c>
      <c r="R110" s="80">
        <f t="shared" si="9"/>
        <v>9301130.7200000007</v>
      </c>
    </row>
    <row r="111" spans="1:18">
      <c r="A111" s="32">
        <v>14</v>
      </c>
      <c r="B111" s="32">
        <v>520</v>
      </c>
      <c r="C111" s="81">
        <v>17</v>
      </c>
      <c r="D111" s="36" t="s">
        <v>542</v>
      </c>
      <c r="E111" s="37">
        <v>44771</v>
      </c>
      <c r="F111" s="38" t="s">
        <v>282</v>
      </c>
      <c r="G111" s="40" t="s">
        <v>543</v>
      </c>
      <c r="H111" s="71">
        <v>0</v>
      </c>
      <c r="I111" s="50">
        <v>45454</v>
      </c>
      <c r="J111" s="42">
        <v>8.3525981903076172</v>
      </c>
      <c r="K111" s="42">
        <v>8.4104633331298828</v>
      </c>
      <c r="L111" s="44">
        <v>168467248</v>
      </c>
      <c r="M111" s="44">
        <v>162685360</v>
      </c>
      <c r="N111" s="46">
        <f t="shared" si="5"/>
        <v>165576304</v>
      </c>
      <c r="O111" s="46">
        <f t="shared" si="6"/>
        <v>4088412.2128611249</v>
      </c>
      <c r="P111" s="46">
        <f t="shared" si="7"/>
        <v>2.4692012770505647</v>
      </c>
      <c r="Q111" s="66">
        <f t="shared" si="8"/>
        <v>11590341280</v>
      </c>
      <c r="R111" s="80">
        <f t="shared" si="9"/>
        <v>23180682.559999999</v>
      </c>
    </row>
    <row r="112" spans="1:18">
      <c r="A112" s="32">
        <v>14</v>
      </c>
      <c r="B112" s="32">
        <v>530</v>
      </c>
      <c r="C112" s="81">
        <v>18</v>
      </c>
      <c r="D112" s="36" t="s">
        <v>544</v>
      </c>
      <c r="E112" s="37">
        <v>44802</v>
      </c>
      <c r="F112" s="38" t="s">
        <v>282</v>
      </c>
      <c r="G112" s="40" t="s">
        <v>545</v>
      </c>
      <c r="H112" s="71">
        <v>0</v>
      </c>
      <c r="I112" s="50">
        <v>45454</v>
      </c>
      <c r="J112" s="42">
        <v>9.2659177780151367</v>
      </c>
      <c r="K112" s="42">
        <v>9.4285802841186523</v>
      </c>
      <c r="L112" s="44">
        <v>97079104</v>
      </c>
      <c r="M112" s="44">
        <v>88001560</v>
      </c>
      <c r="N112" s="46">
        <f t="shared" si="5"/>
        <v>92540332</v>
      </c>
      <c r="O112" s="46">
        <f t="shared" si="6"/>
        <v>6418792.9189192578</v>
      </c>
      <c r="P112" s="46">
        <f t="shared" si="7"/>
        <v>6.9362112499437094</v>
      </c>
      <c r="Q112" s="66">
        <f t="shared" si="8"/>
        <v>6477823240</v>
      </c>
      <c r="R112" s="80">
        <f t="shared" si="9"/>
        <v>12955646.48</v>
      </c>
    </row>
    <row r="113" spans="1:18">
      <c r="A113" s="32">
        <v>14</v>
      </c>
      <c r="B113" s="32">
        <v>540</v>
      </c>
      <c r="C113" s="81">
        <v>19</v>
      </c>
      <c r="D113" s="36" t="s">
        <v>546</v>
      </c>
      <c r="E113" s="37">
        <v>44837</v>
      </c>
      <c r="F113" s="38" t="s">
        <v>282</v>
      </c>
      <c r="G113" s="40" t="s">
        <v>547</v>
      </c>
      <c r="H113" s="71">
        <v>0</v>
      </c>
      <c r="I113" s="50">
        <v>45454</v>
      </c>
      <c r="J113" s="42">
        <v>8.9539880752563477</v>
      </c>
      <c r="K113" s="42">
        <v>9.057093620300293</v>
      </c>
      <c r="L113" s="44">
        <v>117188632</v>
      </c>
      <c r="M113" s="44">
        <v>110118568</v>
      </c>
      <c r="N113" s="46">
        <f t="shared" si="5"/>
        <v>113653600</v>
      </c>
      <c r="O113" s="46">
        <f t="shared" si="6"/>
        <v>4999290.1978228865</v>
      </c>
      <c r="P113" s="46">
        <f t="shared" si="7"/>
        <v>4.3987081780276966</v>
      </c>
      <c r="Q113" s="66">
        <f t="shared" si="8"/>
        <v>7955752000</v>
      </c>
      <c r="R113" s="80">
        <f t="shared" si="9"/>
        <v>15911504</v>
      </c>
    </row>
    <row r="114" spans="1:18">
      <c r="A114" s="32">
        <v>14</v>
      </c>
      <c r="B114" s="32">
        <v>550</v>
      </c>
      <c r="C114" s="81">
        <v>20</v>
      </c>
      <c r="D114" s="36" t="s">
        <v>548</v>
      </c>
      <c r="E114" s="37" t="s">
        <v>528</v>
      </c>
      <c r="F114" s="38" t="s">
        <v>282</v>
      </c>
      <c r="G114" s="40" t="s">
        <v>549</v>
      </c>
      <c r="H114" s="71">
        <v>0</v>
      </c>
      <c r="I114" s="50">
        <v>45454</v>
      </c>
      <c r="J114" s="42">
        <v>8.9878168106079102</v>
      </c>
      <c r="K114" s="42">
        <v>9.3423728942871094</v>
      </c>
      <c r="L114" s="44">
        <v>114820296</v>
      </c>
      <c r="M114" s="44">
        <v>92701368</v>
      </c>
      <c r="N114" s="46">
        <f t="shared" si="5"/>
        <v>103760832</v>
      </c>
      <c r="O114" s="46">
        <f t="shared" si="6"/>
        <v>15640443.981377</v>
      </c>
      <c r="P114" s="46">
        <f t="shared" si="7"/>
        <v>15.073552977463597</v>
      </c>
      <c r="Q114" s="66">
        <f t="shared" si="8"/>
        <v>7263258240</v>
      </c>
      <c r="R114" s="80">
        <f t="shared" si="9"/>
        <v>14526516.48</v>
      </c>
    </row>
    <row r="115" spans="1:18">
      <c r="A115" s="32">
        <v>14</v>
      </c>
      <c r="B115" s="32">
        <v>560</v>
      </c>
      <c r="C115" s="81">
        <v>3</v>
      </c>
      <c r="D115" s="36" t="s">
        <v>597</v>
      </c>
      <c r="E115" s="37" t="s">
        <v>528</v>
      </c>
      <c r="F115" s="38" t="s">
        <v>282</v>
      </c>
      <c r="G115" s="40" t="s">
        <v>598</v>
      </c>
      <c r="H115" s="71">
        <v>0</v>
      </c>
      <c r="I115" s="50">
        <v>45454</v>
      </c>
      <c r="J115" s="42">
        <v>8.346003532409668</v>
      </c>
      <c r="K115" s="42">
        <v>8.4058856964111328</v>
      </c>
      <c r="L115" s="44">
        <v>460548480</v>
      </c>
      <c r="M115" s="44">
        <v>439852768</v>
      </c>
      <c r="N115" s="46">
        <f t="shared" si="5"/>
        <v>450200624</v>
      </c>
      <c r="O115" s="46">
        <f t="shared" si="6"/>
        <v>14634078.296683805</v>
      </c>
      <c r="P115" s="46">
        <f t="shared" si="7"/>
        <v>3.250568194833023</v>
      </c>
      <c r="Q115" s="66">
        <f t="shared" si="8"/>
        <v>31514043680</v>
      </c>
      <c r="R115" s="80">
        <f t="shared" si="9"/>
        <v>63028087.359999999</v>
      </c>
    </row>
    <row r="116" spans="1:18">
      <c r="A116" s="32">
        <v>14</v>
      </c>
      <c r="B116" s="32">
        <v>570</v>
      </c>
      <c r="C116" s="81">
        <v>4</v>
      </c>
      <c r="D116" s="36" t="s">
        <v>599</v>
      </c>
      <c r="E116" s="37" t="s">
        <v>528</v>
      </c>
      <c r="F116" s="38" t="s">
        <v>282</v>
      </c>
      <c r="G116" s="40" t="s">
        <v>600</v>
      </c>
      <c r="H116" s="71">
        <v>0</v>
      </c>
      <c r="I116" s="50">
        <v>45454</v>
      </c>
      <c r="J116" s="42">
        <v>9.8281526565551758</v>
      </c>
      <c r="K116" s="42">
        <v>9.9789485931396484</v>
      </c>
      <c r="L116" s="44">
        <v>147585744</v>
      </c>
      <c r="M116" s="44">
        <v>131450024</v>
      </c>
      <c r="N116" s="46">
        <f t="shared" si="5"/>
        <v>139517884</v>
      </c>
      <c r="O116" s="46">
        <f t="shared" si="6"/>
        <v>11409677.031327398</v>
      </c>
      <c r="P116" s="46">
        <f t="shared" si="7"/>
        <v>8.1779315340873424</v>
      </c>
      <c r="Q116" s="66">
        <f t="shared" si="8"/>
        <v>9766251880</v>
      </c>
      <c r="R116" s="80">
        <f t="shared" si="9"/>
        <v>19532503.760000002</v>
      </c>
    </row>
    <row r="117" spans="1:18">
      <c r="A117" s="32">
        <v>15</v>
      </c>
      <c r="B117" s="32">
        <v>10</v>
      </c>
      <c r="C117" s="81">
        <v>21</v>
      </c>
      <c r="D117" s="36" t="s">
        <v>471</v>
      </c>
      <c r="E117" s="37">
        <v>42779</v>
      </c>
      <c r="F117" s="38" t="s">
        <v>282</v>
      </c>
      <c r="G117" s="40" t="s">
        <v>472</v>
      </c>
      <c r="H117" s="71">
        <v>4</v>
      </c>
      <c r="I117" s="50">
        <v>45435</v>
      </c>
      <c r="J117" s="42">
        <v>8.8634824752807617</v>
      </c>
      <c r="K117" s="42">
        <v>8.9600934982299805</v>
      </c>
      <c r="L117" s="44">
        <v>68439072</v>
      </c>
      <c r="M117" s="44">
        <v>64493980</v>
      </c>
      <c r="N117" s="46">
        <f t="shared" si="5"/>
        <v>66466526</v>
      </c>
      <c r="O117" s="46">
        <f t="shared" si="6"/>
        <v>2789601.3056047992</v>
      </c>
      <c r="P117" s="46">
        <f t="shared" si="7"/>
        <v>4.1970018195396577</v>
      </c>
      <c r="Q117" s="66">
        <f t="shared" si="8"/>
        <v>4652656820</v>
      </c>
      <c r="R117" s="80">
        <f t="shared" si="9"/>
        <v>9305313.6400000006</v>
      </c>
    </row>
    <row r="118" spans="1:18">
      <c r="A118" s="32">
        <v>15</v>
      </c>
      <c r="B118" s="32">
        <v>20</v>
      </c>
      <c r="C118" s="81">
        <v>1</v>
      </c>
      <c r="D118" s="36" t="s">
        <v>963</v>
      </c>
      <c r="E118" s="37">
        <v>42814</v>
      </c>
      <c r="F118" s="38" t="s">
        <v>282</v>
      </c>
      <c r="G118" s="40" t="s">
        <v>964</v>
      </c>
      <c r="H118" s="71">
        <v>0</v>
      </c>
      <c r="I118" s="48">
        <v>45474</v>
      </c>
      <c r="J118" s="42">
        <v>7.7714748382568359</v>
      </c>
      <c r="K118" s="42">
        <v>7.7292366027832031</v>
      </c>
      <c r="L118" s="44">
        <v>163404816</v>
      </c>
      <c r="M118" s="44">
        <v>167598944</v>
      </c>
      <c r="N118" s="46">
        <f t="shared" si="5"/>
        <v>165501880</v>
      </c>
      <c r="O118" s="46">
        <f t="shared" si="6"/>
        <v>2965696.3499643723</v>
      </c>
      <c r="P118" s="46">
        <f t="shared" si="7"/>
        <v>1.7919411851783029</v>
      </c>
      <c r="Q118" s="66">
        <f t="shared" si="8"/>
        <v>11585131600</v>
      </c>
      <c r="R118" s="80">
        <f t="shared" si="9"/>
        <v>23170263.199999999</v>
      </c>
    </row>
    <row r="119" spans="1:18">
      <c r="A119" s="32">
        <v>15</v>
      </c>
      <c r="B119" s="32">
        <v>30</v>
      </c>
      <c r="C119" s="81">
        <v>2</v>
      </c>
      <c r="D119" s="36" t="s">
        <v>965</v>
      </c>
      <c r="E119" s="37">
        <v>42849</v>
      </c>
      <c r="F119" s="38" t="s">
        <v>282</v>
      </c>
      <c r="G119" s="40" t="s">
        <v>966</v>
      </c>
      <c r="H119" s="71">
        <v>0</v>
      </c>
      <c r="I119" s="48">
        <v>45474</v>
      </c>
      <c r="J119" s="42">
        <v>8.6682224273681641</v>
      </c>
      <c r="K119" s="42">
        <v>8.7502803802490234</v>
      </c>
      <c r="L119" s="44">
        <v>95409312</v>
      </c>
      <c r="M119" s="44">
        <v>90825576</v>
      </c>
      <c r="N119" s="46">
        <f t="shared" si="5"/>
        <v>93117444</v>
      </c>
      <c r="O119" s="46">
        <f t="shared" si="6"/>
        <v>3241190.8087689006</v>
      </c>
      <c r="P119" s="46">
        <f t="shared" si="7"/>
        <v>3.4807557741478607</v>
      </c>
      <c r="Q119" s="66">
        <f t="shared" si="8"/>
        <v>6518221080</v>
      </c>
      <c r="R119" s="80">
        <f t="shared" si="9"/>
        <v>13036442.16</v>
      </c>
    </row>
    <row r="120" spans="1:18">
      <c r="A120" s="32">
        <v>15</v>
      </c>
      <c r="B120" s="32">
        <v>40</v>
      </c>
      <c r="C120" s="81">
        <v>3</v>
      </c>
      <c r="D120" s="36" t="s">
        <v>967</v>
      </c>
      <c r="E120" s="37">
        <v>42884</v>
      </c>
      <c r="F120" s="38" t="s">
        <v>282</v>
      </c>
      <c r="G120" s="40" t="s">
        <v>968</v>
      </c>
      <c r="H120" s="71">
        <v>0</v>
      </c>
      <c r="I120" s="48">
        <v>45474</v>
      </c>
      <c r="J120" s="42">
        <v>8.9248514175415039</v>
      </c>
      <c r="K120" s="42">
        <v>8.9267539978027344</v>
      </c>
      <c r="L120" s="44">
        <v>81793448</v>
      </c>
      <c r="M120" s="44">
        <v>81700128</v>
      </c>
      <c r="N120" s="46">
        <f t="shared" si="5"/>
        <v>81746788</v>
      </c>
      <c r="O120" s="46">
        <f t="shared" si="6"/>
        <v>65987.20482032861</v>
      </c>
      <c r="P120" s="46">
        <f t="shared" si="7"/>
        <v>8.0721464946523172E-2</v>
      </c>
      <c r="Q120" s="66">
        <f t="shared" si="8"/>
        <v>5722275160</v>
      </c>
      <c r="R120" s="80">
        <f t="shared" si="9"/>
        <v>11444550.32</v>
      </c>
    </row>
    <row r="121" spans="1:18">
      <c r="A121" s="32">
        <v>15</v>
      </c>
      <c r="B121" s="32">
        <v>50</v>
      </c>
      <c r="C121" s="81">
        <v>22</v>
      </c>
      <c r="D121" s="36" t="s">
        <v>473</v>
      </c>
      <c r="E121" s="37">
        <v>42940</v>
      </c>
      <c r="F121" s="38" t="s">
        <v>282</v>
      </c>
      <c r="G121" s="40" t="s">
        <v>474</v>
      </c>
      <c r="H121" s="71">
        <v>4</v>
      </c>
      <c r="I121" s="50">
        <v>45435</v>
      </c>
      <c r="J121" s="42">
        <v>7.723505973815918</v>
      </c>
      <c r="K121" s="42">
        <v>7.7809004783630371</v>
      </c>
      <c r="L121" s="44">
        <v>137897856</v>
      </c>
      <c r="M121" s="44">
        <v>133118744</v>
      </c>
      <c r="N121" s="46">
        <f t="shared" si="5"/>
        <v>135508300</v>
      </c>
      <c r="O121" s="46">
        <f t="shared" si="6"/>
        <v>3379342.5032500033</v>
      </c>
      <c r="P121" s="46">
        <f t="shared" si="7"/>
        <v>2.4938269487920692</v>
      </c>
      <c r="Q121" s="66">
        <f t="shared" si="8"/>
        <v>9485581000</v>
      </c>
      <c r="R121" s="80">
        <f t="shared" si="9"/>
        <v>18971162</v>
      </c>
    </row>
    <row r="122" spans="1:18">
      <c r="A122" s="32">
        <v>15</v>
      </c>
      <c r="B122" s="32">
        <v>60</v>
      </c>
      <c r="C122" s="81">
        <v>4</v>
      </c>
      <c r="D122" s="36" t="s">
        <v>969</v>
      </c>
      <c r="E122" s="37">
        <v>42975</v>
      </c>
      <c r="F122" s="38" t="s">
        <v>282</v>
      </c>
      <c r="G122" s="40" t="s">
        <v>970</v>
      </c>
      <c r="H122" s="71">
        <v>0</v>
      </c>
      <c r="I122" s="48">
        <v>45474</v>
      </c>
      <c r="J122" s="42">
        <v>8.1604061126708984</v>
      </c>
      <c r="K122" s="42">
        <v>8.0687971115112305</v>
      </c>
      <c r="L122" s="44">
        <v>129394944</v>
      </c>
      <c r="M122" s="44">
        <v>136706368</v>
      </c>
      <c r="N122" s="46">
        <f t="shared" si="5"/>
        <v>133050656</v>
      </c>
      <c r="O122" s="46">
        <f t="shared" si="6"/>
        <v>5169957.4905300718</v>
      </c>
      <c r="P122" s="46">
        <f t="shared" si="7"/>
        <v>3.8857061257406142</v>
      </c>
      <c r="Q122" s="66">
        <f t="shared" si="8"/>
        <v>9313545920</v>
      </c>
      <c r="R122" s="80">
        <f t="shared" si="9"/>
        <v>18627091.84</v>
      </c>
    </row>
    <row r="123" spans="1:18">
      <c r="A123" s="32">
        <v>15</v>
      </c>
      <c r="B123" s="32">
        <v>70</v>
      </c>
      <c r="C123" s="81">
        <v>5</v>
      </c>
      <c r="D123" s="36" t="s">
        <v>971</v>
      </c>
      <c r="E123" s="37">
        <v>43010</v>
      </c>
      <c r="F123" s="38" t="s">
        <v>282</v>
      </c>
      <c r="G123" s="40" t="s">
        <v>972</v>
      </c>
      <c r="H123" s="71">
        <v>10</v>
      </c>
      <c r="I123" s="48">
        <v>45474</v>
      </c>
      <c r="J123" s="42">
        <v>9.2959966659545898</v>
      </c>
      <c r="K123" s="42">
        <v>9.3729057312011719</v>
      </c>
      <c r="L123" s="44">
        <v>65464472</v>
      </c>
      <c r="M123" s="44">
        <v>62512192</v>
      </c>
      <c r="N123" s="46">
        <f t="shared" si="5"/>
        <v>63988332</v>
      </c>
      <c r="O123" s="46">
        <f t="shared" si="6"/>
        <v>2087577.2079614205</v>
      </c>
      <c r="P123" s="46">
        <f t="shared" si="7"/>
        <v>3.2624341699693318</v>
      </c>
      <c r="Q123" s="66">
        <f t="shared" si="8"/>
        <v>4479183240</v>
      </c>
      <c r="R123" s="80">
        <f t="shared" si="9"/>
        <v>8958366.4800000004</v>
      </c>
    </row>
    <row r="124" spans="1:18">
      <c r="A124" s="32">
        <v>15</v>
      </c>
      <c r="B124" s="32">
        <v>80</v>
      </c>
      <c r="C124" s="81">
        <v>6</v>
      </c>
      <c r="D124" s="36" t="s">
        <v>973</v>
      </c>
      <c r="E124" s="37">
        <v>43045</v>
      </c>
      <c r="F124" s="38" t="s">
        <v>282</v>
      </c>
      <c r="G124" s="40" t="s">
        <v>974</v>
      </c>
      <c r="H124" s="71">
        <v>5</v>
      </c>
      <c r="I124" s="48">
        <v>45474</v>
      </c>
      <c r="J124" s="42">
        <v>10.510616302490234</v>
      </c>
      <c r="K124" s="42">
        <v>10.379103660583496</v>
      </c>
      <c r="L124" s="44">
        <v>31586438</v>
      </c>
      <c r="M124" s="44">
        <v>34179852</v>
      </c>
      <c r="N124" s="46">
        <f t="shared" si="5"/>
        <v>32883145</v>
      </c>
      <c r="O124" s="46">
        <f t="shared" si="6"/>
        <v>1833820.625824129</v>
      </c>
      <c r="P124" s="46">
        <f t="shared" si="7"/>
        <v>5.5767799151332058</v>
      </c>
      <c r="Q124" s="66">
        <f t="shared" si="8"/>
        <v>2301820150</v>
      </c>
      <c r="R124" s="80">
        <f t="shared" si="9"/>
        <v>4603640.3</v>
      </c>
    </row>
    <row r="125" spans="1:18">
      <c r="A125" s="32">
        <v>15</v>
      </c>
      <c r="B125" s="32">
        <v>90</v>
      </c>
      <c r="C125" s="81">
        <v>7</v>
      </c>
      <c r="D125" s="36" t="s">
        <v>975</v>
      </c>
      <c r="E125" s="37">
        <v>43080</v>
      </c>
      <c r="F125" s="38" t="s">
        <v>282</v>
      </c>
      <c r="G125" s="40" t="s">
        <v>976</v>
      </c>
      <c r="H125" s="71">
        <v>0</v>
      </c>
      <c r="I125" s="48">
        <v>45474</v>
      </c>
      <c r="J125" s="42">
        <v>10.254474639892578</v>
      </c>
      <c r="K125" s="42">
        <v>9.8679237365722656</v>
      </c>
      <c r="L125" s="44">
        <v>36833748</v>
      </c>
      <c r="M125" s="44">
        <v>46448660</v>
      </c>
      <c r="N125" s="46">
        <f t="shared" si="5"/>
        <v>41641204</v>
      </c>
      <c r="O125" s="46">
        <f t="shared" si="6"/>
        <v>6798769.4757119101</v>
      </c>
      <c r="P125" s="46">
        <f t="shared" si="7"/>
        <v>16.327024251536795</v>
      </c>
      <c r="Q125" s="66">
        <f t="shared" si="8"/>
        <v>2914884280</v>
      </c>
      <c r="R125" s="80">
        <f t="shared" si="9"/>
        <v>5829768.5599999996</v>
      </c>
    </row>
    <row r="126" spans="1:18">
      <c r="A126" s="32">
        <v>15</v>
      </c>
      <c r="B126" s="32">
        <v>100</v>
      </c>
      <c r="C126" s="81">
        <v>23</v>
      </c>
      <c r="D126" s="36" t="s">
        <v>475</v>
      </c>
      <c r="E126" s="37">
        <v>43136</v>
      </c>
      <c r="F126" s="38" t="s">
        <v>282</v>
      </c>
      <c r="G126" s="40" t="s">
        <v>476</v>
      </c>
      <c r="H126" s="71">
        <v>11</v>
      </c>
      <c r="I126" s="50">
        <v>45435</v>
      </c>
      <c r="J126" s="42">
        <v>9.9979915618896484</v>
      </c>
      <c r="K126" s="42">
        <v>10.047722816467285</v>
      </c>
      <c r="L126" s="44">
        <v>34080816</v>
      </c>
      <c r="M126" s="44">
        <v>33054988</v>
      </c>
      <c r="N126" s="46">
        <f t="shared" si="5"/>
        <v>33567902</v>
      </c>
      <c r="O126" s="46">
        <f t="shared" si="6"/>
        <v>725369.93513103365</v>
      </c>
      <c r="P126" s="46">
        <f t="shared" si="7"/>
        <v>2.1609033985234873</v>
      </c>
      <c r="Q126" s="66">
        <f t="shared" si="8"/>
        <v>2349753140</v>
      </c>
      <c r="R126" s="80">
        <f t="shared" si="9"/>
        <v>4699506.28</v>
      </c>
    </row>
    <row r="127" spans="1:18">
      <c r="A127" s="32">
        <v>15</v>
      </c>
      <c r="B127" s="32">
        <v>110</v>
      </c>
      <c r="C127" s="81">
        <v>8</v>
      </c>
      <c r="D127" s="36" t="s">
        <v>977</v>
      </c>
      <c r="E127" s="37">
        <v>43171</v>
      </c>
      <c r="F127" s="38" t="s">
        <v>282</v>
      </c>
      <c r="G127" s="40" t="s">
        <v>978</v>
      </c>
      <c r="H127" s="71">
        <v>10</v>
      </c>
      <c r="I127" s="48">
        <v>45474</v>
      </c>
      <c r="J127" s="42">
        <v>9.9863758087158203</v>
      </c>
      <c r="K127" s="42">
        <v>9.6582565307617188</v>
      </c>
      <c r="L127" s="44">
        <v>43262040</v>
      </c>
      <c r="M127" s="44">
        <v>52675440</v>
      </c>
      <c r="N127" s="46">
        <f t="shared" si="5"/>
        <v>47968740</v>
      </c>
      <c r="O127" s="46">
        <f t="shared" si="6"/>
        <v>6656278.9740214469</v>
      </c>
      <c r="P127" s="46">
        <f t="shared" si="7"/>
        <v>13.876284793016133</v>
      </c>
      <c r="Q127" s="66">
        <f t="shared" si="8"/>
        <v>3357811800</v>
      </c>
      <c r="R127" s="80">
        <f t="shared" si="9"/>
        <v>6715623.5999999996</v>
      </c>
    </row>
    <row r="128" spans="1:18">
      <c r="A128" s="32">
        <v>15</v>
      </c>
      <c r="B128" s="32">
        <v>120</v>
      </c>
      <c r="C128" s="81">
        <v>9</v>
      </c>
      <c r="D128" s="36" t="s">
        <v>979</v>
      </c>
      <c r="E128" s="37">
        <v>43206</v>
      </c>
      <c r="F128" s="38" t="s">
        <v>282</v>
      </c>
      <c r="G128" s="40" t="s">
        <v>980</v>
      </c>
      <c r="H128" s="71">
        <v>0</v>
      </c>
      <c r="I128" s="48">
        <v>45474</v>
      </c>
      <c r="J128" s="42">
        <v>10.251010894775391</v>
      </c>
      <c r="K128" s="42">
        <v>10.262181282043457</v>
      </c>
      <c r="L128" s="44">
        <v>36910380</v>
      </c>
      <c r="M128" s="44">
        <v>36663820</v>
      </c>
      <c r="N128" s="46">
        <f t="shared" si="5"/>
        <v>36787100</v>
      </c>
      <c r="O128" s="46">
        <f t="shared" si="6"/>
        <v>174344.24796935514</v>
      </c>
      <c r="P128" s="46">
        <f t="shared" si="7"/>
        <v>0.47392767565085353</v>
      </c>
      <c r="Q128" s="66">
        <f t="shared" si="8"/>
        <v>2575097000</v>
      </c>
      <c r="R128" s="80">
        <f t="shared" si="9"/>
        <v>5150194</v>
      </c>
    </row>
    <row r="129" spans="1:18">
      <c r="A129" s="32">
        <v>15</v>
      </c>
      <c r="B129" s="32">
        <v>130</v>
      </c>
      <c r="C129" s="81">
        <v>10</v>
      </c>
      <c r="D129" s="36" t="s">
        <v>981</v>
      </c>
      <c r="E129" s="37">
        <v>43242</v>
      </c>
      <c r="F129" s="38" t="s">
        <v>282</v>
      </c>
      <c r="G129" s="40" t="s">
        <v>982</v>
      </c>
      <c r="H129" s="71">
        <v>0</v>
      </c>
      <c r="I129" s="48">
        <v>45474</v>
      </c>
      <c r="J129" s="42">
        <v>9.6950244903564453</v>
      </c>
      <c r="K129" s="42">
        <v>9.3975448608398438</v>
      </c>
      <c r="L129" s="44">
        <v>51526088</v>
      </c>
      <c r="M129" s="44">
        <v>61594832</v>
      </c>
      <c r="N129" s="46">
        <f t="shared" si="5"/>
        <v>56560460</v>
      </c>
      <c r="O129" s="46">
        <f t="shared" si="6"/>
        <v>7119677.1604313636</v>
      </c>
      <c r="P129" s="46">
        <f t="shared" si="7"/>
        <v>12.587728530551844</v>
      </c>
      <c r="Q129" s="66">
        <f t="shared" si="8"/>
        <v>3959232200</v>
      </c>
      <c r="R129" s="80">
        <f t="shared" si="9"/>
        <v>7918464.4000000004</v>
      </c>
    </row>
    <row r="130" spans="1:18">
      <c r="A130" s="32">
        <v>15</v>
      </c>
      <c r="B130" s="32">
        <v>140</v>
      </c>
      <c r="C130" s="81">
        <v>11</v>
      </c>
      <c r="D130" s="36" t="s">
        <v>983</v>
      </c>
      <c r="E130" s="37">
        <v>43276</v>
      </c>
      <c r="F130" s="38" t="s">
        <v>282</v>
      </c>
      <c r="G130" s="40" t="s">
        <v>984</v>
      </c>
      <c r="H130" s="71">
        <v>0</v>
      </c>
      <c r="I130" s="48">
        <v>45474</v>
      </c>
      <c r="J130" s="42">
        <v>9.2265110015869141</v>
      </c>
      <c r="K130" s="42">
        <v>9.3547945022583008</v>
      </c>
      <c r="L130" s="44">
        <v>68251504</v>
      </c>
      <c r="M130" s="44">
        <v>63195208</v>
      </c>
      <c r="N130" s="46">
        <f t="shared" si="5"/>
        <v>65723356</v>
      </c>
      <c r="O130" s="46">
        <f t="shared" si="6"/>
        <v>3575341.1892864155</v>
      </c>
      <c r="P130" s="46">
        <f t="shared" si="7"/>
        <v>5.4399857324486227</v>
      </c>
      <c r="Q130" s="66">
        <f t="shared" si="8"/>
        <v>4600634920</v>
      </c>
      <c r="R130" s="80">
        <f t="shared" si="9"/>
        <v>9201269.8399999999</v>
      </c>
    </row>
    <row r="131" spans="1:18">
      <c r="A131" s="32">
        <v>15</v>
      </c>
      <c r="B131" s="32">
        <v>150</v>
      </c>
      <c r="C131" s="81">
        <v>24</v>
      </c>
      <c r="D131" s="36" t="s">
        <v>477</v>
      </c>
      <c r="E131" s="37">
        <v>43311</v>
      </c>
      <c r="F131" s="38" t="s">
        <v>282</v>
      </c>
      <c r="G131" s="40" t="s">
        <v>478</v>
      </c>
      <c r="H131" s="71">
        <v>0</v>
      </c>
      <c r="I131" s="50">
        <v>45435</v>
      </c>
      <c r="J131" s="42">
        <v>9.0623292922973633</v>
      </c>
      <c r="K131" s="42">
        <v>9.036961555480957</v>
      </c>
      <c r="L131" s="44">
        <v>60566576</v>
      </c>
      <c r="M131" s="44">
        <v>61518188</v>
      </c>
      <c r="N131" s="46">
        <f t="shared" ref="N131:N194" si="10">AVERAGE(L131:M131)</f>
        <v>61042382</v>
      </c>
      <c r="O131" s="46">
        <f t="shared" ref="O131:O194" si="11">STDEVA(L131:M131)</f>
        <v>672891.29825849284</v>
      </c>
      <c r="P131" s="46">
        <f t="shared" ref="P131:P194" si="12">O131*100/N131</f>
        <v>1.1023346013241959</v>
      </c>
      <c r="Q131" s="66">
        <f t="shared" ref="Q131:Q194" si="13">N131*70</f>
        <v>4272966740</v>
      </c>
      <c r="R131" s="80">
        <f t="shared" si="9"/>
        <v>8545933.4800000004</v>
      </c>
    </row>
    <row r="132" spans="1:18">
      <c r="A132" s="32">
        <v>15</v>
      </c>
      <c r="B132" s="32">
        <v>160</v>
      </c>
      <c r="C132" s="81">
        <v>12</v>
      </c>
      <c r="D132" s="36" t="s">
        <v>985</v>
      </c>
      <c r="E132" s="37">
        <v>43346</v>
      </c>
      <c r="F132" s="38" t="s">
        <v>282</v>
      </c>
      <c r="G132" s="40" t="s">
        <v>986</v>
      </c>
      <c r="H132" s="71">
        <v>0</v>
      </c>
      <c r="I132" s="48">
        <v>45474</v>
      </c>
      <c r="J132" s="42">
        <v>9.2521400451660156</v>
      </c>
      <c r="K132" s="42">
        <v>9.0479936599731445</v>
      </c>
      <c r="L132" s="44">
        <v>67209984</v>
      </c>
      <c r="M132" s="44">
        <v>75967912</v>
      </c>
      <c r="N132" s="46">
        <f t="shared" si="10"/>
        <v>71588948</v>
      </c>
      <c r="O132" s="46">
        <f t="shared" si="11"/>
        <v>6192790.2779435376</v>
      </c>
      <c r="P132" s="46">
        <f t="shared" si="12"/>
        <v>8.6504837002822512</v>
      </c>
      <c r="Q132" s="66">
        <f t="shared" si="13"/>
        <v>5011226360</v>
      </c>
      <c r="R132" s="80">
        <f t="shared" ref="R132:R195" si="14">Q132/500</f>
        <v>10022452.720000001</v>
      </c>
    </row>
    <row r="133" spans="1:18">
      <c r="A133" s="32">
        <v>15</v>
      </c>
      <c r="B133" s="32">
        <v>170</v>
      </c>
      <c r="C133" s="81">
        <v>13</v>
      </c>
      <c r="D133" s="36" t="s">
        <v>987</v>
      </c>
      <c r="E133" s="37">
        <v>43381</v>
      </c>
      <c r="F133" s="38" t="s">
        <v>282</v>
      </c>
      <c r="G133" s="40" t="s">
        <v>988</v>
      </c>
      <c r="H133" s="71">
        <v>0</v>
      </c>
      <c r="I133" s="48">
        <v>45474</v>
      </c>
      <c r="J133" s="42">
        <v>8.670842170715332</v>
      </c>
      <c r="K133" s="42">
        <v>8.645442008972168</v>
      </c>
      <c r="L133" s="44">
        <v>95259464</v>
      </c>
      <c r="M133" s="44">
        <v>96722360</v>
      </c>
      <c r="N133" s="46">
        <f t="shared" si="10"/>
        <v>95990912</v>
      </c>
      <c r="O133" s="46">
        <f t="shared" si="11"/>
        <v>1034423.6817706756</v>
      </c>
      <c r="P133" s="46">
        <f t="shared" si="12"/>
        <v>1.0776266838371904</v>
      </c>
      <c r="Q133" s="66">
        <f t="shared" si="13"/>
        <v>6719363840</v>
      </c>
      <c r="R133" s="80">
        <f t="shared" si="14"/>
        <v>13438727.68</v>
      </c>
    </row>
    <row r="134" spans="1:18">
      <c r="A134" s="32">
        <v>15</v>
      </c>
      <c r="B134" s="32">
        <v>180</v>
      </c>
      <c r="C134" s="81">
        <v>14</v>
      </c>
      <c r="D134" s="36" t="s">
        <v>989</v>
      </c>
      <c r="E134" s="37">
        <v>43416</v>
      </c>
      <c r="F134" s="38" t="s">
        <v>282</v>
      </c>
      <c r="G134" s="40" t="s">
        <v>990</v>
      </c>
      <c r="H134" s="71">
        <v>0</v>
      </c>
      <c r="I134" s="48">
        <v>45474</v>
      </c>
      <c r="J134" s="42">
        <v>8.9322280883789062</v>
      </c>
      <c r="K134" s="42">
        <v>8.946232795715332</v>
      </c>
      <c r="L134" s="44">
        <v>81432224</v>
      </c>
      <c r="M134" s="44">
        <v>80750824</v>
      </c>
      <c r="N134" s="46">
        <f t="shared" si="10"/>
        <v>81091524</v>
      </c>
      <c r="O134" s="46">
        <f t="shared" si="11"/>
        <v>481822.56070051348</v>
      </c>
      <c r="P134" s="46">
        <f t="shared" si="12"/>
        <v>0.59417129797747237</v>
      </c>
      <c r="Q134" s="66">
        <f t="shared" si="13"/>
        <v>5676406680</v>
      </c>
      <c r="R134" s="80">
        <f t="shared" si="14"/>
        <v>11352813.359999999</v>
      </c>
    </row>
    <row r="135" spans="1:18">
      <c r="A135" s="32">
        <v>15</v>
      </c>
      <c r="B135" s="32">
        <v>190</v>
      </c>
      <c r="C135" s="81">
        <v>15</v>
      </c>
      <c r="D135" s="36" t="s">
        <v>991</v>
      </c>
      <c r="E135" s="37">
        <v>43451</v>
      </c>
      <c r="F135" s="38" t="s">
        <v>282</v>
      </c>
      <c r="G135" s="40" t="s">
        <v>992</v>
      </c>
      <c r="H135" s="71">
        <v>10</v>
      </c>
      <c r="I135" s="48">
        <v>45474</v>
      </c>
      <c r="J135" s="42">
        <v>10.794448852539062</v>
      </c>
      <c r="K135" s="42">
        <v>10.749866485595703</v>
      </c>
      <c r="L135" s="44">
        <v>26640336</v>
      </c>
      <c r="M135" s="44">
        <v>27362574</v>
      </c>
      <c r="N135" s="46">
        <f t="shared" si="10"/>
        <v>27001455</v>
      </c>
      <c r="O135" s="46">
        <f t="shared" si="11"/>
        <v>510699.38743060973</v>
      </c>
      <c r="P135" s="46">
        <f t="shared" si="12"/>
        <v>1.8913772884854159</v>
      </c>
      <c r="Q135" s="66">
        <f t="shared" si="13"/>
        <v>1890101850</v>
      </c>
      <c r="R135" s="80">
        <f t="shared" si="14"/>
        <v>3780203.7</v>
      </c>
    </row>
    <row r="136" spans="1:18">
      <c r="A136" s="32">
        <v>15</v>
      </c>
      <c r="B136" s="32">
        <v>200</v>
      </c>
      <c r="C136" s="81">
        <v>25</v>
      </c>
      <c r="D136" s="36" t="s">
        <v>479</v>
      </c>
      <c r="E136" s="37">
        <v>43549</v>
      </c>
      <c r="F136" s="38" t="s">
        <v>282</v>
      </c>
      <c r="G136" s="40" t="s">
        <v>480</v>
      </c>
      <c r="H136" s="71">
        <v>0</v>
      </c>
      <c r="I136" s="50">
        <v>45435</v>
      </c>
      <c r="J136" s="42">
        <v>9.9052762985229492</v>
      </c>
      <c r="K136" s="42">
        <v>10.068211555480957</v>
      </c>
      <c r="L136" s="44">
        <v>36079056</v>
      </c>
      <c r="M136" s="44">
        <v>32641392</v>
      </c>
      <c r="N136" s="46">
        <f t="shared" si="10"/>
        <v>34360224</v>
      </c>
      <c r="O136" s="46">
        <f t="shared" si="11"/>
        <v>2430795.5258408715</v>
      </c>
      <c r="P136" s="46">
        <f t="shared" si="12"/>
        <v>7.0744460974435777</v>
      </c>
      <c r="Q136" s="66">
        <f t="shared" si="13"/>
        <v>2405215680</v>
      </c>
      <c r="R136" s="80">
        <f t="shared" si="14"/>
        <v>4810431.3600000003</v>
      </c>
    </row>
    <row r="137" spans="1:18">
      <c r="A137" s="32">
        <v>15</v>
      </c>
      <c r="B137" s="32">
        <v>210</v>
      </c>
      <c r="C137" s="81">
        <v>16</v>
      </c>
      <c r="D137" s="36" t="s">
        <v>993</v>
      </c>
      <c r="E137" s="37">
        <v>43584</v>
      </c>
      <c r="F137" s="38" t="s">
        <v>282</v>
      </c>
      <c r="G137" s="40" t="s">
        <v>994</v>
      </c>
      <c r="H137" s="71">
        <v>0</v>
      </c>
      <c r="I137" s="48">
        <v>45474</v>
      </c>
      <c r="J137" s="42">
        <v>9.0622701644897461</v>
      </c>
      <c r="K137" s="42">
        <v>9.176112174987793</v>
      </c>
      <c r="L137" s="44">
        <v>75319944</v>
      </c>
      <c r="M137" s="44">
        <v>70346920</v>
      </c>
      <c r="N137" s="46">
        <f t="shared" si="10"/>
        <v>72833432</v>
      </c>
      <c r="O137" s="46">
        <f t="shared" si="11"/>
        <v>3516458.9934034492</v>
      </c>
      <c r="P137" s="46">
        <f t="shared" si="12"/>
        <v>4.8280836105642377</v>
      </c>
      <c r="Q137" s="66">
        <f t="shared" si="13"/>
        <v>5098340240</v>
      </c>
      <c r="R137" s="80">
        <f t="shared" si="14"/>
        <v>10196680.48</v>
      </c>
    </row>
    <row r="138" spans="1:18">
      <c r="A138" s="32">
        <v>15</v>
      </c>
      <c r="B138" s="32">
        <v>220</v>
      </c>
      <c r="C138" s="81">
        <v>17</v>
      </c>
      <c r="D138" s="36" t="s">
        <v>995</v>
      </c>
      <c r="E138" s="37">
        <v>43619</v>
      </c>
      <c r="F138" s="38" t="s">
        <v>282</v>
      </c>
      <c r="G138" s="40" t="s">
        <v>996</v>
      </c>
      <c r="H138" s="71">
        <v>0</v>
      </c>
      <c r="I138" s="48">
        <v>45474</v>
      </c>
      <c r="J138" s="42">
        <v>10.44444751739502</v>
      </c>
      <c r="K138" s="42">
        <v>10.651329040527344</v>
      </c>
      <c r="L138" s="44">
        <v>32865700</v>
      </c>
      <c r="M138" s="44">
        <v>29029114</v>
      </c>
      <c r="N138" s="46">
        <f t="shared" si="10"/>
        <v>30947407</v>
      </c>
      <c r="O138" s="46">
        <f t="shared" si="11"/>
        <v>2712875.9772053715</v>
      </c>
      <c r="P138" s="46">
        <f t="shared" si="12"/>
        <v>8.7660849169217023</v>
      </c>
      <c r="Q138" s="66">
        <f t="shared" si="13"/>
        <v>2166318490</v>
      </c>
      <c r="R138" s="80">
        <f t="shared" si="14"/>
        <v>4332636.9800000004</v>
      </c>
    </row>
    <row r="139" spans="1:18">
      <c r="A139" s="32">
        <v>15</v>
      </c>
      <c r="B139" s="32">
        <v>230</v>
      </c>
      <c r="C139" s="81">
        <v>18</v>
      </c>
      <c r="D139" s="36" t="s">
        <v>997</v>
      </c>
      <c r="E139" s="37">
        <v>43661</v>
      </c>
      <c r="F139" s="38" t="s">
        <v>282</v>
      </c>
      <c r="G139" s="40" t="s">
        <v>998</v>
      </c>
      <c r="H139" s="71">
        <v>0</v>
      </c>
      <c r="I139" s="48">
        <v>45474</v>
      </c>
      <c r="J139" s="42">
        <v>9.3268003463745117</v>
      </c>
      <c r="K139" s="42">
        <v>9.5081453323364258</v>
      </c>
      <c r="L139" s="44">
        <v>64265644</v>
      </c>
      <c r="M139" s="44">
        <v>57640012</v>
      </c>
      <c r="N139" s="46">
        <f t="shared" si="10"/>
        <v>60952828</v>
      </c>
      <c r="O139" s="46">
        <f t="shared" si="11"/>
        <v>4685029.3168465877</v>
      </c>
      <c r="P139" s="46">
        <f t="shared" si="12"/>
        <v>7.6863198485992932</v>
      </c>
      <c r="Q139" s="66">
        <f t="shared" si="13"/>
        <v>4266697960</v>
      </c>
      <c r="R139" s="80">
        <f t="shared" si="14"/>
        <v>8533395.9199999999</v>
      </c>
    </row>
    <row r="140" spans="1:18">
      <c r="A140" s="32">
        <v>15</v>
      </c>
      <c r="B140" s="32">
        <v>240</v>
      </c>
      <c r="C140" s="81">
        <v>19</v>
      </c>
      <c r="D140" s="36" t="s">
        <v>999</v>
      </c>
      <c r="E140" s="37">
        <v>43696</v>
      </c>
      <c r="F140" s="38" t="s">
        <v>282</v>
      </c>
      <c r="G140" s="40" t="s">
        <v>1000</v>
      </c>
      <c r="H140" s="71">
        <v>0</v>
      </c>
      <c r="I140" s="48">
        <v>45474</v>
      </c>
      <c r="J140" s="42">
        <v>9.1533308029174805</v>
      </c>
      <c r="K140" s="42">
        <v>9.1000509262084961</v>
      </c>
      <c r="L140" s="44">
        <v>71315096</v>
      </c>
      <c r="M140" s="44">
        <v>73631752</v>
      </c>
      <c r="N140" s="46">
        <f t="shared" si="10"/>
        <v>72473424</v>
      </c>
      <c r="O140" s="46">
        <f t="shared" si="11"/>
        <v>1638123.1672765024</v>
      </c>
      <c r="P140" s="46">
        <f t="shared" si="12"/>
        <v>2.2603087819840031</v>
      </c>
      <c r="Q140" s="66">
        <f t="shared" si="13"/>
        <v>5073139680</v>
      </c>
      <c r="R140" s="80">
        <f t="shared" si="14"/>
        <v>10146279.359999999</v>
      </c>
    </row>
    <row r="141" spans="1:18">
      <c r="A141" s="32">
        <v>15</v>
      </c>
      <c r="B141" s="32">
        <v>250</v>
      </c>
      <c r="C141" s="81">
        <v>26</v>
      </c>
      <c r="D141" s="36" t="s">
        <v>481</v>
      </c>
      <c r="E141" s="37">
        <v>43731</v>
      </c>
      <c r="F141" s="38" t="s">
        <v>282</v>
      </c>
      <c r="G141" s="40" t="s">
        <v>482</v>
      </c>
      <c r="H141" s="71">
        <v>17</v>
      </c>
      <c r="I141" s="50">
        <v>45435</v>
      </c>
      <c r="J141" s="42">
        <v>9.4149789810180664</v>
      </c>
      <c r="K141" s="42">
        <v>9.7211227416992188</v>
      </c>
      <c r="L141" s="44">
        <v>48765512</v>
      </c>
      <c r="M141" s="44">
        <v>40402172</v>
      </c>
      <c r="N141" s="46">
        <f t="shared" si="10"/>
        <v>44583842</v>
      </c>
      <c r="O141" s="46">
        <f t="shared" si="11"/>
        <v>5913774.4273687005</v>
      </c>
      <c r="P141" s="46">
        <f t="shared" si="12"/>
        <v>13.264389433662313</v>
      </c>
      <c r="Q141" s="66">
        <f t="shared" si="13"/>
        <v>3120868940</v>
      </c>
      <c r="R141" s="80">
        <f t="shared" si="14"/>
        <v>6241737.8799999999</v>
      </c>
    </row>
    <row r="142" spans="1:18">
      <c r="A142" s="32">
        <v>15</v>
      </c>
      <c r="B142" s="32">
        <v>260</v>
      </c>
      <c r="C142" s="81">
        <v>20</v>
      </c>
      <c r="D142" s="36" t="s">
        <v>1001</v>
      </c>
      <c r="E142" s="37">
        <v>43766</v>
      </c>
      <c r="F142" s="38" t="s">
        <v>282</v>
      </c>
      <c r="G142" s="40" t="s">
        <v>1002</v>
      </c>
      <c r="H142" s="71">
        <v>5</v>
      </c>
      <c r="I142" s="48">
        <v>45474</v>
      </c>
      <c r="J142" s="42">
        <v>10.610983848571777</v>
      </c>
      <c r="K142" s="42">
        <v>11.062202453613281</v>
      </c>
      <c r="L142" s="44">
        <v>29740408</v>
      </c>
      <c r="M142" s="44">
        <v>22686558</v>
      </c>
      <c r="N142" s="46">
        <f t="shared" si="10"/>
        <v>26213483</v>
      </c>
      <c r="O142" s="46">
        <f t="shared" si="11"/>
        <v>4987825.1684727287</v>
      </c>
      <c r="P142" s="46">
        <f t="shared" si="12"/>
        <v>19.027708635562579</v>
      </c>
      <c r="Q142" s="66">
        <f t="shared" si="13"/>
        <v>1834943810</v>
      </c>
      <c r="R142" s="80">
        <f t="shared" si="14"/>
        <v>3669887.62</v>
      </c>
    </row>
    <row r="143" spans="1:18">
      <c r="A143" s="32">
        <v>15</v>
      </c>
      <c r="B143" s="32">
        <v>270</v>
      </c>
      <c r="C143" s="81">
        <v>21</v>
      </c>
      <c r="D143" s="36" t="s">
        <v>1003</v>
      </c>
      <c r="E143" s="37">
        <v>43801</v>
      </c>
      <c r="F143" s="38" t="s">
        <v>282</v>
      </c>
      <c r="G143" s="40" t="s">
        <v>1004</v>
      </c>
      <c r="H143" s="71">
        <v>0</v>
      </c>
      <c r="I143" s="48">
        <v>45474</v>
      </c>
      <c r="J143" s="42">
        <v>8.5367794036865234</v>
      </c>
      <c r="K143" s="42">
        <v>8.6502094268798828</v>
      </c>
      <c r="L143" s="44">
        <v>103238608</v>
      </c>
      <c r="M143" s="44">
        <v>96446080</v>
      </c>
      <c r="N143" s="46">
        <f t="shared" si="10"/>
        <v>99842344</v>
      </c>
      <c r="O143" s="46">
        <f t="shared" si="11"/>
        <v>4803042.6101994971</v>
      </c>
      <c r="P143" s="46">
        <f t="shared" si="12"/>
        <v>4.8106268520693956</v>
      </c>
      <c r="Q143" s="66">
        <f t="shared" si="13"/>
        <v>6988964080</v>
      </c>
      <c r="R143" s="80">
        <f t="shared" si="14"/>
        <v>13977928.16</v>
      </c>
    </row>
    <row r="144" spans="1:18">
      <c r="A144" s="32">
        <v>15</v>
      </c>
      <c r="B144" s="32">
        <v>280</v>
      </c>
      <c r="C144" s="81">
        <v>22</v>
      </c>
      <c r="D144" s="36" t="s">
        <v>1005</v>
      </c>
      <c r="E144" s="37">
        <v>43836</v>
      </c>
      <c r="F144" s="38" t="s">
        <v>282</v>
      </c>
      <c r="G144" s="40" t="s">
        <v>1006</v>
      </c>
      <c r="H144" s="71">
        <v>10</v>
      </c>
      <c r="I144" s="48">
        <v>45474</v>
      </c>
      <c r="J144" s="42">
        <v>9.6548442840576172</v>
      </c>
      <c r="K144" s="42">
        <v>9.7496719360351562</v>
      </c>
      <c r="L144" s="44">
        <v>52783396</v>
      </c>
      <c r="M144" s="44">
        <v>49864008</v>
      </c>
      <c r="N144" s="46">
        <f t="shared" si="10"/>
        <v>51323702</v>
      </c>
      <c r="O144" s="46">
        <f t="shared" si="11"/>
        <v>2064319.0517146327</v>
      </c>
      <c r="P144" s="46">
        <f t="shared" si="12"/>
        <v>4.0221554004709805</v>
      </c>
      <c r="Q144" s="66">
        <f t="shared" si="13"/>
        <v>3592659140</v>
      </c>
      <c r="R144" s="80">
        <f t="shared" si="14"/>
        <v>7185318.2800000003</v>
      </c>
    </row>
    <row r="145" spans="1:19">
      <c r="A145" s="32">
        <v>15</v>
      </c>
      <c r="B145" s="32">
        <v>290</v>
      </c>
      <c r="C145" s="81">
        <v>23</v>
      </c>
      <c r="D145" s="36" t="s">
        <v>1007</v>
      </c>
      <c r="E145" s="37">
        <v>43878</v>
      </c>
      <c r="F145" s="38" t="s">
        <v>282</v>
      </c>
      <c r="G145" s="40" t="s">
        <v>1008</v>
      </c>
      <c r="H145" s="71">
        <v>5</v>
      </c>
      <c r="I145" s="48">
        <v>45474</v>
      </c>
      <c r="J145" s="42">
        <v>9.2835006713867188</v>
      </c>
      <c r="K145" s="42">
        <v>9.3631410598754883</v>
      </c>
      <c r="L145" s="44">
        <v>65957148</v>
      </c>
      <c r="M145" s="44">
        <v>62879520</v>
      </c>
      <c r="N145" s="46">
        <f t="shared" si="10"/>
        <v>64418334</v>
      </c>
      <c r="O145" s="46">
        <f t="shared" si="11"/>
        <v>2176211.6287695919</v>
      </c>
      <c r="P145" s="46">
        <f t="shared" si="12"/>
        <v>3.3782488519023048</v>
      </c>
      <c r="Q145" s="66">
        <f t="shared" si="13"/>
        <v>4509283380</v>
      </c>
      <c r="R145" s="80">
        <f t="shared" si="14"/>
        <v>9018566.7599999998</v>
      </c>
    </row>
    <row r="146" spans="1:19">
      <c r="A146" s="32">
        <v>15</v>
      </c>
      <c r="B146" s="32">
        <v>300</v>
      </c>
      <c r="C146" s="81">
        <v>27</v>
      </c>
      <c r="D146" s="36" t="s">
        <v>483</v>
      </c>
      <c r="E146" s="37">
        <v>43913</v>
      </c>
      <c r="F146" s="38" t="s">
        <v>282</v>
      </c>
      <c r="G146" s="40" t="s">
        <v>484</v>
      </c>
      <c r="H146" s="71">
        <v>12</v>
      </c>
      <c r="I146" s="50">
        <v>45435</v>
      </c>
      <c r="J146" s="42">
        <v>9.5035057067871094</v>
      </c>
      <c r="K146" s="42">
        <v>9.4688749313354492</v>
      </c>
      <c r="L146" s="44">
        <v>46183356</v>
      </c>
      <c r="M146" s="44">
        <v>47176776</v>
      </c>
      <c r="N146" s="46">
        <f t="shared" si="10"/>
        <v>46680066</v>
      </c>
      <c r="O146" s="46">
        <f t="shared" si="11"/>
        <v>702454.01856634009</v>
      </c>
      <c r="P146" s="46">
        <f t="shared" si="12"/>
        <v>1.5048265325210552</v>
      </c>
      <c r="Q146" s="66">
        <f t="shared" si="13"/>
        <v>3267604620</v>
      </c>
      <c r="R146" s="80">
        <f t="shared" si="14"/>
        <v>6535209.2400000002</v>
      </c>
    </row>
    <row r="147" spans="1:19">
      <c r="A147" s="32">
        <v>15</v>
      </c>
      <c r="B147" s="32">
        <v>310</v>
      </c>
      <c r="C147" s="81">
        <v>24</v>
      </c>
      <c r="D147" s="36" t="s">
        <v>1009</v>
      </c>
      <c r="E147" s="37">
        <v>44025</v>
      </c>
      <c r="F147" s="38" t="s">
        <v>282</v>
      </c>
      <c r="G147" s="40" t="s">
        <v>1010</v>
      </c>
      <c r="H147" s="71">
        <v>10</v>
      </c>
      <c r="I147" s="48">
        <v>45474</v>
      </c>
      <c r="J147" s="42">
        <v>9.6101083755493164</v>
      </c>
      <c r="K147" s="42">
        <v>9.6534299850463867</v>
      </c>
      <c r="L147" s="44">
        <v>54219384</v>
      </c>
      <c r="M147" s="44">
        <v>52828204</v>
      </c>
      <c r="N147" s="46">
        <f t="shared" si="10"/>
        <v>53523794</v>
      </c>
      <c r="O147" s="46">
        <f t="shared" si="11"/>
        <v>983712.81185110123</v>
      </c>
      <c r="P147" s="46">
        <f t="shared" si="12"/>
        <v>1.8378981352687764</v>
      </c>
      <c r="Q147" s="66">
        <f t="shared" si="13"/>
        <v>3746665580</v>
      </c>
      <c r="R147" s="80">
        <f t="shared" si="14"/>
        <v>7493331.1600000001</v>
      </c>
    </row>
    <row r="148" spans="1:19">
      <c r="A148" s="32">
        <v>15</v>
      </c>
      <c r="B148" s="32">
        <v>320</v>
      </c>
      <c r="C148" s="81">
        <v>25</v>
      </c>
      <c r="D148" s="36" t="s">
        <v>1011</v>
      </c>
      <c r="E148" s="37">
        <v>44060</v>
      </c>
      <c r="F148" s="38" t="s">
        <v>282</v>
      </c>
      <c r="G148" s="40" t="s">
        <v>1012</v>
      </c>
      <c r="H148" s="71">
        <v>5</v>
      </c>
      <c r="I148" s="48">
        <v>45474</v>
      </c>
      <c r="J148" s="42">
        <v>11.807272911071777</v>
      </c>
      <c r="K148" s="42">
        <v>11.880107879638672</v>
      </c>
      <c r="L148" s="44">
        <v>14508365</v>
      </c>
      <c r="M148" s="44">
        <v>13887983</v>
      </c>
      <c r="N148" s="46">
        <f t="shared" si="10"/>
        <v>14198174</v>
      </c>
      <c r="O148" s="46">
        <f t="shared" si="11"/>
        <v>438676.31912607275</v>
      </c>
      <c r="P148" s="46">
        <f t="shared" si="12"/>
        <v>3.0896671580871788</v>
      </c>
      <c r="Q148" s="66">
        <f t="shared" si="13"/>
        <v>993872180</v>
      </c>
      <c r="R148" s="80">
        <f t="shared" si="14"/>
        <v>1987744.36</v>
      </c>
    </row>
    <row r="149" spans="1:19">
      <c r="A149" s="32">
        <v>15</v>
      </c>
      <c r="B149" s="32">
        <v>330</v>
      </c>
      <c r="C149" s="81">
        <v>26</v>
      </c>
      <c r="D149" s="36" t="s">
        <v>1013</v>
      </c>
      <c r="E149" s="37">
        <v>44095</v>
      </c>
      <c r="F149" s="38" t="s">
        <v>282</v>
      </c>
      <c r="G149" s="40" t="s">
        <v>1014</v>
      </c>
      <c r="H149" s="71">
        <v>5</v>
      </c>
      <c r="I149" s="48">
        <v>45474</v>
      </c>
      <c r="J149" s="42">
        <v>10.828526496887207</v>
      </c>
      <c r="K149" s="42">
        <v>11.102181434631348</v>
      </c>
      <c r="L149" s="44">
        <v>26101158</v>
      </c>
      <c r="M149" s="44">
        <v>22148834</v>
      </c>
      <c r="N149" s="46">
        <f t="shared" si="10"/>
        <v>24124996</v>
      </c>
      <c r="O149" s="46">
        <f t="shared" si="11"/>
        <v>2794715.1018463401</v>
      </c>
      <c r="P149" s="46">
        <f t="shared" si="12"/>
        <v>11.584313223705157</v>
      </c>
      <c r="Q149" s="66">
        <f t="shared" si="13"/>
        <v>1688749720</v>
      </c>
      <c r="R149" s="80">
        <f t="shared" si="14"/>
        <v>3377499.44</v>
      </c>
    </row>
    <row r="150" spans="1:19">
      <c r="A150" s="32">
        <v>15</v>
      </c>
      <c r="B150" s="32">
        <v>340</v>
      </c>
      <c r="C150" s="81">
        <v>27</v>
      </c>
      <c r="D150" s="36" t="s">
        <v>1015</v>
      </c>
      <c r="E150" s="37">
        <v>44130</v>
      </c>
      <c r="F150" s="38" t="s">
        <v>282</v>
      </c>
      <c r="G150" s="40" t="s">
        <v>1016</v>
      </c>
      <c r="H150" s="71">
        <v>5</v>
      </c>
      <c r="I150" s="48">
        <v>45474</v>
      </c>
      <c r="J150" s="42">
        <v>9.1104192733764648</v>
      </c>
      <c r="K150" s="42">
        <v>9.0011196136474609</v>
      </c>
      <c r="L150" s="44">
        <v>73175104</v>
      </c>
      <c r="M150" s="44">
        <v>78134816</v>
      </c>
      <c r="N150" s="46">
        <f t="shared" si="10"/>
        <v>75654960</v>
      </c>
      <c r="O150" s="46">
        <f t="shared" si="11"/>
        <v>3507045.9879322941</v>
      </c>
      <c r="P150" s="46">
        <f t="shared" si="12"/>
        <v>4.635579726606549</v>
      </c>
      <c r="Q150" s="66">
        <f t="shared" si="13"/>
        <v>5295847200</v>
      </c>
      <c r="R150" s="80">
        <f t="shared" si="14"/>
        <v>10591694.4</v>
      </c>
    </row>
    <row r="151" spans="1:19">
      <c r="A151" s="32">
        <v>15</v>
      </c>
      <c r="B151" s="32">
        <v>350</v>
      </c>
      <c r="C151" s="81">
        <v>28</v>
      </c>
      <c r="D151" s="36" t="s">
        <v>485</v>
      </c>
      <c r="E151" s="37">
        <v>44165</v>
      </c>
      <c r="F151" s="38" t="s">
        <v>282</v>
      </c>
      <c r="G151" s="40" t="s">
        <v>486</v>
      </c>
      <c r="H151" s="71">
        <v>5</v>
      </c>
      <c r="I151" s="50">
        <v>45435</v>
      </c>
      <c r="J151" s="42">
        <v>9.9091682434082031</v>
      </c>
      <c r="K151" s="42">
        <v>9.8329229354858398</v>
      </c>
      <c r="L151" s="44">
        <v>35992868</v>
      </c>
      <c r="M151" s="44">
        <v>37719496</v>
      </c>
      <c r="N151" s="46">
        <f t="shared" si="10"/>
        <v>36856182</v>
      </c>
      <c r="O151" s="46">
        <f t="shared" si="11"/>
        <v>1220910.3673865662</v>
      </c>
      <c r="P151" s="46">
        <f t="shared" si="12"/>
        <v>3.3126338680077234</v>
      </c>
      <c r="Q151" s="66">
        <f t="shared" si="13"/>
        <v>2579932740</v>
      </c>
      <c r="R151" s="80">
        <f t="shared" si="14"/>
        <v>5159865.4800000004</v>
      </c>
    </row>
    <row r="152" spans="1:19">
      <c r="A152" s="32">
        <v>15</v>
      </c>
      <c r="B152" s="32">
        <v>360</v>
      </c>
      <c r="C152" s="81">
        <v>28</v>
      </c>
      <c r="D152" s="36" t="s">
        <v>1017</v>
      </c>
      <c r="E152" s="37">
        <v>44200</v>
      </c>
      <c r="F152" s="38" t="s">
        <v>282</v>
      </c>
      <c r="G152" s="40" t="s">
        <v>1018</v>
      </c>
      <c r="H152" s="71">
        <v>0</v>
      </c>
      <c r="I152" s="48">
        <v>45474</v>
      </c>
      <c r="J152" s="42">
        <v>10.170370101928711</v>
      </c>
      <c r="K152" s="42">
        <v>10.046689987182617</v>
      </c>
      <c r="L152" s="44">
        <v>38740200</v>
      </c>
      <c r="M152" s="44">
        <v>41724424</v>
      </c>
      <c r="N152" s="46">
        <f t="shared" si="10"/>
        <v>40232312</v>
      </c>
      <c r="O152" s="46">
        <f t="shared" si="11"/>
        <v>2110165.0269796434</v>
      </c>
      <c r="P152" s="46">
        <f t="shared" si="12"/>
        <v>5.2449509413718092</v>
      </c>
      <c r="Q152" s="66">
        <f t="shared" si="13"/>
        <v>2816261840</v>
      </c>
      <c r="R152" s="80">
        <f t="shared" si="14"/>
        <v>5632523.6799999997</v>
      </c>
    </row>
    <row r="153" spans="1:19">
      <c r="A153" s="32">
        <v>15</v>
      </c>
      <c r="B153" s="32">
        <v>370</v>
      </c>
      <c r="C153" s="81">
        <v>29</v>
      </c>
      <c r="D153" s="36" t="s">
        <v>1019</v>
      </c>
      <c r="E153" s="37">
        <v>44235</v>
      </c>
      <c r="F153" s="38" t="s">
        <v>282</v>
      </c>
      <c r="G153" s="40" t="s">
        <v>1020</v>
      </c>
      <c r="H153" s="71">
        <v>0</v>
      </c>
      <c r="I153" s="48">
        <v>45474</v>
      </c>
      <c r="J153" s="42">
        <v>7.8456587791442871</v>
      </c>
      <c r="K153" s="42">
        <v>7.8700141906738281</v>
      </c>
      <c r="L153" s="44">
        <v>156291024</v>
      </c>
      <c r="M153" s="44">
        <v>154023680</v>
      </c>
      <c r="N153" s="46">
        <f t="shared" si="10"/>
        <v>155157352</v>
      </c>
      <c r="O153" s="46">
        <f t="shared" si="11"/>
        <v>1603254.3176826313</v>
      </c>
      <c r="P153" s="46">
        <f t="shared" si="12"/>
        <v>1.0333086360500863</v>
      </c>
      <c r="Q153" s="66">
        <f t="shared" si="13"/>
        <v>10861014640</v>
      </c>
      <c r="R153" s="80">
        <f t="shared" si="14"/>
        <v>21722029.280000001</v>
      </c>
      <c r="S153" s="29" t="s">
        <v>1475</v>
      </c>
    </row>
    <row r="154" spans="1:19">
      <c r="A154" s="32">
        <v>15</v>
      </c>
      <c r="B154" s="32">
        <v>380</v>
      </c>
      <c r="C154" s="81">
        <v>30</v>
      </c>
      <c r="D154" s="36" t="s">
        <v>1021</v>
      </c>
      <c r="E154" s="37">
        <v>44270</v>
      </c>
      <c r="F154" s="38" t="s">
        <v>282</v>
      </c>
      <c r="G154" s="40" t="s">
        <v>1022</v>
      </c>
      <c r="H154" s="71">
        <v>0</v>
      </c>
      <c r="I154" s="48">
        <v>45474</v>
      </c>
      <c r="J154" s="42">
        <v>8.084712028503418</v>
      </c>
      <c r="K154" s="42">
        <v>8.2704429626464844</v>
      </c>
      <c r="L154" s="44">
        <v>135407168</v>
      </c>
      <c r="M154" s="44">
        <v>121127840</v>
      </c>
      <c r="N154" s="46">
        <f t="shared" si="10"/>
        <v>128267504</v>
      </c>
      <c r="O154" s="46">
        <f t="shared" si="11"/>
        <v>10097009.659586942</v>
      </c>
      <c r="P154" s="46">
        <f t="shared" si="12"/>
        <v>7.8718376398646868</v>
      </c>
      <c r="Q154" s="66">
        <f t="shared" si="13"/>
        <v>8978725280</v>
      </c>
      <c r="R154" s="80">
        <f t="shared" si="14"/>
        <v>17957450.559999999</v>
      </c>
      <c r="S154" s="29" t="s">
        <v>1475</v>
      </c>
    </row>
    <row r="155" spans="1:19">
      <c r="A155" s="32">
        <v>15</v>
      </c>
      <c r="B155" s="32">
        <v>390</v>
      </c>
      <c r="C155" s="81">
        <v>31</v>
      </c>
      <c r="D155" s="36" t="s">
        <v>1023</v>
      </c>
      <c r="E155" s="37">
        <v>44305</v>
      </c>
      <c r="F155" s="38" t="s">
        <v>282</v>
      </c>
      <c r="G155" s="40" t="s">
        <v>1024</v>
      </c>
      <c r="H155" s="71">
        <v>10</v>
      </c>
      <c r="I155" s="48">
        <v>45474</v>
      </c>
      <c r="J155" s="42">
        <v>8.6925878524780273</v>
      </c>
      <c r="K155" s="42">
        <v>8.0032262802124023</v>
      </c>
      <c r="L155" s="44">
        <v>94024632</v>
      </c>
      <c r="M155" s="44">
        <v>142192000</v>
      </c>
      <c r="N155" s="46">
        <f t="shared" si="10"/>
        <v>118108316</v>
      </c>
      <c r="O155" s="46">
        <f t="shared" si="11"/>
        <v>34059472.544707909</v>
      </c>
      <c r="P155" s="46">
        <f t="shared" si="12"/>
        <v>28.837488923902622</v>
      </c>
      <c r="Q155" s="66">
        <f t="shared" si="13"/>
        <v>8267582120</v>
      </c>
      <c r="R155" s="80">
        <f t="shared" si="14"/>
        <v>16535164.24</v>
      </c>
      <c r="S155" s="29" t="s">
        <v>1475</v>
      </c>
    </row>
    <row r="156" spans="1:19">
      <c r="A156" s="32">
        <v>15</v>
      </c>
      <c r="B156" s="32">
        <v>400</v>
      </c>
      <c r="C156" s="81">
        <v>29</v>
      </c>
      <c r="D156" s="36" t="s">
        <v>487</v>
      </c>
      <c r="E156" s="37">
        <v>44341</v>
      </c>
      <c r="F156" s="38" t="s">
        <v>282</v>
      </c>
      <c r="G156" s="40" t="s">
        <v>488</v>
      </c>
      <c r="H156" s="71">
        <v>0</v>
      </c>
      <c r="I156" s="50">
        <v>45435</v>
      </c>
      <c r="J156" s="42">
        <v>9.4886884689331055</v>
      </c>
      <c r="K156" s="42">
        <v>9.4592056274414062</v>
      </c>
      <c r="L156" s="44">
        <v>46605820</v>
      </c>
      <c r="M156" s="44">
        <v>47457948</v>
      </c>
      <c r="N156" s="46">
        <f t="shared" si="10"/>
        <v>47031884</v>
      </c>
      <c r="O156" s="46">
        <f t="shared" si="11"/>
        <v>602545.48723893042</v>
      </c>
      <c r="P156" s="46">
        <f t="shared" si="12"/>
        <v>1.2811425696638696</v>
      </c>
      <c r="Q156" s="66">
        <f t="shared" si="13"/>
        <v>3292231880</v>
      </c>
      <c r="R156" s="80">
        <f t="shared" si="14"/>
        <v>6584463.7599999998</v>
      </c>
      <c r="S156" s="29" t="s">
        <v>1475</v>
      </c>
    </row>
    <row r="157" spans="1:19">
      <c r="A157" s="32">
        <v>15</v>
      </c>
      <c r="B157" s="32">
        <v>410</v>
      </c>
      <c r="C157" s="81">
        <v>32</v>
      </c>
      <c r="D157" s="36" t="s">
        <v>1025</v>
      </c>
      <c r="E157" s="37">
        <v>44375</v>
      </c>
      <c r="F157" s="38" t="s">
        <v>282</v>
      </c>
      <c r="G157" s="40" t="s">
        <v>1026</v>
      </c>
      <c r="H157" s="71">
        <v>7</v>
      </c>
      <c r="I157" s="48">
        <v>45474</v>
      </c>
      <c r="J157" s="42">
        <v>10.756332397460938</v>
      </c>
      <c r="K157" s="42">
        <v>10.663986206054688</v>
      </c>
      <c r="L157" s="44">
        <v>27256624</v>
      </c>
      <c r="M157" s="44">
        <v>28809492</v>
      </c>
      <c r="N157" s="46">
        <f t="shared" si="10"/>
        <v>28033058</v>
      </c>
      <c r="O157" s="46">
        <f t="shared" si="11"/>
        <v>1098043.4930875916</v>
      </c>
      <c r="P157" s="46">
        <f t="shared" si="12"/>
        <v>3.9169593737778858</v>
      </c>
      <c r="Q157" s="66">
        <f t="shared" si="13"/>
        <v>1962314060</v>
      </c>
      <c r="R157" s="80">
        <f t="shared" si="14"/>
        <v>3924628.12</v>
      </c>
      <c r="S157" s="29" t="s">
        <v>1475</v>
      </c>
    </row>
    <row r="158" spans="1:19">
      <c r="A158" s="32">
        <v>15</v>
      </c>
      <c r="B158" s="32">
        <v>420</v>
      </c>
      <c r="C158" s="81">
        <v>33</v>
      </c>
      <c r="D158" s="36" t="s">
        <v>1027</v>
      </c>
      <c r="E158" s="37">
        <v>44410</v>
      </c>
      <c r="F158" s="38" t="s">
        <v>282</v>
      </c>
      <c r="G158" s="40" t="s">
        <v>1028</v>
      </c>
      <c r="H158" s="71">
        <v>5</v>
      </c>
      <c r="I158" s="48">
        <v>45474</v>
      </c>
      <c r="J158" s="42">
        <v>11.991576194763184</v>
      </c>
      <c r="K158" s="42">
        <v>12.26154899597168</v>
      </c>
      <c r="L158" s="44">
        <v>12989512</v>
      </c>
      <c r="M158" s="44">
        <v>11046977</v>
      </c>
      <c r="N158" s="46">
        <f t="shared" si="10"/>
        <v>12018244.5</v>
      </c>
      <c r="O158" s="46">
        <f t="shared" si="11"/>
        <v>1373579.6711922102</v>
      </c>
      <c r="P158" s="46">
        <f t="shared" si="12"/>
        <v>11.429120710534807</v>
      </c>
      <c r="Q158" s="66">
        <f t="shared" si="13"/>
        <v>841277115</v>
      </c>
      <c r="R158" s="80">
        <f t="shared" si="14"/>
        <v>1682554.23</v>
      </c>
      <c r="S158" s="29" t="s">
        <v>1475</v>
      </c>
    </row>
    <row r="159" spans="1:19">
      <c r="A159" s="32">
        <v>15</v>
      </c>
      <c r="B159" s="32">
        <v>430</v>
      </c>
      <c r="C159" s="81">
        <v>34</v>
      </c>
      <c r="D159" s="36" t="s">
        <v>1029</v>
      </c>
      <c r="E159" s="37">
        <v>44445</v>
      </c>
      <c r="F159" s="38" t="s">
        <v>282</v>
      </c>
      <c r="G159" s="40" t="s">
        <v>1030</v>
      </c>
      <c r="H159" s="71">
        <v>0</v>
      </c>
      <c r="I159" s="48">
        <v>45474</v>
      </c>
      <c r="J159" s="42">
        <v>8.5825271606445312</v>
      </c>
      <c r="K159" s="42">
        <v>8.6938323974609375</v>
      </c>
      <c r="L159" s="44">
        <v>100443352</v>
      </c>
      <c r="M159" s="44">
        <v>93954448</v>
      </c>
      <c r="N159" s="46">
        <f t="shared" si="10"/>
        <v>97198900</v>
      </c>
      <c r="O159" s="46">
        <f t="shared" si="11"/>
        <v>4588348.0208685128</v>
      </c>
      <c r="P159" s="46">
        <f t="shared" si="12"/>
        <v>4.7205760773717733</v>
      </c>
      <c r="Q159" s="66">
        <f t="shared" si="13"/>
        <v>6803923000</v>
      </c>
      <c r="R159" s="80">
        <f t="shared" si="14"/>
        <v>13607846</v>
      </c>
      <c r="S159" s="29" t="s">
        <v>1475</v>
      </c>
    </row>
    <row r="160" spans="1:19">
      <c r="A160" s="32">
        <v>15</v>
      </c>
      <c r="B160" s="32">
        <v>440</v>
      </c>
      <c r="C160" s="81">
        <v>35</v>
      </c>
      <c r="D160" s="36" t="s">
        <v>1031</v>
      </c>
      <c r="E160" s="37">
        <v>44480</v>
      </c>
      <c r="F160" s="38" t="s">
        <v>282</v>
      </c>
      <c r="G160" s="40" t="s">
        <v>1032</v>
      </c>
      <c r="H160" s="71">
        <v>0</v>
      </c>
      <c r="I160" s="48">
        <v>45474</v>
      </c>
      <c r="J160" s="42">
        <v>9.1546134948730469</v>
      </c>
      <c r="K160" s="42">
        <v>9.1107759475708008</v>
      </c>
      <c r="L160" s="44">
        <v>71260232</v>
      </c>
      <c r="M160" s="44">
        <v>73159440</v>
      </c>
      <c r="N160" s="46">
        <f t="shared" si="10"/>
        <v>72209836</v>
      </c>
      <c r="O160" s="46">
        <f t="shared" si="11"/>
        <v>1342942.8556837405</v>
      </c>
      <c r="P160" s="46">
        <f t="shared" si="12"/>
        <v>1.859778293477554</v>
      </c>
      <c r="Q160" s="66">
        <f t="shared" si="13"/>
        <v>5054688520</v>
      </c>
      <c r="R160" s="80">
        <f t="shared" si="14"/>
        <v>10109377.039999999</v>
      </c>
      <c r="S160" s="29" t="s">
        <v>1475</v>
      </c>
    </row>
    <row r="161" spans="1:19">
      <c r="A161" s="32">
        <v>15</v>
      </c>
      <c r="B161" s="32">
        <v>450</v>
      </c>
      <c r="C161" s="81">
        <v>30</v>
      </c>
      <c r="D161" s="36" t="s">
        <v>489</v>
      </c>
      <c r="E161" s="37">
        <v>44515</v>
      </c>
      <c r="F161" s="38" t="s">
        <v>282</v>
      </c>
      <c r="G161" s="40" t="s">
        <v>490</v>
      </c>
      <c r="H161" s="71">
        <v>0</v>
      </c>
      <c r="I161" s="50">
        <v>45435</v>
      </c>
      <c r="J161" s="42">
        <v>9.600316047668457</v>
      </c>
      <c r="K161" s="42">
        <v>9.6945896148681641</v>
      </c>
      <c r="L161" s="44">
        <v>43515840</v>
      </c>
      <c r="M161" s="44">
        <v>41066368</v>
      </c>
      <c r="N161" s="46">
        <f t="shared" si="10"/>
        <v>42291104</v>
      </c>
      <c r="O161" s="46">
        <f t="shared" si="11"/>
        <v>1732038.2615265748</v>
      </c>
      <c r="P161" s="46">
        <f t="shared" si="12"/>
        <v>4.0955144172319899</v>
      </c>
      <c r="Q161" s="66">
        <f t="shared" si="13"/>
        <v>2960377280</v>
      </c>
      <c r="R161" s="80">
        <f t="shared" si="14"/>
        <v>5920754.5599999996</v>
      </c>
      <c r="S161" s="29" t="s">
        <v>1475</v>
      </c>
    </row>
    <row r="162" spans="1:19">
      <c r="A162" s="32">
        <v>15</v>
      </c>
      <c r="B162" s="32">
        <v>460</v>
      </c>
      <c r="C162" s="81">
        <v>21</v>
      </c>
      <c r="D162" s="36" t="s">
        <v>550</v>
      </c>
      <c r="E162" s="37">
        <v>44550</v>
      </c>
      <c r="F162" s="38" t="s">
        <v>282</v>
      </c>
      <c r="G162" s="40" t="s">
        <v>551</v>
      </c>
      <c r="H162" s="71">
        <v>5</v>
      </c>
      <c r="I162" s="50">
        <v>45454</v>
      </c>
      <c r="J162" s="42">
        <v>7.679875373840332</v>
      </c>
      <c r="K162" s="42">
        <v>7.607882022857666</v>
      </c>
      <c r="L162" s="44">
        <v>252838080</v>
      </c>
      <c r="M162" s="44">
        <v>264066080</v>
      </c>
      <c r="N162" s="46">
        <f t="shared" si="10"/>
        <v>258452080</v>
      </c>
      <c r="O162" s="46">
        <f t="shared" si="11"/>
        <v>7939394.9391625552</v>
      </c>
      <c r="P162" s="46">
        <f t="shared" si="12"/>
        <v>3.0719021255942511</v>
      </c>
      <c r="Q162" s="66">
        <f t="shared" si="13"/>
        <v>18091645600</v>
      </c>
      <c r="R162" s="80">
        <f t="shared" si="14"/>
        <v>36183291.200000003</v>
      </c>
      <c r="S162" s="29" t="s">
        <v>1475</v>
      </c>
    </row>
    <row r="163" spans="1:19">
      <c r="A163" s="32">
        <v>15</v>
      </c>
      <c r="B163" s="32">
        <v>470</v>
      </c>
      <c r="C163" s="81">
        <v>22</v>
      </c>
      <c r="D163" s="36" t="s">
        <v>552</v>
      </c>
      <c r="E163" s="37">
        <v>44585</v>
      </c>
      <c r="F163" s="38" t="s">
        <v>282</v>
      </c>
      <c r="G163" s="40" t="s">
        <v>553</v>
      </c>
      <c r="H163" s="71">
        <v>0</v>
      </c>
      <c r="I163" s="50">
        <v>45454</v>
      </c>
      <c r="J163" s="42">
        <v>8.292633056640625</v>
      </c>
      <c r="K163" s="42">
        <v>8.4398536682128906</v>
      </c>
      <c r="L163" s="44">
        <v>174675856</v>
      </c>
      <c r="M163" s="44">
        <v>159825104</v>
      </c>
      <c r="N163" s="46">
        <f t="shared" si="10"/>
        <v>167250480</v>
      </c>
      <c r="O163" s="46">
        <f t="shared" si="11"/>
        <v>10501067.444919683</v>
      </c>
      <c r="P163" s="46">
        <f t="shared" si="12"/>
        <v>6.2786471195297509</v>
      </c>
      <c r="Q163" s="66">
        <f t="shared" si="13"/>
        <v>11707533600</v>
      </c>
      <c r="R163" s="80">
        <f t="shared" si="14"/>
        <v>23415067.199999999</v>
      </c>
      <c r="S163" s="29" t="s">
        <v>1475</v>
      </c>
    </row>
    <row r="164" spans="1:19">
      <c r="A164" s="32">
        <v>15</v>
      </c>
      <c r="B164" s="32">
        <v>480</v>
      </c>
      <c r="C164" s="81">
        <v>23</v>
      </c>
      <c r="D164" s="36" t="s">
        <v>554</v>
      </c>
      <c r="E164" s="37">
        <v>44620</v>
      </c>
      <c r="F164" s="38" t="s">
        <v>282</v>
      </c>
      <c r="G164" s="40" t="s">
        <v>555</v>
      </c>
      <c r="H164" s="71">
        <v>0</v>
      </c>
      <c r="I164" s="50">
        <v>45454</v>
      </c>
      <c r="J164" s="42">
        <v>8.4285430908203125</v>
      </c>
      <c r="K164" s="42">
        <v>8.1879892349243164</v>
      </c>
      <c r="L164" s="44">
        <v>160919840</v>
      </c>
      <c r="M164" s="44">
        <v>186063440</v>
      </c>
      <c r="N164" s="46">
        <f t="shared" si="10"/>
        <v>173491640</v>
      </c>
      <c r="O164" s="46">
        <f t="shared" si="11"/>
        <v>17779210.063442077</v>
      </c>
      <c r="P164" s="46">
        <f t="shared" si="12"/>
        <v>10.247877110068288</v>
      </c>
      <c r="Q164" s="66">
        <f t="shared" si="13"/>
        <v>12144414800</v>
      </c>
      <c r="R164" s="80">
        <f t="shared" si="14"/>
        <v>24288829.600000001</v>
      </c>
      <c r="S164" s="29" t="s">
        <v>1475</v>
      </c>
    </row>
    <row r="165" spans="1:19">
      <c r="A165" s="32">
        <v>15</v>
      </c>
      <c r="B165" s="32">
        <v>490</v>
      </c>
      <c r="C165" s="81">
        <v>24</v>
      </c>
      <c r="D165" s="36" t="s">
        <v>556</v>
      </c>
      <c r="E165" s="37">
        <v>44655</v>
      </c>
      <c r="F165" s="38" t="s">
        <v>282</v>
      </c>
      <c r="G165" s="40" t="s">
        <v>557</v>
      </c>
      <c r="H165" s="71">
        <v>0</v>
      </c>
      <c r="I165" s="50">
        <v>45454</v>
      </c>
      <c r="J165" s="42">
        <v>9.2638988494873047</v>
      </c>
      <c r="K165" s="42">
        <v>8.2967977523803711</v>
      </c>
      <c r="L165" s="44">
        <v>97197464</v>
      </c>
      <c r="M165" s="44">
        <v>174237360</v>
      </c>
      <c r="N165" s="46">
        <f t="shared" si="10"/>
        <v>135717412</v>
      </c>
      <c r="O165" s="46">
        <f t="shared" si="11"/>
        <v>54475432.88350638</v>
      </c>
      <c r="P165" s="46">
        <f t="shared" si="12"/>
        <v>40.138868020491273</v>
      </c>
      <c r="Q165" s="66">
        <f t="shared" si="13"/>
        <v>9500218840</v>
      </c>
      <c r="R165" s="80">
        <f t="shared" si="14"/>
        <v>19000437.68</v>
      </c>
      <c r="S165" s="29" t="s">
        <v>1475</v>
      </c>
    </row>
    <row r="166" spans="1:19">
      <c r="A166" s="32">
        <v>15</v>
      </c>
      <c r="B166" s="32">
        <v>500</v>
      </c>
      <c r="C166" s="81">
        <v>25</v>
      </c>
      <c r="D166" s="36" t="s">
        <v>558</v>
      </c>
      <c r="E166" s="37">
        <v>44697</v>
      </c>
      <c r="F166" s="38" t="s">
        <v>282</v>
      </c>
      <c r="G166" s="40" t="s">
        <v>559</v>
      </c>
      <c r="H166" s="71">
        <v>0</v>
      </c>
      <c r="I166" s="50">
        <v>45454</v>
      </c>
      <c r="J166" s="42">
        <v>8.6568536758422852</v>
      </c>
      <c r="K166" s="42">
        <v>8.5578670501708984</v>
      </c>
      <c r="L166" s="44">
        <v>140206208</v>
      </c>
      <c r="M166" s="44">
        <v>148837568</v>
      </c>
      <c r="N166" s="46">
        <f t="shared" si="10"/>
        <v>144521888</v>
      </c>
      <c r="O166" s="46">
        <f t="shared" si="11"/>
        <v>6103293.1868623188</v>
      </c>
      <c r="P166" s="46">
        <f t="shared" si="12"/>
        <v>4.2230926203111316</v>
      </c>
      <c r="Q166" s="66">
        <f t="shared" si="13"/>
        <v>10116532160</v>
      </c>
      <c r="R166" s="80">
        <f t="shared" si="14"/>
        <v>20233064.32</v>
      </c>
      <c r="S166" s="29" t="s">
        <v>1475</v>
      </c>
    </row>
    <row r="167" spans="1:19">
      <c r="A167" s="32">
        <v>15</v>
      </c>
      <c r="B167" s="32">
        <v>510</v>
      </c>
      <c r="C167" s="81">
        <v>26</v>
      </c>
      <c r="D167" s="36" t="s">
        <v>560</v>
      </c>
      <c r="E167" s="37">
        <v>44732</v>
      </c>
      <c r="F167" s="38" t="s">
        <v>282</v>
      </c>
      <c r="G167" s="40" t="s">
        <v>561</v>
      </c>
      <c r="H167" s="71">
        <v>0</v>
      </c>
      <c r="I167" s="50">
        <v>45454</v>
      </c>
      <c r="J167" s="42">
        <v>8.3310098648071289</v>
      </c>
      <c r="K167" s="42">
        <v>8.6072120666503906</v>
      </c>
      <c r="L167" s="44">
        <v>170676592</v>
      </c>
      <c r="M167" s="44">
        <v>144470368</v>
      </c>
      <c r="N167" s="46">
        <f t="shared" si="10"/>
        <v>157573480</v>
      </c>
      <c r="O167" s="46">
        <f t="shared" si="11"/>
        <v>18530598.69969365</v>
      </c>
      <c r="P167" s="46">
        <f t="shared" si="12"/>
        <v>11.759972997799917</v>
      </c>
      <c r="Q167" s="66">
        <f t="shared" si="13"/>
        <v>11030143600</v>
      </c>
      <c r="R167" s="80">
        <f t="shared" si="14"/>
        <v>22060287.199999999</v>
      </c>
      <c r="S167" s="29" t="s">
        <v>1475</v>
      </c>
    </row>
    <row r="168" spans="1:19">
      <c r="A168" s="32">
        <v>15</v>
      </c>
      <c r="B168" s="32">
        <v>520</v>
      </c>
      <c r="C168" s="81">
        <v>27</v>
      </c>
      <c r="D168" s="36" t="s">
        <v>562</v>
      </c>
      <c r="E168" s="37">
        <v>44771</v>
      </c>
      <c r="F168" s="38" t="s">
        <v>282</v>
      </c>
      <c r="G168" s="40" t="s">
        <v>563</v>
      </c>
      <c r="H168" s="71">
        <v>10</v>
      </c>
      <c r="I168" s="50">
        <v>45454</v>
      </c>
      <c r="J168" s="42">
        <v>10.757954597473145</v>
      </c>
      <c r="K168" s="42">
        <v>10.972683906555176</v>
      </c>
      <c r="L168" s="44">
        <v>39450164</v>
      </c>
      <c r="M168" s="44">
        <v>34655024</v>
      </c>
      <c r="N168" s="46">
        <f t="shared" si="10"/>
        <v>37052594</v>
      </c>
      <c r="O168" s="46">
        <f t="shared" si="11"/>
        <v>3390676.0107388613</v>
      </c>
      <c r="P168" s="46">
        <f t="shared" si="12"/>
        <v>9.1509814690406337</v>
      </c>
      <c r="Q168" s="66">
        <f t="shared" si="13"/>
        <v>2593681580</v>
      </c>
      <c r="R168" s="80">
        <f t="shared" si="14"/>
        <v>5187363.16</v>
      </c>
      <c r="S168" s="29" t="s">
        <v>1475</v>
      </c>
    </row>
    <row r="169" spans="1:19">
      <c r="A169" s="32">
        <v>15</v>
      </c>
      <c r="B169" s="32">
        <v>530</v>
      </c>
      <c r="C169" s="81">
        <v>28</v>
      </c>
      <c r="D169" s="36" t="s">
        <v>564</v>
      </c>
      <c r="E169" s="37">
        <v>44802</v>
      </c>
      <c r="F169" s="38" t="s">
        <v>282</v>
      </c>
      <c r="G169" s="40" t="s">
        <v>565</v>
      </c>
      <c r="H169" s="71">
        <v>5</v>
      </c>
      <c r="I169" s="50">
        <v>45454</v>
      </c>
      <c r="J169" s="42">
        <v>10.542111396789551</v>
      </c>
      <c r="K169" s="42">
        <v>10.597687721252441</v>
      </c>
      <c r="L169" s="44">
        <v>44938996</v>
      </c>
      <c r="M169" s="44">
        <v>43456652</v>
      </c>
      <c r="N169" s="46">
        <f t="shared" si="10"/>
        <v>44197824</v>
      </c>
      <c r="O169" s="46">
        <f t="shared" si="11"/>
        <v>1048175.4944511916</v>
      </c>
      <c r="P169" s="46">
        <f t="shared" si="12"/>
        <v>2.3715545237050395</v>
      </c>
      <c r="Q169" s="66">
        <f t="shared" si="13"/>
        <v>3093847680</v>
      </c>
      <c r="R169" s="80">
        <f t="shared" si="14"/>
        <v>6187695.3600000003</v>
      </c>
      <c r="S169" s="29" t="s">
        <v>1475</v>
      </c>
    </row>
    <row r="170" spans="1:19">
      <c r="A170" s="32">
        <v>15</v>
      </c>
      <c r="B170" s="32">
        <v>540</v>
      </c>
      <c r="C170" s="81">
        <v>29</v>
      </c>
      <c r="D170" s="36" t="s">
        <v>566</v>
      </c>
      <c r="E170" s="37">
        <v>44837</v>
      </c>
      <c r="F170" s="38" t="s">
        <v>282</v>
      </c>
      <c r="G170" s="40" t="s">
        <v>567</v>
      </c>
      <c r="H170" s="71">
        <v>5</v>
      </c>
      <c r="I170" s="50">
        <v>45454</v>
      </c>
      <c r="J170" s="42">
        <v>10.514707565307617</v>
      </c>
      <c r="K170" s="42">
        <v>10.686185836791992</v>
      </c>
      <c r="L170" s="44">
        <v>45688420</v>
      </c>
      <c r="M170" s="44">
        <v>41196476</v>
      </c>
      <c r="N170" s="46">
        <f t="shared" si="10"/>
        <v>43442448</v>
      </c>
      <c r="O170" s="46">
        <f t="shared" si="11"/>
        <v>3176284.0631102249</v>
      </c>
      <c r="P170" s="46">
        <f t="shared" si="12"/>
        <v>7.3114757785063702</v>
      </c>
      <c r="Q170" s="66">
        <f t="shared" si="13"/>
        <v>3040971360</v>
      </c>
      <c r="R170" s="80">
        <f t="shared" si="14"/>
        <v>6081942.7199999997</v>
      </c>
      <c r="S170" s="29" t="s">
        <v>1475</v>
      </c>
    </row>
    <row r="171" spans="1:19">
      <c r="A171" s="32">
        <v>15</v>
      </c>
      <c r="B171" s="32">
        <v>550</v>
      </c>
      <c r="C171" s="81">
        <v>30</v>
      </c>
      <c r="D171" s="36" t="s">
        <v>568</v>
      </c>
      <c r="E171" s="37" t="s">
        <v>528</v>
      </c>
      <c r="F171" s="38" t="s">
        <v>282</v>
      </c>
      <c r="G171" s="40" t="s">
        <v>569</v>
      </c>
      <c r="H171" s="71">
        <v>5</v>
      </c>
      <c r="I171" s="50">
        <v>45454</v>
      </c>
      <c r="J171" s="42">
        <v>10.68807315826416</v>
      </c>
      <c r="K171" s="42">
        <v>10.387893676757812</v>
      </c>
      <c r="L171" s="44">
        <v>41149580</v>
      </c>
      <c r="M171" s="44">
        <v>49322520</v>
      </c>
      <c r="N171" s="46">
        <f t="shared" si="10"/>
        <v>45236050</v>
      </c>
      <c r="O171" s="46">
        <f t="shared" si="11"/>
        <v>5779141.2962307818</v>
      </c>
      <c r="P171" s="46">
        <f t="shared" si="12"/>
        <v>12.775521506035082</v>
      </c>
      <c r="Q171" s="66">
        <f t="shared" si="13"/>
        <v>3166523500</v>
      </c>
      <c r="R171" s="80">
        <f t="shared" si="14"/>
        <v>6333047</v>
      </c>
      <c r="S171" s="29" t="s">
        <v>1475</v>
      </c>
    </row>
    <row r="172" spans="1:19">
      <c r="A172" s="32">
        <v>15</v>
      </c>
      <c r="B172" s="32">
        <v>560</v>
      </c>
      <c r="C172" s="81">
        <v>5</v>
      </c>
      <c r="D172" s="36" t="s">
        <v>570</v>
      </c>
      <c r="E172" s="37">
        <v>44550</v>
      </c>
      <c r="F172" s="38" t="s">
        <v>282</v>
      </c>
      <c r="G172" s="40" t="s">
        <v>569</v>
      </c>
      <c r="H172" s="71">
        <v>5</v>
      </c>
      <c r="I172" s="50">
        <v>45454</v>
      </c>
      <c r="J172" s="42">
        <v>11.078222274780273</v>
      </c>
      <c r="K172" s="42">
        <v>10.708642959594727</v>
      </c>
      <c r="L172" s="44">
        <v>56519944</v>
      </c>
      <c r="M172" s="44">
        <v>75065432</v>
      </c>
      <c r="N172" s="46">
        <f t="shared" si="10"/>
        <v>65792688</v>
      </c>
      <c r="O172" s="46">
        <f t="shared" si="11"/>
        <v>13113640.325213743</v>
      </c>
      <c r="P172" s="46">
        <f t="shared" si="12"/>
        <v>19.931759476393093</v>
      </c>
      <c r="Q172" s="66">
        <f t="shared" si="13"/>
        <v>4605488160</v>
      </c>
      <c r="R172" s="80">
        <f t="shared" si="14"/>
        <v>9210976.3200000003</v>
      </c>
      <c r="S172" s="29" t="s">
        <v>1475</v>
      </c>
    </row>
    <row r="173" spans="1:19">
      <c r="A173" s="32">
        <v>15</v>
      </c>
      <c r="B173" s="32">
        <v>570</v>
      </c>
      <c r="C173" s="81">
        <v>6</v>
      </c>
      <c r="D173" s="36" t="s">
        <v>573</v>
      </c>
      <c r="E173" s="37">
        <v>44585</v>
      </c>
      <c r="F173" s="38" t="s">
        <v>282</v>
      </c>
      <c r="G173" s="40" t="s">
        <v>574</v>
      </c>
      <c r="H173" s="71">
        <v>0</v>
      </c>
      <c r="I173" s="50">
        <v>45454</v>
      </c>
      <c r="J173" s="42">
        <v>9.1792888641357422</v>
      </c>
      <c r="K173" s="42">
        <v>9.3943471908569336</v>
      </c>
      <c r="L173" s="44">
        <v>242891152</v>
      </c>
      <c r="M173" s="44">
        <v>205920368</v>
      </c>
      <c r="N173" s="46">
        <f t="shared" si="10"/>
        <v>224405760</v>
      </c>
      <c r="O173" s="46">
        <f t="shared" si="11"/>
        <v>26142292.072183114</v>
      </c>
      <c r="P173" s="46">
        <f t="shared" si="12"/>
        <v>11.649563751029881</v>
      </c>
      <c r="Q173" s="66">
        <f t="shared" si="13"/>
        <v>15708403200</v>
      </c>
      <c r="R173" s="80">
        <f t="shared" si="14"/>
        <v>31416806.399999999</v>
      </c>
      <c r="S173" s="29" t="s">
        <v>1475</v>
      </c>
    </row>
    <row r="174" spans="1:19">
      <c r="A174" s="32">
        <v>16</v>
      </c>
      <c r="B174" s="32">
        <v>10</v>
      </c>
      <c r="C174" s="81">
        <v>31</v>
      </c>
      <c r="D174" s="36" t="s">
        <v>491</v>
      </c>
      <c r="E174" s="37">
        <v>42779</v>
      </c>
      <c r="F174" s="38" t="s">
        <v>282</v>
      </c>
      <c r="G174" s="40" t="s">
        <v>492</v>
      </c>
      <c r="H174" s="71">
        <v>10</v>
      </c>
      <c r="I174" s="50">
        <v>45435</v>
      </c>
      <c r="J174" s="42">
        <v>10.234784126281738</v>
      </c>
      <c r="K174" s="42">
        <v>10.215636253356934</v>
      </c>
      <c r="L174" s="44">
        <v>29465334</v>
      </c>
      <c r="M174" s="44">
        <v>29814110</v>
      </c>
      <c r="N174" s="46">
        <f t="shared" si="10"/>
        <v>29639722</v>
      </c>
      <c r="O174" s="46">
        <f t="shared" si="11"/>
        <v>246621.87471511931</v>
      </c>
      <c r="P174" s="46">
        <f t="shared" si="12"/>
        <v>0.8320654111233543</v>
      </c>
      <c r="Q174" s="66">
        <f t="shared" si="13"/>
        <v>2074780540</v>
      </c>
      <c r="R174" s="80">
        <f t="shared" si="14"/>
        <v>4149561.08</v>
      </c>
    </row>
    <row r="175" spans="1:19">
      <c r="A175" s="32">
        <v>16</v>
      </c>
      <c r="B175" s="32">
        <v>20</v>
      </c>
      <c r="C175" s="81">
        <v>1</v>
      </c>
      <c r="D175" s="36" t="s">
        <v>1033</v>
      </c>
      <c r="E175" s="37">
        <v>42814</v>
      </c>
      <c r="F175" s="38" t="s">
        <v>282</v>
      </c>
      <c r="G175" s="40" t="s">
        <v>1034</v>
      </c>
      <c r="H175" s="71">
        <v>15</v>
      </c>
      <c r="I175" s="48">
        <v>45474</v>
      </c>
      <c r="J175" s="42">
        <v>9.7818307876586914</v>
      </c>
      <c r="K175" s="42">
        <v>8.9279155731201172</v>
      </c>
      <c r="L175" s="44">
        <v>40607032</v>
      </c>
      <c r="M175" s="44">
        <v>67886416</v>
      </c>
      <c r="N175" s="46">
        <f t="shared" si="10"/>
        <v>54246724</v>
      </c>
      <c r="O175" s="46">
        <f t="shared" si="11"/>
        <v>19289437.412991807</v>
      </c>
      <c r="P175" s="46">
        <f t="shared" si="12"/>
        <v>35.558713947393038</v>
      </c>
      <c r="Q175" s="66">
        <f t="shared" si="13"/>
        <v>3797270680</v>
      </c>
      <c r="R175" s="80">
        <f t="shared" si="14"/>
        <v>7594541.3600000003</v>
      </c>
    </row>
    <row r="176" spans="1:19">
      <c r="A176" s="32">
        <v>16</v>
      </c>
      <c r="B176" s="32">
        <v>30</v>
      </c>
      <c r="C176" s="81">
        <v>2</v>
      </c>
      <c r="D176" s="36" t="s">
        <v>1035</v>
      </c>
      <c r="E176" s="37">
        <v>42849</v>
      </c>
      <c r="F176" s="38" t="s">
        <v>282</v>
      </c>
      <c r="G176" s="40" t="s">
        <v>1036</v>
      </c>
      <c r="H176" s="71">
        <v>0</v>
      </c>
      <c r="I176" s="48">
        <v>45474</v>
      </c>
      <c r="J176" s="42">
        <v>9.8492355346679688</v>
      </c>
      <c r="K176" s="42">
        <v>9.8505325317382812</v>
      </c>
      <c r="L176" s="44">
        <v>38992776</v>
      </c>
      <c r="M176" s="44">
        <v>38962352</v>
      </c>
      <c r="N176" s="46">
        <f t="shared" si="10"/>
        <v>38977564</v>
      </c>
      <c r="O176" s="46">
        <f t="shared" si="11"/>
        <v>21513.01671081952</v>
      </c>
      <c r="P176" s="46">
        <f t="shared" si="12"/>
        <v>5.5193333043644079E-2</v>
      </c>
      <c r="Q176" s="66">
        <f t="shared" si="13"/>
        <v>2728429480</v>
      </c>
      <c r="R176" s="80">
        <f t="shared" si="14"/>
        <v>5456858.96</v>
      </c>
    </row>
    <row r="177" spans="1:18">
      <c r="A177" s="32">
        <v>16</v>
      </c>
      <c r="B177" s="32">
        <v>40</v>
      </c>
      <c r="C177" s="81">
        <v>3</v>
      </c>
      <c r="D177" s="36" t="s">
        <v>1037</v>
      </c>
      <c r="E177" s="37">
        <v>42884</v>
      </c>
      <c r="F177" s="38" t="s">
        <v>282</v>
      </c>
      <c r="G177" s="40" t="s">
        <v>1038</v>
      </c>
      <c r="H177" s="71">
        <v>0</v>
      </c>
      <c r="I177" s="48">
        <v>45474</v>
      </c>
      <c r="J177" s="42">
        <v>9.9191484451293945</v>
      </c>
      <c r="K177" s="42">
        <v>9.8660154342651367</v>
      </c>
      <c r="L177" s="44">
        <v>37386216</v>
      </c>
      <c r="M177" s="44">
        <v>38600996</v>
      </c>
      <c r="N177" s="46">
        <f t="shared" si="10"/>
        <v>37993606</v>
      </c>
      <c r="O177" s="46">
        <f t="shared" si="11"/>
        <v>858979.17564979417</v>
      </c>
      <c r="P177" s="46">
        <f t="shared" si="12"/>
        <v>2.2608519329536505</v>
      </c>
      <c r="Q177" s="66">
        <f t="shared" si="13"/>
        <v>2659552420</v>
      </c>
      <c r="R177" s="80">
        <f t="shared" si="14"/>
        <v>5319104.84</v>
      </c>
    </row>
    <row r="178" spans="1:18">
      <c r="A178" s="32">
        <v>16</v>
      </c>
      <c r="B178" s="32">
        <v>50</v>
      </c>
      <c r="C178" s="81">
        <v>32</v>
      </c>
      <c r="D178" s="36" t="s">
        <v>493</v>
      </c>
      <c r="E178" s="37">
        <v>42940</v>
      </c>
      <c r="F178" s="38" t="s">
        <v>282</v>
      </c>
      <c r="G178" s="40" t="s">
        <v>494</v>
      </c>
      <c r="H178" s="71">
        <v>0</v>
      </c>
      <c r="I178" s="50">
        <v>45435</v>
      </c>
      <c r="J178" s="42">
        <v>10.126899719238281</v>
      </c>
      <c r="K178" s="42">
        <v>10.323975563049316</v>
      </c>
      <c r="L178" s="44">
        <v>31485104</v>
      </c>
      <c r="M178" s="44">
        <v>27893736</v>
      </c>
      <c r="N178" s="46">
        <f t="shared" si="10"/>
        <v>29689420</v>
      </c>
      <c r="O178" s="46">
        <f t="shared" si="11"/>
        <v>2539480.6665363689</v>
      </c>
      <c r="P178" s="46">
        <f t="shared" si="12"/>
        <v>8.5534869543977923</v>
      </c>
      <c r="Q178" s="66">
        <f t="shared" si="13"/>
        <v>2078259400</v>
      </c>
      <c r="R178" s="80">
        <f t="shared" si="14"/>
        <v>4156518.8</v>
      </c>
    </row>
    <row r="179" spans="1:18">
      <c r="A179" s="32">
        <v>16</v>
      </c>
      <c r="B179" s="32">
        <v>60</v>
      </c>
      <c r="C179" s="81">
        <v>4</v>
      </c>
      <c r="D179" s="36" t="s">
        <v>1039</v>
      </c>
      <c r="E179" s="37">
        <v>42975</v>
      </c>
      <c r="F179" s="38" t="s">
        <v>282</v>
      </c>
      <c r="G179" s="40" t="s">
        <v>1040</v>
      </c>
      <c r="H179" s="71">
        <v>0</v>
      </c>
      <c r="I179" s="48">
        <v>45474</v>
      </c>
      <c r="J179" s="42">
        <v>9.9859428405761719</v>
      </c>
      <c r="K179" s="42">
        <v>9.9547882080078125</v>
      </c>
      <c r="L179" s="44">
        <v>35913188</v>
      </c>
      <c r="M179" s="44">
        <v>36592884</v>
      </c>
      <c r="N179" s="46">
        <f t="shared" si="10"/>
        <v>36253036</v>
      </c>
      <c r="O179" s="46">
        <f t="shared" si="11"/>
        <v>480617.65074537159</v>
      </c>
      <c r="P179" s="46">
        <f t="shared" si="12"/>
        <v>1.3257307629225084</v>
      </c>
      <c r="Q179" s="66">
        <f t="shared" si="13"/>
        <v>2537712520</v>
      </c>
      <c r="R179" s="80">
        <f t="shared" si="14"/>
        <v>5075425.04</v>
      </c>
    </row>
    <row r="180" spans="1:18">
      <c r="A180" s="32">
        <v>16</v>
      </c>
      <c r="B180" s="32">
        <v>70</v>
      </c>
      <c r="C180" s="81">
        <v>5</v>
      </c>
      <c r="D180" s="36" t="s">
        <v>1041</v>
      </c>
      <c r="E180" s="37">
        <v>43010</v>
      </c>
      <c r="F180" s="38" t="s">
        <v>282</v>
      </c>
      <c r="G180" s="40" t="s">
        <v>1042</v>
      </c>
      <c r="H180" s="71">
        <v>5</v>
      </c>
      <c r="I180" s="48">
        <v>45474</v>
      </c>
      <c r="J180" s="42">
        <v>8.7397480010986328</v>
      </c>
      <c r="K180" s="42">
        <v>8.4884328842163086</v>
      </c>
      <c r="L180" s="44">
        <v>76026128</v>
      </c>
      <c r="M180" s="44">
        <v>88439704</v>
      </c>
      <c r="N180" s="46">
        <f t="shared" si="10"/>
        <v>82232916</v>
      </c>
      <c r="O180" s="46">
        <f t="shared" si="11"/>
        <v>8777723.7683745772</v>
      </c>
      <c r="P180" s="46">
        <f t="shared" si="12"/>
        <v>10.674221705058564</v>
      </c>
      <c r="Q180" s="66">
        <f t="shared" si="13"/>
        <v>5756304120</v>
      </c>
      <c r="R180" s="80">
        <f t="shared" si="14"/>
        <v>11512608.24</v>
      </c>
    </row>
    <row r="181" spans="1:18">
      <c r="A181" s="32">
        <v>16</v>
      </c>
      <c r="B181" s="32">
        <v>80</v>
      </c>
      <c r="C181" s="81">
        <v>6</v>
      </c>
      <c r="D181" s="36" t="s">
        <v>1043</v>
      </c>
      <c r="E181" s="37">
        <v>43045</v>
      </c>
      <c r="F181" s="38" t="s">
        <v>282</v>
      </c>
      <c r="G181" s="40" t="s">
        <v>1044</v>
      </c>
      <c r="H181" s="71">
        <v>0</v>
      </c>
      <c r="I181" s="48">
        <v>45474</v>
      </c>
      <c r="J181" s="42">
        <v>9.4907512664794922</v>
      </c>
      <c r="K181" s="42">
        <v>9.3738260269165039</v>
      </c>
      <c r="L181" s="44">
        <v>48381416</v>
      </c>
      <c r="M181" s="44">
        <v>51908500</v>
      </c>
      <c r="N181" s="46">
        <f t="shared" si="10"/>
        <v>50144958</v>
      </c>
      <c r="O181" s="46">
        <f t="shared" si="11"/>
        <v>2494025.014214573</v>
      </c>
      <c r="P181" s="46">
        <f t="shared" si="12"/>
        <v>4.9736306773147021</v>
      </c>
      <c r="Q181" s="66">
        <f t="shared" si="13"/>
        <v>3510147060</v>
      </c>
      <c r="R181" s="80">
        <f t="shared" si="14"/>
        <v>7020294.1200000001</v>
      </c>
    </row>
    <row r="182" spans="1:18">
      <c r="A182" s="32">
        <v>16</v>
      </c>
      <c r="B182" s="32">
        <v>90</v>
      </c>
      <c r="C182" s="81">
        <v>7</v>
      </c>
      <c r="D182" s="36" t="s">
        <v>1045</v>
      </c>
      <c r="E182" s="37">
        <v>43080</v>
      </c>
      <c r="F182" s="38" t="s">
        <v>282</v>
      </c>
      <c r="G182" s="40" t="s">
        <v>1046</v>
      </c>
      <c r="H182" s="71">
        <v>0</v>
      </c>
      <c r="I182" s="48">
        <v>45474</v>
      </c>
      <c r="J182" s="42">
        <v>9.3949317932128906</v>
      </c>
      <c r="K182" s="42">
        <v>9.1911220550537109</v>
      </c>
      <c r="L182" s="44">
        <v>51253348</v>
      </c>
      <c r="M182" s="44">
        <v>57941600</v>
      </c>
      <c r="N182" s="46">
        <f t="shared" si="10"/>
        <v>54597474</v>
      </c>
      <c r="O182" s="46">
        <f t="shared" si="11"/>
        <v>4729308.3434844892</v>
      </c>
      <c r="P182" s="46">
        <f t="shared" si="12"/>
        <v>8.6621376356797928</v>
      </c>
      <c r="Q182" s="66">
        <f t="shared" si="13"/>
        <v>3821823180</v>
      </c>
      <c r="R182" s="80">
        <f t="shared" si="14"/>
        <v>7643646.3600000003</v>
      </c>
    </row>
    <row r="183" spans="1:18">
      <c r="A183" s="32">
        <v>16</v>
      </c>
      <c r="B183" s="32">
        <v>100</v>
      </c>
      <c r="C183" s="81">
        <v>33</v>
      </c>
      <c r="D183" s="36" t="s">
        <v>495</v>
      </c>
      <c r="E183" s="37">
        <v>43136</v>
      </c>
      <c r="F183" s="38" t="s">
        <v>282</v>
      </c>
      <c r="G183" s="40" t="s">
        <v>476</v>
      </c>
      <c r="H183" s="71">
        <v>0</v>
      </c>
      <c r="I183" s="50">
        <v>45435</v>
      </c>
      <c r="J183" s="42">
        <v>9.5789146423339844</v>
      </c>
      <c r="K183" s="42">
        <v>9.9734458923339844</v>
      </c>
      <c r="L183" s="44">
        <v>44091948</v>
      </c>
      <c r="M183" s="44">
        <v>34598804</v>
      </c>
      <c r="N183" s="46">
        <f t="shared" si="10"/>
        <v>39345376</v>
      </c>
      <c r="O183" s="46">
        <f t="shared" si="11"/>
        <v>6712666.4971803864</v>
      </c>
      <c r="P183" s="46">
        <f t="shared" si="12"/>
        <v>17.060877743754151</v>
      </c>
      <c r="Q183" s="66">
        <f t="shared" si="13"/>
        <v>2754176320</v>
      </c>
      <c r="R183" s="80">
        <f t="shared" si="14"/>
        <v>5508352.6399999997</v>
      </c>
    </row>
    <row r="184" spans="1:18">
      <c r="A184" s="32">
        <v>16</v>
      </c>
      <c r="B184" s="32">
        <v>110</v>
      </c>
      <c r="C184" s="81">
        <v>8</v>
      </c>
      <c r="D184" s="36" t="s">
        <v>1047</v>
      </c>
      <c r="E184" s="37">
        <v>43171</v>
      </c>
      <c r="F184" s="38" t="s">
        <v>282</v>
      </c>
      <c r="G184" s="40" t="s">
        <v>1048</v>
      </c>
      <c r="H184" s="71">
        <v>0</v>
      </c>
      <c r="I184" s="48">
        <v>45474</v>
      </c>
      <c r="J184" s="42">
        <v>9.0295639038085938</v>
      </c>
      <c r="K184" s="42">
        <v>8.9832172393798828</v>
      </c>
      <c r="L184" s="44">
        <v>63858068</v>
      </c>
      <c r="M184" s="44">
        <v>65664264</v>
      </c>
      <c r="N184" s="46">
        <f t="shared" si="10"/>
        <v>64761166</v>
      </c>
      <c r="O184" s="46">
        <f t="shared" si="11"/>
        <v>1277173.4397520174</v>
      </c>
      <c r="P184" s="46">
        <f t="shared" si="12"/>
        <v>1.9721285434422497</v>
      </c>
      <c r="Q184" s="66">
        <f t="shared" si="13"/>
        <v>4533281620</v>
      </c>
      <c r="R184" s="80">
        <f t="shared" si="14"/>
        <v>9066563.2400000002</v>
      </c>
    </row>
    <row r="185" spans="1:18">
      <c r="A185" s="32">
        <v>16</v>
      </c>
      <c r="B185" s="32">
        <v>120</v>
      </c>
      <c r="C185" s="81">
        <v>9</v>
      </c>
      <c r="D185" s="36" t="s">
        <v>1049</v>
      </c>
      <c r="E185" s="37">
        <v>43206</v>
      </c>
      <c r="F185" s="38" t="s">
        <v>282</v>
      </c>
      <c r="G185" s="40" t="s">
        <v>1050</v>
      </c>
      <c r="H185" s="71">
        <v>0</v>
      </c>
      <c r="I185" s="48">
        <v>45474</v>
      </c>
      <c r="J185" s="42">
        <v>9.1814603805541992</v>
      </c>
      <c r="K185" s="42">
        <v>9.238734245300293</v>
      </c>
      <c r="L185" s="44">
        <v>58279484</v>
      </c>
      <c r="M185" s="44">
        <v>56304932</v>
      </c>
      <c r="N185" s="46">
        <f t="shared" si="10"/>
        <v>57292208</v>
      </c>
      <c r="O185" s="46">
        <f t="shared" si="11"/>
        <v>1396219.1090054598</v>
      </c>
      <c r="P185" s="46">
        <f t="shared" si="12"/>
        <v>2.4370139635837735</v>
      </c>
      <c r="Q185" s="66">
        <f t="shared" si="13"/>
        <v>4010454560</v>
      </c>
      <c r="R185" s="80">
        <f t="shared" si="14"/>
        <v>8020909.1200000001</v>
      </c>
    </row>
    <row r="186" spans="1:18">
      <c r="A186" s="32">
        <v>16</v>
      </c>
      <c r="B186" s="32">
        <v>130</v>
      </c>
      <c r="C186" s="81">
        <v>10</v>
      </c>
      <c r="D186" s="36" t="s">
        <v>1051</v>
      </c>
      <c r="E186" s="37">
        <v>43242</v>
      </c>
      <c r="F186" s="38" t="s">
        <v>282</v>
      </c>
      <c r="G186" s="40" t="s">
        <v>1052</v>
      </c>
      <c r="H186" s="71">
        <v>5</v>
      </c>
      <c r="I186" s="48">
        <v>45474</v>
      </c>
      <c r="J186" s="42">
        <v>8.7154512405395508</v>
      </c>
      <c r="K186" s="42">
        <v>8.5100297927856445</v>
      </c>
      <c r="L186" s="44">
        <v>77145952</v>
      </c>
      <c r="M186" s="44">
        <v>87297664</v>
      </c>
      <c r="N186" s="46">
        <f t="shared" si="10"/>
        <v>82221808</v>
      </c>
      <c r="O186" s="46">
        <f t="shared" si="11"/>
        <v>7178344.3958528489</v>
      </c>
      <c r="P186" s="46">
        <f t="shared" si="12"/>
        <v>8.7304628424770829</v>
      </c>
      <c r="Q186" s="66">
        <f t="shared" si="13"/>
        <v>5755526560</v>
      </c>
      <c r="R186" s="80">
        <f t="shared" si="14"/>
        <v>11511053.119999999</v>
      </c>
    </row>
    <row r="187" spans="1:18">
      <c r="A187" s="32">
        <v>16</v>
      </c>
      <c r="B187" s="32">
        <v>140</v>
      </c>
      <c r="C187" s="81">
        <v>11</v>
      </c>
      <c r="D187" s="36" t="s">
        <v>1053</v>
      </c>
      <c r="E187" s="37">
        <v>43276</v>
      </c>
      <c r="F187" s="38" t="s">
        <v>282</v>
      </c>
      <c r="G187" s="40" t="s">
        <v>1054</v>
      </c>
      <c r="H187" s="71">
        <v>5</v>
      </c>
      <c r="I187" s="48">
        <v>45474</v>
      </c>
      <c r="J187" s="42">
        <v>8.4850273132324219</v>
      </c>
      <c r="K187" s="42">
        <v>8.5807456970214844</v>
      </c>
      <c r="L187" s="44">
        <v>88621144</v>
      </c>
      <c r="M187" s="44">
        <v>83660440</v>
      </c>
      <c r="N187" s="46">
        <f t="shared" si="10"/>
        <v>86140792</v>
      </c>
      <c r="O187" s="46">
        <f t="shared" si="11"/>
        <v>3507747.4378592311</v>
      </c>
      <c r="P187" s="46">
        <f t="shared" si="12"/>
        <v>4.0721095736607937</v>
      </c>
      <c r="Q187" s="66">
        <f t="shared" si="13"/>
        <v>6029855440</v>
      </c>
      <c r="R187" s="80">
        <f t="shared" si="14"/>
        <v>12059710.880000001</v>
      </c>
    </row>
    <row r="188" spans="1:18">
      <c r="A188" s="32">
        <v>16</v>
      </c>
      <c r="B188" s="32">
        <v>150</v>
      </c>
      <c r="C188" s="81">
        <v>34</v>
      </c>
      <c r="D188" s="36" t="s">
        <v>496</v>
      </c>
      <c r="E188" s="37">
        <v>43311</v>
      </c>
      <c r="F188" s="38" t="s">
        <v>282</v>
      </c>
      <c r="G188" s="40" t="s">
        <v>497</v>
      </c>
      <c r="H188" s="71">
        <v>10</v>
      </c>
      <c r="I188" s="50">
        <v>45435</v>
      </c>
      <c r="J188" s="42">
        <v>9.161747932434082</v>
      </c>
      <c r="K188" s="42">
        <v>9.230682373046875</v>
      </c>
      <c r="L188" s="44">
        <v>56976892</v>
      </c>
      <c r="M188" s="44">
        <v>54613564</v>
      </c>
      <c r="N188" s="46">
        <f t="shared" si="10"/>
        <v>55795228</v>
      </c>
      <c r="O188" s="46">
        <f t="shared" si="11"/>
        <v>1671125.2549680411</v>
      </c>
      <c r="P188" s="46">
        <f t="shared" si="12"/>
        <v>2.9951042676410271</v>
      </c>
      <c r="Q188" s="66">
        <f t="shared" si="13"/>
        <v>3905665960</v>
      </c>
      <c r="R188" s="80">
        <f t="shared" si="14"/>
        <v>7811331.9199999999</v>
      </c>
    </row>
    <row r="189" spans="1:18">
      <c r="A189" s="32">
        <v>16</v>
      </c>
      <c r="B189" s="32">
        <v>160</v>
      </c>
      <c r="C189" s="81">
        <v>12</v>
      </c>
      <c r="D189" s="36" t="s">
        <v>1055</v>
      </c>
      <c r="E189" s="37">
        <v>43346</v>
      </c>
      <c r="F189" s="38" t="s">
        <v>282</v>
      </c>
      <c r="G189" s="40" t="s">
        <v>1056</v>
      </c>
      <c r="H189" s="71">
        <v>5</v>
      </c>
      <c r="I189" s="48">
        <v>45474</v>
      </c>
      <c r="J189" s="42">
        <v>9.1100912094116211</v>
      </c>
      <c r="K189" s="42">
        <v>9.1116867065429688</v>
      </c>
      <c r="L189" s="44">
        <v>60837160</v>
      </c>
      <c r="M189" s="44">
        <v>60778776</v>
      </c>
      <c r="N189" s="46">
        <f t="shared" si="10"/>
        <v>60807968</v>
      </c>
      <c r="O189" s="46">
        <f t="shared" si="11"/>
        <v>41283.722312795391</v>
      </c>
      <c r="P189" s="46">
        <f t="shared" si="12"/>
        <v>6.7891961646860802E-2</v>
      </c>
      <c r="Q189" s="66">
        <f t="shared" si="13"/>
        <v>4256557760</v>
      </c>
      <c r="R189" s="80">
        <f t="shared" si="14"/>
        <v>8513115.5199999996</v>
      </c>
    </row>
    <row r="190" spans="1:18">
      <c r="A190" s="32">
        <v>16</v>
      </c>
      <c r="B190" s="32">
        <v>170</v>
      </c>
      <c r="C190" s="81">
        <v>13</v>
      </c>
      <c r="D190" s="36" t="s">
        <v>1057</v>
      </c>
      <c r="E190" s="37">
        <v>43381</v>
      </c>
      <c r="F190" s="38" t="s">
        <v>282</v>
      </c>
      <c r="G190" s="40" t="s">
        <v>1058</v>
      </c>
      <c r="H190" s="71">
        <v>5</v>
      </c>
      <c r="I190" s="48">
        <v>45474</v>
      </c>
      <c r="J190" s="42">
        <v>7.7394752502441406</v>
      </c>
      <c r="K190" s="42">
        <v>7.6920242309570312</v>
      </c>
      <c r="L190" s="44">
        <v>138802368</v>
      </c>
      <c r="M190" s="44">
        <v>142823216</v>
      </c>
      <c r="N190" s="46">
        <f t="shared" si="10"/>
        <v>140812792</v>
      </c>
      <c r="O190" s="46">
        <f t="shared" si="11"/>
        <v>2843168.8869203674</v>
      </c>
      <c r="P190" s="46">
        <f t="shared" si="12"/>
        <v>2.0191126434879352</v>
      </c>
      <c r="Q190" s="66">
        <f t="shared" si="13"/>
        <v>9856895440</v>
      </c>
      <c r="R190" s="80">
        <f t="shared" si="14"/>
        <v>19713790.879999999</v>
      </c>
    </row>
    <row r="191" spans="1:18">
      <c r="A191" s="32">
        <v>16</v>
      </c>
      <c r="B191" s="32">
        <v>180</v>
      </c>
      <c r="C191" s="81">
        <v>14</v>
      </c>
      <c r="D191" s="36" t="s">
        <v>1059</v>
      </c>
      <c r="E191" s="37">
        <v>43416</v>
      </c>
      <c r="F191" s="38" t="s">
        <v>282</v>
      </c>
      <c r="G191" s="40" t="s">
        <v>1060</v>
      </c>
      <c r="H191" s="71">
        <v>5</v>
      </c>
      <c r="I191" s="48">
        <v>45474</v>
      </c>
      <c r="J191" s="42">
        <v>8.0045394897460938</v>
      </c>
      <c r="K191" s="42">
        <v>7.908909797668457</v>
      </c>
      <c r="L191" s="44">
        <v>118336568</v>
      </c>
      <c r="M191" s="44">
        <v>125346728</v>
      </c>
      <c r="N191" s="46">
        <f t="shared" si="10"/>
        <v>121841648</v>
      </c>
      <c r="O191" s="46">
        <f t="shared" si="11"/>
        <v>4956931.6732026879</v>
      </c>
      <c r="P191" s="46">
        <f t="shared" si="12"/>
        <v>4.0683393195754283</v>
      </c>
      <c r="Q191" s="66">
        <f t="shared" si="13"/>
        <v>8528915360</v>
      </c>
      <c r="R191" s="80">
        <f t="shared" si="14"/>
        <v>17057830.719999999</v>
      </c>
    </row>
    <row r="192" spans="1:18">
      <c r="A192" s="32">
        <v>16</v>
      </c>
      <c r="B192" s="32">
        <v>190</v>
      </c>
      <c r="C192" s="81">
        <v>15</v>
      </c>
      <c r="D192" s="36" t="s">
        <v>1061</v>
      </c>
      <c r="E192" s="37">
        <v>43451</v>
      </c>
      <c r="F192" s="38" t="s">
        <v>282</v>
      </c>
      <c r="G192" s="40" t="s">
        <v>1062</v>
      </c>
      <c r="H192" s="71">
        <v>0</v>
      </c>
      <c r="I192" s="48">
        <v>45474</v>
      </c>
      <c r="J192" s="42">
        <v>7.295201301574707</v>
      </c>
      <c r="K192" s="42">
        <v>7.2808318138122559</v>
      </c>
      <c r="L192" s="44">
        <v>181348320</v>
      </c>
      <c r="M192" s="44">
        <v>182923376</v>
      </c>
      <c r="N192" s="46">
        <f t="shared" si="10"/>
        <v>182135848</v>
      </c>
      <c r="O192" s="46">
        <f t="shared" si="11"/>
        <v>1113732.7783485588</v>
      </c>
      <c r="P192" s="46">
        <f t="shared" si="12"/>
        <v>0.61148466410003965</v>
      </c>
      <c r="Q192" s="66">
        <f t="shared" si="13"/>
        <v>12749509360</v>
      </c>
      <c r="R192" s="80">
        <f t="shared" si="14"/>
        <v>25499018.719999999</v>
      </c>
    </row>
    <row r="193" spans="1:18">
      <c r="A193" s="32">
        <v>16</v>
      </c>
      <c r="B193" s="32">
        <v>200</v>
      </c>
      <c r="C193" s="81">
        <v>35</v>
      </c>
      <c r="D193" s="36" t="s">
        <v>498</v>
      </c>
      <c r="E193" s="37">
        <v>43549</v>
      </c>
      <c r="F193" s="38" t="s">
        <v>282</v>
      </c>
      <c r="G193" s="40" t="s">
        <v>499</v>
      </c>
      <c r="H193" s="71">
        <v>0</v>
      </c>
      <c r="I193" s="50">
        <v>45435</v>
      </c>
      <c r="J193" s="42">
        <v>8.9155435562133789</v>
      </c>
      <c r="K193" s="42">
        <v>8.9399271011352539</v>
      </c>
      <c r="L193" s="44">
        <v>66284092</v>
      </c>
      <c r="M193" s="44">
        <v>65298240</v>
      </c>
      <c r="N193" s="46">
        <f t="shared" si="10"/>
        <v>65791166</v>
      </c>
      <c r="O193" s="46">
        <f t="shared" si="11"/>
        <v>697102.63444632024</v>
      </c>
      <c r="P193" s="46">
        <f t="shared" si="12"/>
        <v>1.0595687488595662</v>
      </c>
      <c r="Q193" s="66">
        <f t="shared" si="13"/>
        <v>4605381620</v>
      </c>
      <c r="R193" s="80">
        <f t="shared" si="14"/>
        <v>9210763.2400000002</v>
      </c>
    </row>
    <row r="194" spans="1:18">
      <c r="A194" s="32">
        <v>16</v>
      </c>
      <c r="B194" s="32">
        <v>210</v>
      </c>
      <c r="C194" s="81">
        <v>16</v>
      </c>
      <c r="D194" s="36" t="s">
        <v>1063</v>
      </c>
      <c r="E194" s="37">
        <v>43584</v>
      </c>
      <c r="F194" s="38" t="s">
        <v>282</v>
      </c>
      <c r="G194" s="40" t="s">
        <v>1064</v>
      </c>
      <c r="H194" s="71">
        <v>0</v>
      </c>
      <c r="I194" s="48">
        <v>45474</v>
      </c>
      <c r="J194" s="42">
        <v>6.0022006034851074</v>
      </c>
      <c r="K194" s="42">
        <v>6.087949275970459</v>
      </c>
      <c r="L194" s="44">
        <v>394871488</v>
      </c>
      <c r="M194" s="44">
        <v>375011200</v>
      </c>
      <c r="N194" s="46">
        <f t="shared" si="10"/>
        <v>384941344</v>
      </c>
      <c r="O194" s="46">
        <f t="shared" si="11"/>
        <v>14043344.321117815</v>
      </c>
      <c r="P194" s="46">
        <f t="shared" si="12"/>
        <v>3.6481777133083977</v>
      </c>
      <c r="Q194" s="66">
        <f t="shared" si="13"/>
        <v>26945894080</v>
      </c>
      <c r="R194" s="80">
        <f t="shared" si="14"/>
        <v>53891788.159999996</v>
      </c>
    </row>
    <row r="195" spans="1:18">
      <c r="A195" s="32">
        <v>16</v>
      </c>
      <c r="B195" s="32">
        <v>220</v>
      </c>
      <c r="C195" s="81">
        <v>17</v>
      </c>
      <c r="D195" s="36" t="s">
        <v>1065</v>
      </c>
      <c r="E195" s="37">
        <v>43619</v>
      </c>
      <c r="F195" s="38" t="s">
        <v>282</v>
      </c>
      <c r="G195" s="40" t="s">
        <v>1066</v>
      </c>
      <c r="H195" s="71">
        <v>0</v>
      </c>
      <c r="I195" s="48">
        <v>45474</v>
      </c>
      <c r="J195" s="42">
        <v>9.7188510894775391</v>
      </c>
      <c r="K195" s="42">
        <v>9.7016162872314453</v>
      </c>
      <c r="L195" s="44">
        <v>42175652</v>
      </c>
      <c r="M195" s="44">
        <v>42615376</v>
      </c>
      <c r="N195" s="46">
        <f t="shared" ref="N195:N216" si="15">AVERAGE(L195:M195)</f>
        <v>42395514</v>
      </c>
      <c r="O195" s="46">
        <f t="shared" ref="O195:O216" si="16">STDEVA(L195:M195)</f>
        <v>310931.82225047343</v>
      </c>
      <c r="P195" s="46">
        <f t="shared" ref="P195:P258" si="17">O195*100/N195</f>
        <v>0.73340736534170436</v>
      </c>
      <c r="Q195" s="66">
        <f t="shared" ref="Q195:Q258" si="18">N195*70</f>
        <v>2967685980</v>
      </c>
      <c r="R195" s="80">
        <f t="shared" si="14"/>
        <v>5935371.96</v>
      </c>
    </row>
    <row r="196" spans="1:18">
      <c r="A196" s="32">
        <v>16</v>
      </c>
      <c r="B196" s="32">
        <v>230</v>
      </c>
      <c r="C196" s="81">
        <v>18</v>
      </c>
      <c r="D196" s="36" t="s">
        <v>1067</v>
      </c>
      <c r="E196" s="37">
        <v>43661</v>
      </c>
      <c r="F196" s="38" t="s">
        <v>282</v>
      </c>
      <c r="G196" s="40" t="s">
        <v>1068</v>
      </c>
      <c r="H196" s="71">
        <v>0</v>
      </c>
      <c r="I196" s="48">
        <v>45474</v>
      </c>
      <c r="J196" s="42">
        <v>8.0557689666748047</v>
      </c>
      <c r="K196" s="42">
        <v>8.1948680877685547</v>
      </c>
      <c r="L196" s="44">
        <v>114743872</v>
      </c>
      <c r="M196" s="44">
        <v>105529568</v>
      </c>
      <c r="N196" s="46">
        <f t="shared" si="15"/>
        <v>110136720</v>
      </c>
      <c r="O196" s="46">
        <f t="shared" si="16"/>
        <v>6515496.8423143299</v>
      </c>
      <c r="P196" s="46">
        <f t="shared" si="17"/>
        <v>5.9158261135017733</v>
      </c>
      <c r="Q196" s="66">
        <f t="shared" si="18"/>
        <v>7709570400</v>
      </c>
      <c r="R196" s="80">
        <f t="shared" ref="R196:R235" si="19">Q196/500</f>
        <v>15419140.800000001</v>
      </c>
    </row>
    <row r="197" spans="1:18">
      <c r="A197" s="32">
        <v>16</v>
      </c>
      <c r="B197" s="32">
        <v>240</v>
      </c>
      <c r="C197" s="81">
        <v>19</v>
      </c>
      <c r="D197" s="36" t="s">
        <v>1069</v>
      </c>
      <c r="E197" s="37">
        <v>43696</v>
      </c>
      <c r="F197" s="38" t="s">
        <v>282</v>
      </c>
      <c r="G197" s="40" t="s">
        <v>1070</v>
      </c>
      <c r="H197" s="71">
        <v>0</v>
      </c>
      <c r="I197" s="48">
        <v>45474</v>
      </c>
      <c r="J197" s="42">
        <v>7.5613307952880859</v>
      </c>
      <c r="K197" s="42">
        <v>7.7733149528503418</v>
      </c>
      <c r="L197" s="44">
        <v>154510224</v>
      </c>
      <c r="M197" s="44">
        <v>136004240</v>
      </c>
      <c r="N197" s="46">
        <f t="shared" si="15"/>
        <v>145257232</v>
      </c>
      <c r="O197" s="46">
        <f t="shared" si="16"/>
        <v>13085706.77892975</v>
      </c>
      <c r="P197" s="46">
        <f t="shared" si="17"/>
        <v>9.008643906232324</v>
      </c>
      <c r="Q197" s="66">
        <f t="shared" si="18"/>
        <v>10168006240</v>
      </c>
      <c r="R197" s="80">
        <f t="shared" si="19"/>
        <v>20336012.48</v>
      </c>
    </row>
    <row r="198" spans="1:18">
      <c r="A198" s="32">
        <v>16</v>
      </c>
      <c r="B198" s="32">
        <v>250</v>
      </c>
      <c r="C198" s="81">
        <v>36</v>
      </c>
      <c r="D198" s="36" t="s">
        <v>500</v>
      </c>
      <c r="E198" s="37">
        <v>43731</v>
      </c>
      <c r="F198" s="38" t="s">
        <v>282</v>
      </c>
      <c r="G198" s="40" t="s">
        <v>501</v>
      </c>
      <c r="H198" s="71">
        <v>0</v>
      </c>
      <c r="I198" s="50">
        <v>45435</v>
      </c>
      <c r="J198" s="42">
        <v>9.2843561172485352</v>
      </c>
      <c r="K198" s="42">
        <v>9.3065385818481445</v>
      </c>
      <c r="L198" s="44">
        <v>52841520</v>
      </c>
      <c r="M198" s="44">
        <v>52126064</v>
      </c>
      <c r="N198" s="46">
        <f t="shared" si="15"/>
        <v>52483792</v>
      </c>
      <c r="O198" s="46">
        <f t="shared" si="16"/>
        <v>505903.78924060252</v>
      </c>
      <c r="P198" s="46">
        <f t="shared" si="17"/>
        <v>0.96392385146371007</v>
      </c>
      <c r="Q198" s="66">
        <f t="shared" si="18"/>
        <v>3673865440</v>
      </c>
      <c r="R198" s="80">
        <f t="shared" si="19"/>
        <v>7347730.8799999999</v>
      </c>
    </row>
    <row r="199" spans="1:18">
      <c r="A199" s="32">
        <v>16</v>
      </c>
      <c r="B199" s="32">
        <v>260</v>
      </c>
      <c r="C199" s="81">
        <v>20</v>
      </c>
      <c r="D199" s="36" t="s">
        <v>1071</v>
      </c>
      <c r="E199" s="37">
        <v>43766</v>
      </c>
      <c r="F199" s="38" t="s">
        <v>282</v>
      </c>
      <c r="G199" s="40" t="s">
        <v>1072</v>
      </c>
      <c r="H199" s="71">
        <v>7</v>
      </c>
      <c r="I199" s="48">
        <v>45474</v>
      </c>
      <c r="J199" s="42">
        <v>8.9672451019287109</v>
      </c>
      <c r="K199" s="42">
        <v>9.8393220901489258</v>
      </c>
      <c r="L199" s="44">
        <v>66298484</v>
      </c>
      <c r="M199" s="44">
        <v>39226104</v>
      </c>
      <c r="N199" s="46">
        <f t="shared" si="15"/>
        <v>52762294</v>
      </c>
      <c r="O199" s="46">
        <f t="shared" si="16"/>
        <v>19143063.480859067</v>
      </c>
      <c r="P199" s="46">
        <f t="shared" si="17"/>
        <v>36.281711861995738</v>
      </c>
      <c r="Q199" s="66">
        <f t="shared" si="18"/>
        <v>3693360580</v>
      </c>
      <c r="R199" s="80">
        <f t="shared" si="19"/>
        <v>7386721.1600000001</v>
      </c>
    </row>
    <row r="200" spans="1:18">
      <c r="A200" s="32">
        <v>16</v>
      </c>
      <c r="B200" s="32">
        <v>270</v>
      </c>
      <c r="C200" s="81">
        <v>21</v>
      </c>
      <c r="D200" s="36" t="s">
        <v>1073</v>
      </c>
      <c r="E200" s="37">
        <v>43801</v>
      </c>
      <c r="F200" s="38" t="s">
        <v>282</v>
      </c>
      <c r="G200" s="40" t="s">
        <v>1074</v>
      </c>
      <c r="H200" s="71">
        <v>7</v>
      </c>
      <c r="I200" s="48">
        <v>45474</v>
      </c>
      <c r="J200" s="42">
        <v>8.4675073623657227</v>
      </c>
      <c r="K200" s="42">
        <v>8.8394279479980469</v>
      </c>
      <c r="L200" s="44">
        <v>89560480</v>
      </c>
      <c r="M200" s="44">
        <v>71599544</v>
      </c>
      <c r="N200" s="46">
        <f t="shared" si="15"/>
        <v>80580012</v>
      </c>
      <c r="O200" s="46">
        <f t="shared" si="16"/>
        <v>12700299.642057585</v>
      </c>
      <c r="P200" s="46">
        <f t="shared" si="17"/>
        <v>15.761104183079032</v>
      </c>
      <c r="Q200" s="66">
        <f t="shared" si="18"/>
        <v>5640600840</v>
      </c>
      <c r="R200" s="80">
        <f t="shared" si="19"/>
        <v>11281201.68</v>
      </c>
    </row>
    <row r="201" spans="1:18">
      <c r="A201" s="32">
        <v>16</v>
      </c>
      <c r="B201" s="32">
        <v>280</v>
      </c>
      <c r="C201" s="81">
        <v>22</v>
      </c>
      <c r="D201" s="36" t="s">
        <v>1075</v>
      </c>
      <c r="E201" s="37">
        <v>43836</v>
      </c>
      <c r="F201" s="38" t="s">
        <v>282</v>
      </c>
      <c r="G201" s="40" t="s">
        <v>1076</v>
      </c>
      <c r="H201" s="71">
        <v>5</v>
      </c>
      <c r="I201" s="48">
        <v>45474</v>
      </c>
      <c r="J201" s="42">
        <v>8.8877534866333008</v>
      </c>
      <c r="K201" s="42">
        <v>9.0579795837402344</v>
      </c>
      <c r="L201" s="44">
        <v>69547216</v>
      </c>
      <c r="M201" s="44">
        <v>62775328</v>
      </c>
      <c r="N201" s="46">
        <f t="shared" si="15"/>
        <v>66161272</v>
      </c>
      <c r="O201" s="46">
        <f t="shared" si="16"/>
        <v>4788447.9262358071</v>
      </c>
      <c r="P201" s="46">
        <f t="shared" si="17"/>
        <v>7.2375390942238944</v>
      </c>
      <c r="Q201" s="66">
        <f t="shared" si="18"/>
        <v>4631289040</v>
      </c>
      <c r="R201" s="80">
        <f t="shared" si="19"/>
        <v>9262578.0800000001</v>
      </c>
    </row>
    <row r="202" spans="1:18">
      <c r="A202" s="32">
        <v>16</v>
      </c>
      <c r="B202" s="32">
        <v>290</v>
      </c>
      <c r="C202" s="81">
        <v>23</v>
      </c>
      <c r="D202" s="36" t="s">
        <v>1077</v>
      </c>
      <c r="E202" s="37">
        <v>43878</v>
      </c>
      <c r="F202" s="38" t="s">
        <v>282</v>
      </c>
      <c r="G202" s="40" t="s">
        <v>1078</v>
      </c>
      <c r="H202" s="71">
        <v>12</v>
      </c>
      <c r="I202" s="48">
        <v>45474</v>
      </c>
      <c r="J202" s="42">
        <v>8.8055219650268555</v>
      </c>
      <c r="K202" s="42">
        <v>9.1302967071533203</v>
      </c>
      <c r="L202" s="44">
        <v>73075536</v>
      </c>
      <c r="M202" s="44">
        <v>60101868</v>
      </c>
      <c r="N202" s="46">
        <f t="shared" si="15"/>
        <v>66588702</v>
      </c>
      <c r="O202" s="46">
        <f t="shared" si="16"/>
        <v>9173768.6196629144</v>
      </c>
      <c r="P202" s="46">
        <f t="shared" si="17"/>
        <v>13.776764442206598</v>
      </c>
      <c r="Q202" s="66">
        <f t="shared" si="18"/>
        <v>4661209140</v>
      </c>
      <c r="R202" s="80">
        <f t="shared" si="19"/>
        <v>9322418.2799999993</v>
      </c>
    </row>
    <row r="203" spans="1:18">
      <c r="A203" s="32">
        <v>16</v>
      </c>
      <c r="B203" s="32">
        <v>300</v>
      </c>
      <c r="C203" s="81">
        <v>37</v>
      </c>
      <c r="D203" s="36" t="s">
        <v>502</v>
      </c>
      <c r="E203" s="37">
        <v>43913</v>
      </c>
      <c r="F203" s="38" t="s">
        <v>282</v>
      </c>
      <c r="G203" s="40" t="s">
        <v>503</v>
      </c>
      <c r="H203" s="71">
        <v>14</v>
      </c>
      <c r="I203" s="50">
        <v>45435</v>
      </c>
      <c r="J203" s="42">
        <v>10.34200382232666</v>
      </c>
      <c r="K203" s="42">
        <v>10.424959182739258</v>
      </c>
      <c r="L203" s="44">
        <v>27586400</v>
      </c>
      <c r="M203" s="44">
        <v>26215294</v>
      </c>
      <c r="N203" s="46">
        <f t="shared" si="15"/>
        <v>26900847</v>
      </c>
      <c r="O203" s="46">
        <f t="shared" si="16"/>
        <v>969518.35032556241</v>
      </c>
      <c r="P203" s="46">
        <f t="shared" si="17"/>
        <v>3.6040439556626689</v>
      </c>
      <c r="Q203" s="66">
        <f t="shared" si="18"/>
        <v>1883059290</v>
      </c>
      <c r="R203" s="80">
        <f t="shared" si="19"/>
        <v>3766118.58</v>
      </c>
    </row>
    <row r="204" spans="1:18">
      <c r="A204" s="32">
        <v>16</v>
      </c>
      <c r="B204" s="32">
        <v>310</v>
      </c>
      <c r="C204" s="81">
        <v>24</v>
      </c>
      <c r="D204" s="36" t="s">
        <v>1079</v>
      </c>
      <c r="E204" s="37">
        <v>44025</v>
      </c>
      <c r="F204" s="38" t="s">
        <v>282</v>
      </c>
      <c r="G204" s="40" t="s">
        <v>1080</v>
      </c>
      <c r="H204" s="71">
        <v>0</v>
      </c>
      <c r="I204" s="48">
        <v>45474</v>
      </c>
      <c r="J204" s="42">
        <v>8.6965312957763672</v>
      </c>
      <c r="K204" s="42">
        <v>8.6672983169555664</v>
      </c>
      <c r="L204" s="44">
        <v>78029368</v>
      </c>
      <c r="M204" s="44">
        <v>79414264</v>
      </c>
      <c r="N204" s="46">
        <f t="shared" si="15"/>
        <v>78721816</v>
      </c>
      <c r="O204" s="46">
        <f t="shared" si="16"/>
        <v>979269.35283812496</v>
      </c>
      <c r="P204" s="46">
        <f t="shared" si="17"/>
        <v>1.2439618425953549</v>
      </c>
      <c r="Q204" s="66">
        <f t="shared" si="18"/>
        <v>5510527120</v>
      </c>
      <c r="R204" s="80">
        <f t="shared" si="19"/>
        <v>11021054.24</v>
      </c>
    </row>
    <row r="205" spans="1:18">
      <c r="A205" s="32">
        <v>16</v>
      </c>
      <c r="B205" s="32">
        <v>320</v>
      </c>
      <c r="C205" s="81">
        <v>25</v>
      </c>
      <c r="D205" s="36" t="s">
        <v>1081</v>
      </c>
      <c r="E205" s="37">
        <v>44060</v>
      </c>
      <c r="F205" s="38" t="s">
        <v>282</v>
      </c>
      <c r="G205" s="40" t="s">
        <v>1082</v>
      </c>
      <c r="H205" s="71">
        <v>12</v>
      </c>
      <c r="I205" s="48">
        <v>45474</v>
      </c>
      <c r="J205" s="42">
        <v>14.123695373535156</v>
      </c>
      <c r="K205" s="42">
        <v>10.643425941467285</v>
      </c>
      <c r="L205" s="44">
        <v>2977142.25</v>
      </c>
      <c r="M205" s="44">
        <v>24177554</v>
      </c>
      <c r="N205" s="46">
        <f t="shared" si="15"/>
        <v>13577348.125</v>
      </c>
      <c r="O205" s="46">
        <f t="shared" si="16"/>
        <v>14990954.91237196</v>
      </c>
      <c r="P205" s="46">
        <f t="shared" si="17"/>
        <v>110.41150874498889</v>
      </c>
      <c r="Q205" s="66">
        <f t="shared" si="18"/>
        <v>950414368.75</v>
      </c>
      <c r="R205" s="80">
        <f t="shared" si="19"/>
        <v>1900828.7375</v>
      </c>
    </row>
    <row r="206" spans="1:18">
      <c r="A206" s="32">
        <v>16</v>
      </c>
      <c r="B206" s="32">
        <v>330</v>
      </c>
      <c r="C206" s="81">
        <v>26</v>
      </c>
      <c r="D206" s="36" t="s">
        <v>1083</v>
      </c>
      <c r="E206" s="37">
        <v>44095</v>
      </c>
      <c r="F206" s="38" t="s">
        <v>282</v>
      </c>
      <c r="G206" s="40" t="s">
        <v>1084</v>
      </c>
      <c r="H206" s="71">
        <v>5</v>
      </c>
      <c r="I206" s="48">
        <v>45474</v>
      </c>
      <c r="J206" s="42">
        <v>9.2999343872070312</v>
      </c>
      <c r="K206" s="42">
        <v>9.5446901321411133</v>
      </c>
      <c r="L206" s="44">
        <v>54268900</v>
      </c>
      <c r="M206" s="44">
        <v>46836128</v>
      </c>
      <c r="N206" s="46">
        <f t="shared" si="15"/>
        <v>50552514</v>
      </c>
      <c r="O206" s="46">
        <f t="shared" si="16"/>
        <v>5255763.4842134975</v>
      </c>
      <c r="P206" s="46">
        <f t="shared" si="17"/>
        <v>10.396641172412311</v>
      </c>
      <c r="Q206" s="66">
        <f t="shared" si="18"/>
        <v>3538675980</v>
      </c>
      <c r="R206" s="80">
        <f t="shared" si="19"/>
        <v>7077351.96</v>
      </c>
    </row>
    <row r="207" spans="1:18">
      <c r="A207" s="32">
        <v>16</v>
      </c>
      <c r="B207" s="32">
        <v>340</v>
      </c>
      <c r="C207" s="81">
        <v>36</v>
      </c>
      <c r="D207" s="36" t="s">
        <v>887</v>
      </c>
      <c r="E207" s="37">
        <v>44130</v>
      </c>
      <c r="F207" s="38" t="s">
        <v>282</v>
      </c>
      <c r="G207" s="40" t="s">
        <v>888</v>
      </c>
      <c r="H207" s="71">
        <v>5</v>
      </c>
      <c r="I207" s="48">
        <v>45477</v>
      </c>
      <c r="J207" s="42">
        <v>11.318316459655762</v>
      </c>
      <c r="K207" s="42">
        <v>10.172927856445312</v>
      </c>
      <c r="L207" s="44">
        <v>27736122</v>
      </c>
      <c r="M207" s="44">
        <v>54353716</v>
      </c>
      <c r="N207" s="46">
        <f t="shared" si="15"/>
        <v>41044919</v>
      </c>
      <c r="O207" s="46">
        <f t="shared" si="16"/>
        <v>18821481.216270361</v>
      </c>
      <c r="P207" s="46">
        <f t="shared" si="17"/>
        <v>45.855812789569306</v>
      </c>
      <c r="Q207" s="66">
        <f t="shared" si="18"/>
        <v>2873144330</v>
      </c>
      <c r="R207" s="80">
        <f t="shared" si="19"/>
        <v>5746288.6600000001</v>
      </c>
    </row>
    <row r="208" spans="1:18">
      <c r="A208" s="32">
        <v>16</v>
      </c>
      <c r="B208" s="32">
        <v>340</v>
      </c>
      <c r="C208" s="81">
        <v>27</v>
      </c>
      <c r="D208" s="36" t="s">
        <v>887</v>
      </c>
      <c r="E208" s="37">
        <v>44130</v>
      </c>
      <c r="F208" s="38" t="s">
        <v>282</v>
      </c>
      <c r="G208" s="40" t="s">
        <v>1085</v>
      </c>
      <c r="H208" s="71">
        <v>0</v>
      </c>
      <c r="I208" s="48">
        <v>45474</v>
      </c>
      <c r="J208" s="42">
        <v>8.4931545257568359</v>
      </c>
      <c r="K208" s="42">
        <v>7.9872632026672363</v>
      </c>
      <c r="L208" s="44">
        <v>88188752</v>
      </c>
      <c r="M208" s="44">
        <v>119573336</v>
      </c>
      <c r="N208" s="46">
        <f t="shared" si="15"/>
        <v>103881044</v>
      </c>
      <c r="O208" s="46">
        <f t="shared" si="16"/>
        <v>22192252.171118822</v>
      </c>
      <c r="P208" s="46">
        <f t="shared" si="17"/>
        <v>21.363139333793008</v>
      </c>
      <c r="Q208" s="66">
        <f t="shared" si="18"/>
        <v>7271673080</v>
      </c>
      <c r="R208" s="80">
        <f t="shared" si="19"/>
        <v>14543346.16</v>
      </c>
    </row>
    <row r="209" spans="1:19">
      <c r="A209" s="32">
        <v>16</v>
      </c>
      <c r="B209" s="32">
        <v>350</v>
      </c>
      <c r="C209" s="81">
        <v>38</v>
      </c>
      <c r="D209" s="36" t="s">
        <v>504</v>
      </c>
      <c r="E209" s="37">
        <v>44165</v>
      </c>
      <c r="F209" s="38" t="s">
        <v>282</v>
      </c>
      <c r="G209" s="40" t="s">
        <v>505</v>
      </c>
      <c r="H209" s="71">
        <v>5</v>
      </c>
      <c r="I209" s="50">
        <v>45435</v>
      </c>
      <c r="J209" s="42">
        <v>9.5836963653564453</v>
      </c>
      <c r="K209" s="42">
        <v>9.5443925857543945</v>
      </c>
      <c r="L209" s="44">
        <v>43962568</v>
      </c>
      <c r="M209" s="44">
        <v>45037372</v>
      </c>
      <c r="N209" s="46">
        <f t="shared" si="15"/>
        <v>44499970</v>
      </c>
      <c r="O209" s="46">
        <f t="shared" si="16"/>
        <v>760001.196846426</v>
      </c>
      <c r="P209" s="46">
        <f t="shared" si="17"/>
        <v>1.7078690094542222</v>
      </c>
      <c r="Q209" s="66">
        <f t="shared" si="18"/>
        <v>3114997900</v>
      </c>
      <c r="R209" s="80">
        <f t="shared" si="19"/>
        <v>6229995.7999999998</v>
      </c>
    </row>
    <row r="210" spans="1:19">
      <c r="A210" s="32">
        <v>16</v>
      </c>
      <c r="B210" s="32">
        <v>360</v>
      </c>
      <c r="C210" s="81">
        <v>37</v>
      </c>
      <c r="D210" s="36" t="s">
        <v>889</v>
      </c>
      <c r="E210" s="37">
        <v>44200</v>
      </c>
      <c r="F210" s="38" t="s">
        <v>282</v>
      </c>
      <c r="G210" s="40" t="s">
        <v>890</v>
      </c>
      <c r="H210" s="71">
        <v>5</v>
      </c>
      <c r="I210" s="48">
        <v>45477</v>
      </c>
      <c r="J210" s="42">
        <v>12.607536315917969</v>
      </c>
      <c r="K210" s="42">
        <v>13.212409019470215</v>
      </c>
      <c r="L210" s="44">
        <v>13006831</v>
      </c>
      <c r="M210" s="44">
        <v>9117403</v>
      </c>
      <c r="N210" s="46">
        <f t="shared" si="15"/>
        <v>11062117</v>
      </c>
      <c r="O210" s="46">
        <f t="shared" si="16"/>
        <v>2750240.9137368314</v>
      </c>
      <c r="P210" s="46">
        <f t="shared" si="17"/>
        <v>24.861795565322907</v>
      </c>
      <c r="Q210" s="66">
        <f t="shared" si="18"/>
        <v>774348190</v>
      </c>
      <c r="R210" s="80">
        <f t="shared" si="19"/>
        <v>1548696.38</v>
      </c>
    </row>
    <row r="211" spans="1:19">
      <c r="A211" s="32">
        <v>16</v>
      </c>
      <c r="B211" s="32">
        <v>360</v>
      </c>
      <c r="C211" s="81">
        <v>28</v>
      </c>
      <c r="D211" s="36" t="s">
        <v>889</v>
      </c>
      <c r="E211" s="37">
        <v>44200</v>
      </c>
      <c r="F211" s="38" t="s">
        <v>282</v>
      </c>
      <c r="G211" s="40" t="s">
        <v>1086</v>
      </c>
      <c r="H211" s="71">
        <v>5</v>
      </c>
      <c r="I211" s="48">
        <v>45474</v>
      </c>
      <c r="J211" s="42">
        <v>9.2202701568603516</v>
      </c>
      <c r="K211" s="42">
        <v>8.749089241027832</v>
      </c>
      <c r="L211" s="44">
        <v>56934076</v>
      </c>
      <c r="M211" s="44">
        <v>75599936</v>
      </c>
      <c r="N211" s="46">
        <f t="shared" si="15"/>
        <v>66267006</v>
      </c>
      <c r="O211" s="46">
        <f t="shared" si="16"/>
        <v>13198756.182678729</v>
      </c>
      <c r="P211" s="46">
        <f t="shared" si="17"/>
        <v>19.917538122483954</v>
      </c>
      <c r="Q211" s="66">
        <f t="shared" si="18"/>
        <v>4638690420</v>
      </c>
      <c r="R211" s="80">
        <f t="shared" si="19"/>
        <v>9277380.8399999999</v>
      </c>
    </row>
    <row r="212" spans="1:19">
      <c r="A212" s="32">
        <v>16</v>
      </c>
      <c r="B212" s="32">
        <v>370</v>
      </c>
      <c r="C212" s="81">
        <v>38</v>
      </c>
      <c r="D212" s="36" t="s">
        <v>891</v>
      </c>
      <c r="E212" s="37">
        <v>44235</v>
      </c>
      <c r="F212" s="38" t="s">
        <v>282</v>
      </c>
      <c r="G212" s="40" t="s">
        <v>892</v>
      </c>
      <c r="H212" s="71">
        <v>5</v>
      </c>
      <c r="I212" s="48">
        <v>45477</v>
      </c>
      <c r="J212" s="42">
        <v>10.970192909240723</v>
      </c>
      <c r="K212" s="42">
        <v>23.04237174987793</v>
      </c>
      <c r="L212" s="44">
        <v>34029100</v>
      </c>
      <c r="M212" s="44">
        <v>28332.935546875</v>
      </c>
      <c r="N212" s="46">
        <f t="shared" si="15"/>
        <v>17028716.467773438</v>
      </c>
      <c r="O212" s="46">
        <f t="shared" si="16"/>
        <v>24042172.956819028</v>
      </c>
      <c r="P212" s="46">
        <f t="shared" si="17"/>
        <v>141.18605475825757</v>
      </c>
      <c r="Q212" s="66">
        <f t="shared" si="18"/>
        <v>1192010152.7441406</v>
      </c>
      <c r="R212" s="80">
        <f t="shared" si="19"/>
        <v>2384020.3054882814</v>
      </c>
      <c r="S212" s="29" t="s">
        <v>1476</v>
      </c>
    </row>
    <row r="213" spans="1:19">
      <c r="A213" s="32">
        <v>16</v>
      </c>
      <c r="B213" s="32">
        <v>370</v>
      </c>
      <c r="C213" s="81">
        <v>29</v>
      </c>
      <c r="D213" s="36" t="s">
        <v>891</v>
      </c>
      <c r="E213" s="37">
        <v>44235</v>
      </c>
      <c r="F213" s="38" t="s">
        <v>282</v>
      </c>
      <c r="G213" s="40" t="s">
        <v>1087</v>
      </c>
      <c r="H213" s="71">
        <v>0</v>
      </c>
      <c r="I213" s="48">
        <v>45474</v>
      </c>
      <c r="J213" s="42">
        <v>8.1749057769775391</v>
      </c>
      <c r="K213" s="42">
        <v>8.1437740325927734</v>
      </c>
      <c r="L213" s="44">
        <v>106805000</v>
      </c>
      <c r="M213" s="44">
        <v>108824896</v>
      </c>
      <c r="N213" s="46">
        <f t="shared" si="15"/>
        <v>107814948</v>
      </c>
      <c r="O213" s="46">
        <f t="shared" si="16"/>
        <v>1428282.1588915826</v>
      </c>
      <c r="P213" s="46">
        <f t="shared" si="17"/>
        <v>1.3247533717602706</v>
      </c>
      <c r="Q213" s="66">
        <f t="shared" si="18"/>
        <v>7547046360</v>
      </c>
      <c r="R213" s="80">
        <f t="shared" si="19"/>
        <v>15094092.720000001</v>
      </c>
      <c r="S213" s="29" t="s">
        <v>1476</v>
      </c>
    </row>
    <row r="214" spans="1:19">
      <c r="A214" s="32">
        <v>16</v>
      </c>
      <c r="B214" s="32">
        <v>380</v>
      </c>
      <c r="C214" s="81">
        <v>30</v>
      </c>
      <c r="D214" s="36" t="s">
        <v>1088</v>
      </c>
      <c r="E214" s="37">
        <v>44270</v>
      </c>
      <c r="F214" s="38" t="s">
        <v>282</v>
      </c>
      <c r="G214" s="40" t="s">
        <v>1089</v>
      </c>
      <c r="H214" s="71">
        <v>5</v>
      </c>
      <c r="I214" s="48">
        <v>45474</v>
      </c>
      <c r="J214" s="42">
        <v>8.3746709823608398</v>
      </c>
      <c r="K214" s="42">
        <v>8.6651144027709961</v>
      </c>
      <c r="L214" s="44">
        <v>94706632</v>
      </c>
      <c r="M214" s="44">
        <v>79518704</v>
      </c>
      <c r="N214" s="46">
        <f t="shared" si="15"/>
        <v>87112668</v>
      </c>
      <c r="O214" s="46">
        <f t="shared" si="16"/>
        <v>10739486.880973039</v>
      </c>
      <c r="P214" s="46">
        <f t="shared" si="17"/>
        <v>12.328272256536833</v>
      </c>
      <c r="Q214" s="66">
        <f t="shared" si="18"/>
        <v>6097886760</v>
      </c>
      <c r="R214" s="80">
        <f t="shared" si="19"/>
        <v>12195773.52</v>
      </c>
      <c r="S214" s="29" t="s">
        <v>1476</v>
      </c>
    </row>
    <row r="215" spans="1:19">
      <c r="A215" s="32">
        <v>16</v>
      </c>
      <c r="B215" s="32">
        <v>380</v>
      </c>
      <c r="C215" s="71">
        <v>36</v>
      </c>
      <c r="D215" s="37" t="s">
        <v>1088</v>
      </c>
      <c r="E215" s="37">
        <v>44270</v>
      </c>
      <c r="F215" s="40" t="s">
        <v>282</v>
      </c>
      <c r="G215" s="38" t="s">
        <v>1357</v>
      </c>
      <c r="H215" s="71">
        <v>15</v>
      </c>
      <c r="I215" s="48">
        <v>45477</v>
      </c>
      <c r="J215" s="42">
        <v>10.917692184448242</v>
      </c>
      <c r="K215" s="42">
        <v>10.949138641357422</v>
      </c>
      <c r="L215" s="44">
        <v>41322040</v>
      </c>
      <c r="M215" s="44">
        <v>40590396</v>
      </c>
      <c r="N215" s="46">
        <f t="shared" si="15"/>
        <v>40956218</v>
      </c>
      <c r="O215" s="46">
        <f t="shared" si="16"/>
        <v>517350.4338144504</v>
      </c>
      <c r="P215" s="46">
        <f t="shared" si="17"/>
        <v>1.263179216924889</v>
      </c>
      <c r="Q215" s="66">
        <f t="shared" si="18"/>
        <v>2866935260</v>
      </c>
      <c r="R215" s="80">
        <f t="shared" si="19"/>
        <v>5733870.5199999996</v>
      </c>
      <c r="S215" s="29" t="s">
        <v>1476</v>
      </c>
    </row>
    <row r="216" spans="1:19">
      <c r="A216" s="32">
        <v>16</v>
      </c>
      <c r="B216" s="32">
        <v>390</v>
      </c>
      <c r="C216" s="81">
        <v>31</v>
      </c>
      <c r="D216" s="36" t="s">
        <v>1090</v>
      </c>
      <c r="E216" s="37">
        <v>44305</v>
      </c>
      <c r="F216" s="38" t="s">
        <v>282</v>
      </c>
      <c r="G216" s="40" t="s">
        <v>1091</v>
      </c>
      <c r="H216" s="71">
        <v>7</v>
      </c>
      <c r="I216" s="48">
        <v>45474</v>
      </c>
      <c r="J216" s="42">
        <v>7.955662727355957</v>
      </c>
      <c r="K216" s="42">
        <v>8.0399866104125977</v>
      </c>
      <c r="L216" s="44">
        <v>121869080</v>
      </c>
      <c r="M216" s="44">
        <v>115838896</v>
      </c>
      <c r="N216" s="46">
        <f t="shared" si="15"/>
        <v>118853988</v>
      </c>
      <c r="O216" s="46">
        <f t="shared" si="16"/>
        <v>4263983.9982026201</v>
      </c>
      <c r="P216" s="46">
        <f t="shared" si="17"/>
        <v>3.587581763097945</v>
      </c>
      <c r="Q216" s="66">
        <f t="shared" si="18"/>
        <v>8319779160</v>
      </c>
      <c r="R216" s="80">
        <f t="shared" si="19"/>
        <v>16639558.32</v>
      </c>
      <c r="S216" s="29" t="s">
        <v>1476</v>
      </c>
    </row>
    <row r="217" spans="1:19">
      <c r="A217" s="32">
        <v>16</v>
      </c>
      <c r="B217" s="32">
        <v>390</v>
      </c>
      <c r="C217" s="71">
        <v>37</v>
      </c>
      <c r="D217" s="37" t="s">
        <v>1090</v>
      </c>
      <c r="E217" s="37">
        <v>44305</v>
      </c>
      <c r="F217" s="40" t="s">
        <v>282</v>
      </c>
      <c r="G217" s="38" t="s">
        <v>1358</v>
      </c>
      <c r="H217" s="71">
        <v>5</v>
      </c>
      <c r="I217" s="48">
        <v>45477</v>
      </c>
      <c r="J217" s="42">
        <v>0</v>
      </c>
      <c r="K217" s="42">
        <v>9.1492633819580078</v>
      </c>
      <c r="L217" s="46">
        <v>0</v>
      </c>
      <c r="M217" s="44">
        <v>112845976</v>
      </c>
      <c r="N217" s="46">
        <f>AVERAGE(M217)</f>
        <v>112845976</v>
      </c>
      <c r="O217" s="46" t="s">
        <v>1473</v>
      </c>
      <c r="P217" s="46" t="e">
        <f t="shared" si="17"/>
        <v>#VALUE!</v>
      </c>
      <c r="Q217" s="66">
        <f t="shared" si="18"/>
        <v>7899218320</v>
      </c>
      <c r="R217" s="80">
        <f t="shared" si="19"/>
        <v>15798436.640000001</v>
      </c>
      <c r="S217" s="29" t="s">
        <v>1476</v>
      </c>
    </row>
    <row r="218" spans="1:19">
      <c r="A218" s="32">
        <v>16</v>
      </c>
      <c r="B218" s="32">
        <v>400</v>
      </c>
      <c r="C218" s="81">
        <v>39</v>
      </c>
      <c r="D218" s="36" t="s">
        <v>506</v>
      </c>
      <c r="E218" s="37">
        <v>44341</v>
      </c>
      <c r="F218" s="38" t="s">
        <v>282</v>
      </c>
      <c r="G218" s="40" t="s">
        <v>507</v>
      </c>
      <c r="H218" s="71">
        <v>0</v>
      </c>
      <c r="I218" s="50">
        <v>45435</v>
      </c>
      <c r="J218" s="42">
        <v>10.06270694732666</v>
      </c>
      <c r="K218" s="42">
        <v>10.0960693359375</v>
      </c>
      <c r="L218" s="44">
        <v>32752000</v>
      </c>
      <c r="M218" s="44">
        <v>32087330</v>
      </c>
      <c r="N218" s="46">
        <f t="shared" ref="N218:N262" si="20">AVERAGE(L218:M218)</f>
        <v>32419665</v>
      </c>
      <c r="O218" s="46">
        <f t="shared" ref="O218:O262" si="21">STDEVA(L218:M218)</f>
        <v>469992.66425126255</v>
      </c>
      <c r="P218" s="46">
        <f t="shared" si="17"/>
        <v>1.4497147464394298</v>
      </c>
      <c r="Q218" s="66">
        <f t="shared" si="18"/>
        <v>2269376550</v>
      </c>
      <c r="R218" s="80">
        <f t="shared" si="19"/>
        <v>4538753.0999999996</v>
      </c>
      <c r="S218" s="29" t="s">
        <v>1476</v>
      </c>
    </row>
    <row r="219" spans="1:19">
      <c r="A219" s="32">
        <v>16</v>
      </c>
      <c r="B219" s="32">
        <v>410</v>
      </c>
      <c r="C219" s="81">
        <v>32</v>
      </c>
      <c r="D219" s="36" t="s">
        <v>1092</v>
      </c>
      <c r="E219" s="37">
        <v>44375</v>
      </c>
      <c r="F219" s="38" t="s">
        <v>282</v>
      </c>
      <c r="G219" s="40" t="s">
        <v>1093</v>
      </c>
      <c r="H219" s="71">
        <v>5</v>
      </c>
      <c r="I219" s="48">
        <v>45474</v>
      </c>
      <c r="J219" s="42">
        <v>10.83489990234375</v>
      </c>
      <c r="K219" s="42">
        <v>10.932761192321777</v>
      </c>
      <c r="L219" s="44">
        <v>21546076</v>
      </c>
      <c r="M219" s="44">
        <v>20313788</v>
      </c>
      <c r="N219" s="46">
        <f t="shared" si="20"/>
        <v>20929932</v>
      </c>
      <c r="O219" s="46">
        <f t="shared" si="21"/>
        <v>871359.20117480832</v>
      </c>
      <c r="P219" s="46">
        <f t="shared" si="17"/>
        <v>4.1632204116803067</v>
      </c>
      <c r="Q219" s="66">
        <f t="shared" si="18"/>
        <v>1465095240</v>
      </c>
      <c r="R219" s="80">
        <f t="shared" si="19"/>
        <v>2930190.48</v>
      </c>
      <c r="S219" s="29" t="s">
        <v>1476</v>
      </c>
    </row>
    <row r="220" spans="1:19">
      <c r="A220" s="32">
        <v>16</v>
      </c>
      <c r="B220" s="32">
        <v>420</v>
      </c>
      <c r="C220" s="81">
        <v>33</v>
      </c>
      <c r="D220" s="36" t="s">
        <v>1094</v>
      </c>
      <c r="E220" s="37">
        <v>44410</v>
      </c>
      <c r="F220" s="38" t="s">
        <v>282</v>
      </c>
      <c r="G220" s="40" t="s">
        <v>1095</v>
      </c>
      <c r="H220" s="71">
        <v>0</v>
      </c>
      <c r="I220" s="48">
        <v>45474</v>
      </c>
      <c r="J220" s="42">
        <v>9.0873336791992188</v>
      </c>
      <c r="K220" s="42">
        <v>9.4715242385864258</v>
      </c>
      <c r="L220" s="44">
        <v>61676100</v>
      </c>
      <c r="M220" s="44">
        <v>48944492</v>
      </c>
      <c r="N220" s="46">
        <f t="shared" si="20"/>
        <v>55310296</v>
      </c>
      <c r="O220" s="46">
        <f t="shared" si="21"/>
        <v>9002606.3522088975</v>
      </c>
      <c r="P220" s="46">
        <f t="shared" si="17"/>
        <v>16.276547050496525</v>
      </c>
      <c r="Q220" s="66">
        <f t="shared" si="18"/>
        <v>3871720720</v>
      </c>
      <c r="R220" s="80">
        <f t="shared" si="19"/>
        <v>7743441.4400000004</v>
      </c>
      <c r="S220" s="29" t="s">
        <v>1476</v>
      </c>
    </row>
    <row r="221" spans="1:19">
      <c r="A221" s="32">
        <v>16</v>
      </c>
      <c r="B221" s="32">
        <v>430</v>
      </c>
      <c r="C221" s="81">
        <v>34</v>
      </c>
      <c r="D221" s="36" t="s">
        <v>1096</v>
      </c>
      <c r="E221" s="37">
        <v>44445</v>
      </c>
      <c r="F221" s="38" t="s">
        <v>282</v>
      </c>
      <c r="G221" s="40" t="s">
        <v>1097</v>
      </c>
      <c r="H221" s="71">
        <v>5</v>
      </c>
      <c r="I221" s="48">
        <v>45474</v>
      </c>
      <c r="J221" s="42">
        <v>8.1494741439819336</v>
      </c>
      <c r="K221" s="42">
        <v>8.5365142822265625</v>
      </c>
      <c r="L221" s="44">
        <v>108452224</v>
      </c>
      <c r="M221" s="44">
        <v>85917296</v>
      </c>
      <c r="N221" s="46">
        <f t="shared" si="20"/>
        <v>97184760</v>
      </c>
      <c r="O221" s="46">
        <f t="shared" si="21"/>
        <v>15934600.402350603</v>
      </c>
      <c r="P221" s="46">
        <f t="shared" si="17"/>
        <v>16.396192574175831</v>
      </c>
      <c r="Q221" s="66">
        <f t="shared" si="18"/>
        <v>6802933200</v>
      </c>
      <c r="R221" s="80">
        <f t="shared" si="19"/>
        <v>13605866.4</v>
      </c>
      <c r="S221" s="29" t="s">
        <v>1476</v>
      </c>
    </row>
    <row r="222" spans="1:19">
      <c r="A222" s="32">
        <v>16</v>
      </c>
      <c r="B222" s="32">
        <v>440</v>
      </c>
      <c r="C222" s="81">
        <v>35</v>
      </c>
      <c r="D222" s="36" t="s">
        <v>1098</v>
      </c>
      <c r="E222" s="37">
        <v>44480</v>
      </c>
      <c r="F222" s="38" t="s">
        <v>282</v>
      </c>
      <c r="G222" s="40" t="s">
        <v>1099</v>
      </c>
      <c r="H222" s="71">
        <v>0</v>
      </c>
      <c r="I222" s="48">
        <v>45474</v>
      </c>
      <c r="J222" s="42">
        <v>8.7125530242919922</v>
      </c>
      <c r="K222" s="42">
        <v>8.8395900726318359</v>
      </c>
      <c r="L222" s="44">
        <v>77280624</v>
      </c>
      <c r="M222" s="44">
        <v>71592552</v>
      </c>
      <c r="N222" s="46">
        <f t="shared" si="20"/>
        <v>74436588</v>
      </c>
      <c r="O222" s="46">
        <f t="shared" si="21"/>
        <v>4022074.2830773275</v>
      </c>
      <c r="P222" s="46">
        <f t="shared" si="17"/>
        <v>5.4033565900109872</v>
      </c>
      <c r="Q222" s="66">
        <f t="shared" si="18"/>
        <v>5210561160</v>
      </c>
      <c r="R222" s="80">
        <f t="shared" si="19"/>
        <v>10421122.32</v>
      </c>
      <c r="S222" s="29" t="s">
        <v>1476</v>
      </c>
    </row>
    <row r="223" spans="1:19">
      <c r="A223" s="32">
        <v>16</v>
      </c>
      <c r="B223" s="32">
        <v>450</v>
      </c>
      <c r="C223" s="81">
        <v>40</v>
      </c>
      <c r="D223" s="36" t="s">
        <v>508</v>
      </c>
      <c r="E223" s="37">
        <v>44515</v>
      </c>
      <c r="F223" s="38" t="s">
        <v>282</v>
      </c>
      <c r="G223" s="40" t="s">
        <v>509</v>
      </c>
      <c r="H223" s="71">
        <v>0</v>
      </c>
      <c r="I223" s="50">
        <v>45435</v>
      </c>
      <c r="J223" s="42">
        <v>9.1153249740600586</v>
      </c>
      <c r="K223" s="42">
        <v>9.1736717224121094</v>
      </c>
      <c r="L223" s="44">
        <v>58625800</v>
      </c>
      <c r="M223" s="44">
        <v>56560904</v>
      </c>
      <c r="N223" s="46">
        <f t="shared" si="20"/>
        <v>57593352</v>
      </c>
      <c r="O223" s="46">
        <f t="shared" si="21"/>
        <v>1460101.9640449772</v>
      </c>
      <c r="P223" s="46">
        <f t="shared" si="17"/>
        <v>2.5351918465259273</v>
      </c>
      <c r="Q223" s="66">
        <f t="shared" si="18"/>
        <v>4031534640</v>
      </c>
      <c r="R223" s="80">
        <f t="shared" si="19"/>
        <v>8063069.2800000003</v>
      </c>
      <c r="S223" s="29" t="s">
        <v>1476</v>
      </c>
    </row>
    <row r="224" spans="1:19">
      <c r="A224" s="32">
        <v>16</v>
      </c>
      <c r="B224" s="32">
        <v>460</v>
      </c>
      <c r="C224" s="81">
        <v>31</v>
      </c>
      <c r="D224" s="36" t="s">
        <v>575</v>
      </c>
      <c r="E224" s="37">
        <v>44550</v>
      </c>
      <c r="F224" s="38" t="s">
        <v>282</v>
      </c>
      <c r="G224" s="40" t="s">
        <v>576</v>
      </c>
      <c r="H224" s="71">
        <v>0</v>
      </c>
      <c r="I224" s="50">
        <v>45454</v>
      </c>
      <c r="J224" s="42">
        <v>8.6590414047241211</v>
      </c>
      <c r="K224" s="42">
        <v>8.6323375701904297</v>
      </c>
      <c r="L224" s="44">
        <v>140021200</v>
      </c>
      <c r="M224" s="44">
        <v>142296144</v>
      </c>
      <c r="N224" s="46">
        <f t="shared" si="20"/>
        <v>141158672</v>
      </c>
      <c r="O224" s="46">
        <f t="shared" si="21"/>
        <v>1608628.3292196491</v>
      </c>
      <c r="P224" s="46">
        <f t="shared" si="17"/>
        <v>1.1395887382814491</v>
      </c>
      <c r="Q224" s="66">
        <f t="shared" si="18"/>
        <v>9881107040</v>
      </c>
      <c r="R224" s="80">
        <f t="shared" si="19"/>
        <v>19762214.079999998</v>
      </c>
      <c r="S224" s="29" t="s">
        <v>1476</v>
      </c>
    </row>
    <row r="225" spans="1:19">
      <c r="A225" s="32">
        <v>16</v>
      </c>
      <c r="B225" s="32">
        <v>470</v>
      </c>
      <c r="C225" s="81">
        <v>32</v>
      </c>
      <c r="D225" s="36" t="s">
        <v>577</v>
      </c>
      <c r="E225" s="37">
        <v>44585</v>
      </c>
      <c r="F225" s="38" t="s">
        <v>282</v>
      </c>
      <c r="G225" s="40" t="s">
        <v>578</v>
      </c>
      <c r="H225" s="71">
        <v>0</v>
      </c>
      <c r="I225" s="50">
        <v>45454</v>
      </c>
      <c r="J225" s="42">
        <v>9.5006198883056641</v>
      </c>
      <c r="K225" s="42">
        <v>9.9042415618896484</v>
      </c>
      <c r="L225" s="44">
        <v>84257416</v>
      </c>
      <c r="M225" s="44">
        <v>66041216</v>
      </c>
      <c r="N225" s="46">
        <f t="shared" si="20"/>
        <v>75149316</v>
      </c>
      <c r="O225" s="46">
        <f t="shared" si="21"/>
        <v>12880798.547450388</v>
      </c>
      <c r="P225" s="46">
        <f t="shared" si="17"/>
        <v>17.140273834894767</v>
      </c>
      <c r="Q225" s="66">
        <f t="shared" si="18"/>
        <v>5260452120</v>
      </c>
      <c r="R225" s="80">
        <f t="shared" si="19"/>
        <v>10520904.24</v>
      </c>
      <c r="S225" s="29" t="s">
        <v>1476</v>
      </c>
    </row>
    <row r="226" spans="1:19">
      <c r="A226" s="32">
        <v>16</v>
      </c>
      <c r="B226" s="32">
        <v>480</v>
      </c>
      <c r="C226" s="81">
        <v>33</v>
      </c>
      <c r="D226" s="36" t="s">
        <v>579</v>
      </c>
      <c r="E226" s="37">
        <v>44620</v>
      </c>
      <c r="F226" s="38" t="s">
        <v>282</v>
      </c>
      <c r="G226" s="40" t="s">
        <v>580</v>
      </c>
      <c r="H226" s="71">
        <v>0</v>
      </c>
      <c r="I226" s="50">
        <v>45454</v>
      </c>
      <c r="J226" s="42">
        <v>8.6395578384399414</v>
      </c>
      <c r="K226" s="42">
        <v>8.5757532119750977</v>
      </c>
      <c r="L226" s="44">
        <v>141677424</v>
      </c>
      <c r="M226" s="44">
        <v>147239536</v>
      </c>
      <c r="N226" s="46">
        <f t="shared" si="20"/>
        <v>144458480</v>
      </c>
      <c r="O226" s="46">
        <f t="shared" si="21"/>
        <v>3933007.1129190703</v>
      </c>
      <c r="P226" s="46">
        <f t="shared" si="17"/>
        <v>2.7225865265362548</v>
      </c>
      <c r="Q226" s="66">
        <f t="shared" si="18"/>
        <v>10112093600</v>
      </c>
      <c r="R226" s="80">
        <f t="shared" si="19"/>
        <v>20224187.199999999</v>
      </c>
      <c r="S226" s="29" t="s">
        <v>1476</v>
      </c>
    </row>
    <row r="227" spans="1:19">
      <c r="A227" s="32">
        <v>16</v>
      </c>
      <c r="B227" s="32">
        <v>490</v>
      </c>
      <c r="C227" s="81">
        <v>34</v>
      </c>
      <c r="D227" s="36" t="s">
        <v>581</v>
      </c>
      <c r="E227" s="37">
        <v>44655</v>
      </c>
      <c r="F227" s="38" t="s">
        <v>282</v>
      </c>
      <c r="G227" s="40" t="s">
        <v>582</v>
      </c>
      <c r="H227" s="71">
        <v>5</v>
      </c>
      <c r="I227" s="50">
        <v>45454</v>
      </c>
      <c r="J227" s="42">
        <v>8.8481273651123047</v>
      </c>
      <c r="K227" s="42">
        <v>9.070918083190918</v>
      </c>
      <c r="L227" s="44">
        <v>124920176</v>
      </c>
      <c r="M227" s="44">
        <v>109203616</v>
      </c>
      <c r="N227" s="46">
        <f t="shared" si="20"/>
        <v>117061896</v>
      </c>
      <c r="O227" s="46">
        <f t="shared" si="21"/>
        <v>11113286.152925245</v>
      </c>
      <c r="P227" s="46">
        <f t="shared" si="17"/>
        <v>9.4935128617131284</v>
      </c>
      <c r="Q227" s="66">
        <f t="shared" si="18"/>
        <v>8194332720</v>
      </c>
      <c r="R227" s="80">
        <f t="shared" si="19"/>
        <v>16388665.439999999</v>
      </c>
      <c r="S227" s="29" t="s">
        <v>1476</v>
      </c>
    </row>
    <row r="228" spans="1:19">
      <c r="A228" s="32">
        <v>16</v>
      </c>
      <c r="B228" s="32">
        <v>500</v>
      </c>
      <c r="C228" s="81">
        <v>35</v>
      </c>
      <c r="D228" s="36" t="s">
        <v>583</v>
      </c>
      <c r="E228" s="37">
        <v>44697</v>
      </c>
      <c r="F228" s="38" t="s">
        <v>282</v>
      </c>
      <c r="G228" s="40" t="s">
        <v>584</v>
      </c>
      <c r="H228" s="71">
        <v>5</v>
      </c>
      <c r="I228" s="50">
        <v>45454</v>
      </c>
      <c r="J228" s="42">
        <v>8.9296150207519531</v>
      </c>
      <c r="K228" s="42">
        <v>9.012120246887207</v>
      </c>
      <c r="L228" s="29">
        <v>118925200</v>
      </c>
      <c r="M228" s="29">
        <v>113148424</v>
      </c>
      <c r="N228" s="46">
        <f t="shared" si="20"/>
        <v>116036812</v>
      </c>
      <c r="O228" s="46">
        <f t="shared" si="21"/>
        <v>4084797.4829956992</v>
      </c>
      <c r="P228" s="46">
        <f t="shared" si="17"/>
        <v>3.5202600042094394</v>
      </c>
      <c r="Q228" s="66">
        <f t="shared" si="18"/>
        <v>8122576840</v>
      </c>
      <c r="R228" s="80">
        <f t="shared" si="19"/>
        <v>16245153.68</v>
      </c>
      <c r="S228" s="29" t="s">
        <v>1476</v>
      </c>
    </row>
    <row r="229" spans="1:19">
      <c r="A229" s="32">
        <v>16</v>
      </c>
      <c r="B229" s="32">
        <v>510</v>
      </c>
      <c r="C229" s="81">
        <v>36</v>
      </c>
      <c r="D229" s="36" t="s">
        <v>585</v>
      </c>
      <c r="E229" s="37">
        <v>44732</v>
      </c>
      <c r="F229" s="38" t="s">
        <v>282</v>
      </c>
      <c r="G229" s="40" t="s">
        <v>586</v>
      </c>
      <c r="H229" s="71">
        <v>5</v>
      </c>
      <c r="I229" s="50">
        <v>45454</v>
      </c>
      <c r="J229" s="42">
        <v>8.8124065399169922</v>
      </c>
      <c r="K229" s="42">
        <v>8.7511081695556641</v>
      </c>
      <c r="L229" s="29">
        <v>127642512</v>
      </c>
      <c r="M229" s="29">
        <v>132453136</v>
      </c>
      <c r="N229" s="46">
        <f t="shared" si="20"/>
        <v>130047824</v>
      </c>
      <c r="O229" s="46">
        <f t="shared" si="21"/>
        <v>3401624.852138754</v>
      </c>
      <c r="P229" s="46">
        <f t="shared" si="17"/>
        <v>2.6156722561838128</v>
      </c>
      <c r="Q229" s="66">
        <f t="shared" si="18"/>
        <v>9103347680</v>
      </c>
      <c r="R229" s="80">
        <f t="shared" si="19"/>
        <v>18206695.359999999</v>
      </c>
      <c r="S229" s="29" t="s">
        <v>1476</v>
      </c>
    </row>
    <row r="230" spans="1:19">
      <c r="A230" s="32">
        <v>16</v>
      </c>
      <c r="B230" s="32">
        <v>520</v>
      </c>
      <c r="C230" s="81">
        <v>37</v>
      </c>
      <c r="D230" s="36" t="s">
        <v>587</v>
      </c>
      <c r="E230" s="37">
        <v>44771</v>
      </c>
      <c r="F230" s="38" t="s">
        <v>282</v>
      </c>
      <c r="G230" s="40" t="s">
        <v>588</v>
      </c>
      <c r="H230" s="71">
        <v>0</v>
      </c>
      <c r="I230" s="50">
        <v>45454</v>
      </c>
      <c r="J230" s="42">
        <v>11.099390029907227</v>
      </c>
      <c r="K230" s="42">
        <v>11.92032527923584</v>
      </c>
      <c r="L230" s="29">
        <v>32103720</v>
      </c>
      <c r="M230" s="29">
        <v>19560522</v>
      </c>
      <c r="N230" s="46">
        <f t="shared" si="20"/>
        <v>25832121</v>
      </c>
      <c r="O230" s="46">
        <f t="shared" si="21"/>
        <v>8869380.3635655399</v>
      </c>
      <c r="P230" s="46">
        <f t="shared" si="17"/>
        <v>34.334696572401235</v>
      </c>
      <c r="Q230" s="66">
        <f t="shared" si="18"/>
        <v>1808248470</v>
      </c>
      <c r="R230" s="80">
        <f t="shared" si="19"/>
        <v>3616496.94</v>
      </c>
      <c r="S230" s="29" t="s">
        <v>1476</v>
      </c>
    </row>
    <row r="231" spans="1:19">
      <c r="A231" s="32">
        <v>16</v>
      </c>
      <c r="B231" s="32">
        <v>530</v>
      </c>
      <c r="C231" s="81">
        <v>38</v>
      </c>
      <c r="D231" s="36" t="s">
        <v>589</v>
      </c>
      <c r="E231" s="37">
        <v>44802</v>
      </c>
      <c r="F231" s="38" t="s">
        <v>282</v>
      </c>
      <c r="G231" s="40" t="s">
        <v>590</v>
      </c>
      <c r="H231" s="71">
        <v>0</v>
      </c>
      <c r="I231" s="50">
        <v>45454</v>
      </c>
      <c r="J231" s="42">
        <v>11.493029594421387</v>
      </c>
      <c r="K231" s="42">
        <v>11.111844062805176</v>
      </c>
      <c r="L231" s="29">
        <v>25315044</v>
      </c>
      <c r="M231" s="29">
        <v>31863320</v>
      </c>
      <c r="N231" s="46">
        <f t="shared" si="20"/>
        <v>28589182</v>
      </c>
      <c r="O231" s="46">
        <f t="shared" si="21"/>
        <v>4630330.364681121</v>
      </c>
      <c r="P231" s="46">
        <f t="shared" si="17"/>
        <v>16.196092510380748</v>
      </c>
      <c r="Q231" s="66">
        <f t="shared" si="18"/>
        <v>2001242740</v>
      </c>
      <c r="R231" s="80">
        <f t="shared" si="19"/>
        <v>4002485.48</v>
      </c>
      <c r="S231" s="29" t="s">
        <v>1476</v>
      </c>
    </row>
    <row r="232" spans="1:19">
      <c r="A232" s="32">
        <v>16</v>
      </c>
      <c r="B232" s="32">
        <v>540</v>
      </c>
      <c r="C232" s="81">
        <v>39</v>
      </c>
      <c r="D232" s="36" t="s">
        <v>591</v>
      </c>
      <c r="E232" s="37">
        <v>44837</v>
      </c>
      <c r="F232" s="38" t="s">
        <v>282</v>
      </c>
      <c r="G232" s="40" t="s">
        <v>592</v>
      </c>
      <c r="H232" s="71">
        <v>0</v>
      </c>
      <c r="I232" s="50">
        <v>45454</v>
      </c>
      <c r="J232" s="42">
        <v>12.259126663208008</v>
      </c>
      <c r="K232" s="42">
        <v>12.683901786804199</v>
      </c>
      <c r="L232" s="29">
        <v>15943270</v>
      </c>
      <c r="M232" s="29">
        <v>12337860</v>
      </c>
      <c r="N232" s="46">
        <f t="shared" si="20"/>
        <v>14140565</v>
      </c>
      <c r="O232" s="46">
        <f t="shared" si="21"/>
        <v>2549409.8599577905</v>
      </c>
      <c r="P232" s="46">
        <f t="shared" si="17"/>
        <v>18.029052304188625</v>
      </c>
      <c r="Q232" s="66">
        <f t="shared" si="18"/>
        <v>989839550</v>
      </c>
      <c r="R232" s="80">
        <f t="shared" si="19"/>
        <v>1979679.1</v>
      </c>
      <c r="S232" s="29" t="s">
        <v>1476</v>
      </c>
    </row>
    <row r="233" spans="1:19">
      <c r="A233" s="32">
        <v>16</v>
      </c>
      <c r="B233" s="32">
        <v>550</v>
      </c>
      <c r="C233" s="81">
        <v>40</v>
      </c>
      <c r="D233" s="36" t="s">
        <v>593</v>
      </c>
      <c r="E233" s="37" t="s">
        <v>528</v>
      </c>
      <c r="F233" s="38" t="s">
        <v>282</v>
      </c>
      <c r="G233" s="40" t="s">
        <v>594</v>
      </c>
      <c r="H233" s="71">
        <v>0</v>
      </c>
      <c r="I233" s="50">
        <v>45454</v>
      </c>
      <c r="J233" s="42">
        <v>11.462224960327148</v>
      </c>
      <c r="K233" s="42">
        <v>11.478941917419434</v>
      </c>
      <c r="L233" s="29">
        <v>25790092</v>
      </c>
      <c r="M233" s="29">
        <v>25531198</v>
      </c>
      <c r="N233" s="46">
        <f t="shared" si="20"/>
        <v>25660645</v>
      </c>
      <c r="O233" s="46">
        <f t="shared" si="21"/>
        <v>183065.70300851003</v>
      </c>
      <c r="P233" s="46">
        <f t="shared" si="17"/>
        <v>0.71341037221983328</v>
      </c>
      <c r="Q233" s="66">
        <f t="shared" si="18"/>
        <v>1796245150</v>
      </c>
      <c r="R233" s="80">
        <f t="shared" si="19"/>
        <v>3592490.3</v>
      </c>
      <c r="S233" s="29" t="s">
        <v>1476</v>
      </c>
    </row>
    <row r="234" spans="1:19">
      <c r="A234" s="32">
        <v>16</v>
      </c>
      <c r="B234" s="32">
        <v>560</v>
      </c>
      <c r="C234" s="81">
        <v>7</v>
      </c>
      <c r="D234" s="36" t="s">
        <v>601</v>
      </c>
      <c r="E234" s="37">
        <v>44550</v>
      </c>
      <c r="F234" s="38" t="s">
        <v>282</v>
      </c>
      <c r="G234" s="40" t="s">
        <v>602</v>
      </c>
      <c r="H234" s="71">
        <v>0</v>
      </c>
      <c r="I234" s="50">
        <v>45454</v>
      </c>
      <c r="J234" s="42">
        <v>12.473546028137207</v>
      </c>
      <c r="K234" s="42">
        <v>12.777947425842285</v>
      </c>
      <c r="L234" s="29">
        <v>19360796</v>
      </c>
      <c r="M234" s="29">
        <v>15325648</v>
      </c>
      <c r="N234" s="46">
        <f t="shared" si="20"/>
        <v>17343222</v>
      </c>
      <c r="O234" s="46">
        <f t="shared" si="21"/>
        <v>2853280.5138913346</v>
      </c>
      <c r="P234" s="46">
        <f t="shared" si="17"/>
        <v>16.451847954730294</v>
      </c>
      <c r="Q234" s="66">
        <f t="shared" si="18"/>
        <v>1214025540</v>
      </c>
      <c r="R234" s="80">
        <f t="shared" si="19"/>
        <v>2428051.08</v>
      </c>
      <c r="S234" s="29" t="s">
        <v>1476</v>
      </c>
    </row>
    <row r="235" spans="1:19">
      <c r="A235" s="32">
        <v>16</v>
      </c>
      <c r="B235" s="32">
        <v>570</v>
      </c>
      <c r="C235" s="81">
        <v>8</v>
      </c>
      <c r="D235" s="36" t="s">
        <v>603</v>
      </c>
      <c r="E235" s="37">
        <v>44585</v>
      </c>
      <c r="F235" s="38" t="s">
        <v>282</v>
      </c>
      <c r="G235" s="40" t="s">
        <v>604</v>
      </c>
      <c r="H235" s="71">
        <v>0</v>
      </c>
      <c r="I235" s="50">
        <v>45454</v>
      </c>
      <c r="J235" s="42">
        <v>10.68226432800293</v>
      </c>
      <c r="K235" s="42">
        <v>10.935330390930176</v>
      </c>
      <c r="L235" s="29">
        <v>76601296</v>
      </c>
      <c r="M235" s="29">
        <v>63073920</v>
      </c>
      <c r="N235" s="46">
        <f t="shared" si="20"/>
        <v>69837608</v>
      </c>
      <c r="O235" s="46">
        <f t="shared" si="21"/>
        <v>9565299.3012601547</v>
      </c>
      <c r="P235" s="46">
        <f t="shared" si="17"/>
        <v>13.696487573371863</v>
      </c>
      <c r="Q235" s="66">
        <f t="shared" si="18"/>
        <v>4888632560</v>
      </c>
      <c r="R235" s="80">
        <f t="shared" si="19"/>
        <v>9777265.1199999992</v>
      </c>
      <c r="S235" s="29" t="s">
        <v>1476</v>
      </c>
    </row>
    <row r="236" spans="1:19">
      <c r="A236" s="32">
        <v>17</v>
      </c>
      <c r="B236" s="32">
        <v>10</v>
      </c>
      <c r="C236" s="81">
        <v>1</v>
      </c>
      <c r="D236" s="36" t="s">
        <v>1359</v>
      </c>
      <c r="E236" s="37">
        <v>42783</v>
      </c>
      <c r="F236" s="38" t="s">
        <v>282</v>
      </c>
      <c r="G236" s="40" t="s">
        <v>605</v>
      </c>
      <c r="H236" s="71">
        <v>5</v>
      </c>
      <c r="I236" s="48">
        <v>45461</v>
      </c>
      <c r="J236" s="42">
        <v>12.786888122558594</v>
      </c>
      <c r="K236" s="42">
        <v>12.674636840820312</v>
      </c>
      <c r="L236" s="44">
        <v>6029472</v>
      </c>
      <c r="M236" s="44">
        <v>6439208.5</v>
      </c>
      <c r="N236" s="46">
        <f t="shared" si="20"/>
        <v>6234340.25</v>
      </c>
      <c r="O236" s="46">
        <f t="shared" si="21"/>
        <v>289727.45764964184</v>
      </c>
      <c r="P236" s="46">
        <f t="shared" si="17"/>
        <v>4.6472833697140903</v>
      </c>
      <c r="Q236" s="66">
        <f t="shared" si="18"/>
        <v>436403817.5</v>
      </c>
    </row>
    <row r="237" spans="1:19">
      <c r="A237" s="32">
        <v>17</v>
      </c>
      <c r="B237" s="32">
        <v>20</v>
      </c>
      <c r="C237" s="71">
        <v>1</v>
      </c>
      <c r="D237" s="37" t="s">
        <v>1100</v>
      </c>
      <c r="E237" s="37">
        <v>42814</v>
      </c>
      <c r="F237" s="40" t="s">
        <v>282</v>
      </c>
      <c r="G237" s="38" t="s">
        <v>1101</v>
      </c>
      <c r="H237" s="71">
        <v>7</v>
      </c>
      <c r="I237" s="48">
        <v>45475</v>
      </c>
      <c r="J237" s="42">
        <v>12.312241554260254</v>
      </c>
      <c r="K237" s="42">
        <v>12.536127090454102</v>
      </c>
      <c r="L237" s="44">
        <v>17533924</v>
      </c>
      <c r="M237" s="44">
        <v>15402145</v>
      </c>
      <c r="N237" s="46">
        <f t="shared" si="20"/>
        <v>16468034.5</v>
      </c>
      <c r="O237" s="46">
        <f t="shared" si="21"/>
        <v>1507395.386891077</v>
      </c>
      <c r="P237" s="46">
        <f t="shared" si="17"/>
        <v>9.1534626484482846</v>
      </c>
      <c r="Q237" s="66">
        <f t="shared" si="18"/>
        <v>1152762415</v>
      </c>
    </row>
    <row r="238" spans="1:19">
      <c r="A238" s="32">
        <v>17</v>
      </c>
      <c r="B238" s="32">
        <v>30</v>
      </c>
      <c r="C238" s="71">
        <v>2</v>
      </c>
      <c r="D238" s="37" t="s">
        <v>1102</v>
      </c>
      <c r="E238" s="37">
        <v>42849</v>
      </c>
      <c r="F238" s="40" t="s">
        <v>282</v>
      </c>
      <c r="G238" s="38" t="s">
        <v>1103</v>
      </c>
      <c r="H238" s="71">
        <v>10</v>
      </c>
      <c r="I238" s="48">
        <v>45475</v>
      </c>
      <c r="J238" s="42">
        <v>13.129573822021484</v>
      </c>
      <c r="K238" s="42">
        <v>13.415134429931641</v>
      </c>
      <c r="L238" s="44">
        <v>10923303</v>
      </c>
      <c r="M238" s="44">
        <v>9258644</v>
      </c>
      <c r="N238" s="46">
        <f t="shared" si="20"/>
        <v>10090973.5</v>
      </c>
      <c r="O238" s="46">
        <f t="shared" si="21"/>
        <v>1177091.667263217</v>
      </c>
      <c r="P238" s="46">
        <f t="shared" si="17"/>
        <v>11.664797923245136</v>
      </c>
      <c r="Q238" s="66">
        <f t="shared" si="18"/>
        <v>706368145</v>
      </c>
    </row>
    <row r="239" spans="1:19">
      <c r="A239" s="32">
        <v>17</v>
      </c>
      <c r="B239" s="32">
        <v>40</v>
      </c>
      <c r="C239" s="71">
        <v>3</v>
      </c>
      <c r="D239" s="37" t="s">
        <v>1104</v>
      </c>
      <c r="E239" s="37">
        <v>42884</v>
      </c>
      <c r="F239" s="40" t="s">
        <v>282</v>
      </c>
      <c r="G239" s="38" t="s">
        <v>1105</v>
      </c>
      <c r="H239" s="71">
        <v>5</v>
      </c>
      <c r="I239" s="48">
        <v>45475</v>
      </c>
      <c r="J239" s="42">
        <v>15.457557678222656</v>
      </c>
      <c r="K239" s="42">
        <v>15.420328140258789</v>
      </c>
      <c r="L239" s="44">
        <v>2837675.75</v>
      </c>
      <c r="M239" s="44">
        <v>2899509</v>
      </c>
      <c r="N239" s="46">
        <f t="shared" si="20"/>
        <v>2868592.375</v>
      </c>
      <c r="O239" s="46">
        <f t="shared" si="21"/>
        <v>43722.710377803087</v>
      </c>
      <c r="P239" s="46">
        <f t="shared" si="17"/>
        <v>1.5241869412625448</v>
      </c>
      <c r="Q239" s="66">
        <f t="shared" si="18"/>
        <v>200801466.25</v>
      </c>
    </row>
    <row r="240" spans="1:19">
      <c r="A240" s="32">
        <v>17</v>
      </c>
      <c r="B240" s="32">
        <v>50</v>
      </c>
      <c r="C240" s="81">
        <v>2</v>
      </c>
      <c r="D240" s="36" t="s">
        <v>1360</v>
      </c>
      <c r="E240" s="37">
        <v>42940</v>
      </c>
      <c r="F240" s="38" t="s">
        <v>282</v>
      </c>
      <c r="G240" s="40" t="s">
        <v>606</v>
      </c>
      <c r="H240" s="71">
        <v>5</v>
      </c>
      <c r="I240" s="48">
        <v>45461</v>
      </c>
      <c r="J240" s="42">
        <v>13.856040000915527</v>
      </c>
      <c r="K240" s="42">
        <v>13.955114364624023</v>
      </c>
      <c r="L240" s="44">
        <v>3223446</v>
      </c>
      <c r="M240" s="44">
        <v>3041718.25</v>
      </c>
      <c r="N240" s="46">
        <f t="shared" si="20"/>
        <v>3132582.125</v>
      </c>
      <c r="O240" s="46">
        <f t="shared" si="21"/>
        <v>128500.92435477361</v>
      </c>
      <c r="P240" s="46">
        <f t="shared" si="17"/>
        <v>4.1020767924727153</v>
      </c>
      <c r="Q240" s="66">
        <f t="shared" si="18"/>
        <v>219280748.75</v>
      </c>
    </row>
    <row r="241" spans="1:17">
      <c r="A241" s="32">
        <v>17</v>
      </c>
      <c r="B241" s="32">
        <v>60</v>
      </c>
      <c r="C241" s="71">
        <v>4</v>
      </c>
      <c r="D241" s="37" t="s">
        <v>1106</v>
      </c>
      <c r="E241" s="37">
        <v>42975</v>
      </c>
      <c r="F241" s="40" t="s">
        <v>282</v>
      </c>
      <c r="G241" s="38" t="s">
        <v>1107</v>
      </c>
      <c r="H241" s="71">
        <v>10</v>
      </c>
      <c r="I241" s="48">
        <v>45475</v>
      </c>
      <c r="J241" s="42">
        <v>15.677135467529297</v>
      </c>
      <c r="K241" s="42">
        <v>15.683856010437012</v>
      </c>
      <c r="L241" s="44">
        <v>2498895.25</v>
      </c>
      <c r="M241" s="44">
        <v>2489190.5</v>
      </c>
      <c r="N241" s="46">
        <f t="shared" si="20"/>
        <v>2494042.875</v>
      </c>
      <c r="O241" s="46">
        <f t="shared" si="21"/>
        <v>6862.2945347201467</v>
      </c>
      <c r="P241" s="46">
        <f t="shared" si="17"/>
        <v>0.2751474164099984</v>
      </c>
      <c r="Q241" s="66">
        <f t="shared" si="18"/>
        <v>174583001.25</v>
      </c>
    </row>
    <row r="242" spans="1:17">
      <c r="A242" s="32">
        <v>17</v>
      </c>
      <c r="B242" s="32">
        <v>70</v>
      </c>
      <c r="C242" s="71">
        <v>5</v>
      </c>
      <c r="D242" s="37" t="s">
        <v>1108</v>
      </c>
      <c r="E242" s="37">
        <v>43010</v>
      </c>
      <c r="F242" s="40" t="s">
        <v>282</v>
      </c>
      <c r="G242" s="38" t="s">
        <v>1109</v>
      </c>
      <c r="H242" s="71">
        <v>10</v>
      </c>
      <c r="I242" s="48">
        <v>45475</v>
      </c>
      <c r="J242" s="42">
        <v>14.626873970031738</v>
      </c>
      <c r="K242" s="42">
        <v>14.523022651672363</v>
      </c>
      <c r="L242" s="44">
        <v>4590344</v>
      </c>
      <c r="M242" s="44">
        <v>4874830.5</v>
      </c>
      <c r="N242" s="46">
        <f t="shared" si="20"/>
        <v>4732587.25</v>
      </c>
      <c r="O242" s="46">
        <f t="shared" si="21"/>
        <v>201162.33330602676</v>
      </c>
      <c r="P242" s="46">
        <f t="shared" si="17"/>
        <v>4.2505784400705293</v>
      </c>
      <c r="Q242" s="66">
        <f t="shared" si="18"/>
        <v>331281107.5</v>
      </c>
    </row>
    <row r="243" spans="1:17">
      <c r="A243" s="32">
        <v>17</v>
      </c>
      <c r="B243" s="32">
        <v>80</v>
      </c>
      <c r="C243" s="71">
        <v>6</v>
      </c>
      <c r="D243" s="37" t="s">
        <v>1110</v>
      </c>
      <c r="E243" s="37">
        <v>43045</v>
      </c>
      <c r="F243" s="40" t="s">
        <v>282</v>
      </c>
      <c r="G243" s="38" t="s">
        <v>1111</v>
      </c>
      <c r="H243" s="71">
        <v>5</v>
      </c>
      <c r="I243" s="48">
        <v>45475</v>
      </c>
      <c r="J243" s="42">
        <v>18.409618377685547</v>
      </c>
      <c r="K243" s="42">
        <v>18.471914291381836</v>
      </c>
      <c r="L243" s="44">
        <v>513620.25</v>
      </c>
      <c r="M243" s="44">
        <v>495424.28125</v>
      </c>
      <c r="N243" s="46">
        <f t="shared" si="20"/>
        <v>504522.265625</v>
      </c>
      <c r="O243" s="46">
        <f t="shared" si="21"/>
        <v>12866.492893383507</v>
      </c>
      <c r="P243" s="46">
        <f t="shared" si="17"/>
        <v>2.5502329173608524</v>
      </c>
      <c r="Q243" s="66">
        <f t="shared" si="18"/>
        <v>35316558.59375</v>
      </c>
    </row>
    <row r="244" spans="1:17">
      <c r="A244" s="32">
        <v>17</v>
      </c>
      <c r="B244" s="32">
        <v>90</v>
      </c>
      <c r="C244" s="71">
        <v>7</v>
      </c>
      <c r="D244" s="37" t="s">
        <v>1112</v>
      </c>
      <c r="E244" s="37">
        <v>43080</v>
      </c>
      <c r="F244" s="40" t="s">
        <v>282</v>
      </c>
      <c r="G244" s="38" t="s">
        <v>1113</v>
      </c>
      <c r="H244" s="71">
        <v>10</v>
      </c>
      <c r="I244" s="48">
        <v>45475</v>
      </c>
      <c r="J244" s="42">
        <v>16.351947784423828</v>
      </c>
      <c r="K244" s="42">
        <v>16.162944793701172</v>
      </c>
      <c r="L244" s="44">
        <v>1690677.625</v>
      </c>
      <c r="M244" s="44">
        <v>1886197.625</v>
      </c>
      <c r="N244" s="46">
        <f t="shared" si="20"/>
        <v>1788437.625</v>
      </c>
      <c r="O244" s="46">
        <f t="shared" si="21"/>
        <v>138253.51785759378</v>
      </c>
      <c r="P244" s="46">
        <f t="shared" si="17"/>
        <v>7.7304075873260487</v>
      </c>
      <c r="Q244" s="66">
        <f t="shared" si="18"/>
        <v>125190633.75</v>
      </c>
    </row>
    <row r="245" spans="1:17">
      <c r="A245" s="32">
        <v>17</v>
      </c>
      <c r="B245" s="32">
        <v>100</v>
      </c>
      <c r="C245" s="81">
        <v>3</v>
      </c>
      <c r="D245" s="36" t="s">
        <v>1361</v>
      </c>
      <c r="E245" s="37">
        <v>43136</v>
      </c>
      <c r="F245" s="38" t="s">
        <v>282</v>
      </c>
      <c r="G245" s="40" t="s">
        <v>607</v>
      </c>
      <c r="H245" s="71">
        <v>5</v>
      </c>
      <c r="I245" s="48">
        <v>45461</v>
      </c>
      <c r="J245" s="42">
        <v>14.724213600158691</v>
      </c>
      <c r="K245" s="42">
        <v>14.536629676818848</v>
      </c>
      <c r="L245" s="44">
        <v>1938581.875</v>
      </c>
      <c r="M245" s="44">
        <v>2163713</v>
      </c>
      <c r="N245" s="46">
        <f t="shared" si="20"/>
        <v>2051147.4375</v>
      </c>
      <c r="O245" s="46">
        <f t="shared" si="21"/>
        <v>159191.74514365627</v>
      </c>
      <c r="P245" s="46">
        <f t="shared" si="17"/>
        <v>7.7611068923296873</v>
      </c>
      <c r="Q245" s="66">
        <f t="shared" si="18"/>
        <v>143580320.625</v>
      </c>
    </row>
    <row r="246" spans="1:17">
      <c r="A246" s="32">
        <v>17</v>
      </c>
      <c r="B246" s="32">
        <v>110</v>
      </c>
      <c r="C246" s="71">
        <v>8</v>
      </c>
      <c r="D246" s="37" t="s">
        <v>1114</v>
      </c>
      <c r="E246" s="37">
        <v>43171</v>
      </c>
      <c r="F246" s="40" t="s">
        <v>282</v>
      </c>
      <c r="G246" s="38" t="s">
        <v>1115</v>
      </c>
      <c r="H246" s="71">
        <v>10</v>
      </c>
      <c r="I246" s="48">
        <v>45475</v>
      </c>
      <c r="J246" s="42">
        <v>14.614715576171875</v>
      </c>
      <c r="K246" s="42">
        <v>14.097312927246094</v>
      </c>
      <c r="L246" s="44">
        <v>4622772.5</v>
      </c>
      <c r="M246" s="44">
        <v>6237460.5</v>
      </c>
      <c r="N246" s="46">
        <f t="shared" si="20"/>
        <v>5430116.5</v>
      </c>
      <c r="O246" s="46">
        <f t="shared" si="21"/>
        <v>1141756.8343005441</v>
      </c>
      <c r="P246" s="46">
        <f t="shared" si="17"/>
        <v>21.02637824253944</v>
      </c>
      <c r="Q246" s="66">
        <f t="shared" si="18"/>
        <v>380108155</v>
      </c>
    </row>
    <row r="247" spans="1:17">
      <c r="A247" s="32">
        <v>17</v>
      </c>
      <c r="B247" s="32">
        <v>120</v>
      </c>
      <c r="C247" s="71">
        <v>9</v>
      </c>
      <c r="D247" s="37" t="s">
        <v>1116</v>
      </c>
      <c r="E247" s="37">
        <v>43206</v>
      </c>
      <c r="F247" s="40" t="s">
        <v>282</v>
      </c>
      <c r="G247" s="38" t="s">
        <v>1117</v>
      </c>
      <c r="H247" s="71">
        <v>10</v>
      </c>
      <c r="I247" s="48">
        <v>45475</v>
      </c>
      <c r="J247" s="42">
        <v>15.376116752624512</v>
      </c>
      <c r="K247" s="42">
        <v>15.078370094299316</v>
      </c>
      <c r="L247" s="44">
        <v>2974690.5</v>
      </c>
      <c r="M247" s="44">
        <v>3534375.5</v>
      </c>
      <c r="N247" s="46">
        <f t="shared" si="20"/>
        <v>3254533</v>
      </c>
      <c r="O247" s="46">
        <f t="shared" si="21"/>
        <v>395757.05882839282</v>
      </c>
      <c r="P247" s="46">
        <f t="shared" si="17"/>
        <v>12.160179627258131</v>
      </c>
      <c r="Q247" s="66">
        <f t="shared" si="18"/>
        <v>227817310</v>
      </c>
    </row>
    <row r="248" spans="1:17">
      <c r="A248" s="32">
        <v>17</v>
      </c>
      <c r="B248" s="32">
        <v>130</v>
      </c>
      <c r="C248" s="71">
        <v>10</v>
      </c>
      <c r="D248" s="37" t="s">
        <v>1118</v>
      </c>
      <c r="E248" s="37">
        <v>43242</v>
      </c>
      <c r="F248" s="40" t="s">
        <v>282</v>
      </c>
      <c r="G248" s="38" t="s">
        <v>1119</v>
      </c>
      <c r="H248" s="71">
        <v>0</v>
      </c>
      <c r="I248" s="48">
        <v>45475</v>
      </c>
      <c r="J248" s="60">
        <v>17.011613845825195</v>
      </c>
      <c r="K248" s="60">
        <v>16.945356369018555</v>
      </c>
      <c r="L248" s="46">
        <v>1153937.25</v>
      </c>
      <c r="M248" s="46">
        <v>1199066.25</v>
      </c>
      <c r="N248" s="46">
        <f t="shared" si="20"/>
        <v>1176501.75</v>
      </c>
      <c r="O248" s="46">
        <f t="shared" si="21"/>
        <v>31911.021928167702</v>
      </c>
      <c r="P248" s="46">
        <f t="shared" si="17"/>
        <v>2.7123650201257838</v>
      </c>
      <c r="Q248" s="66">
        <f t="shared" si="18"/>
        <v>82355122.5</v>
      </c>
    </row>
    <row r="249" spans="1:17">
      <c r="A249" s="32">
        <v>17</v>
      </c>
      <c r="B249" s="32">
        <v>140</v>
      </c>
      <c r="C249" s="71">
        <v>11</v>
      </c>
      <c r="D249" s="37" t="s">
        <v>1120</v>
      </c>
      <c r="E249" s="37">
        <v>43276</v>
      </c>
      <c r="F249" s="40" t="s">
        <v>282</v>
      </c>
      <c r="G249" s="38" t="s">
        <v>1121</v>
      </c>
      <c r="H249" s="71">
        <v>0</v>
      </c>
      <c r="I249" s="48">
        <v>45475</v>
      </c>
      <c r="J249" s="60">
        <v>14.091026306152344</v>
      </c>
      <c r="K249" s="60">
        <v>14.076248168945312</v>
      </c>
      <c r="L249" s="46">
        <v>6260206</v>
      </c>
      <c r="M249" s="46">
        <v>6314002</v>
      </c>
      <c r="N249" s="46">
        <f t="shared" si="20"/>
        <v>6287104</v>
      </c>
      <c r="O249" s="46">
        <f t="shared" si="21"/>
        <v>38039.516400711509</v>
      </c>
      <c r="P249" s="46">
        <f t="shared" si="17"/>
        <v>0.60504035563451009</v>
      </c>
      <c r="Q249" s="66">
        <f t="shared" si="18"/>
        <v>440097280</v>
      </c>
    </row>
    <row r="250" spans="1:17">
      <c r="A250" s="32">
        <v>17</v>
      </c>
      <c r="B250" s="32">
        <v>150</v>
      </c>
      <c r="C250" s="81">
        <v>4</v>
      </c>
      <c r="D250" s="36" t="s">
        <v>1362</v>
      </c>
      <c r="E250" s="37">
        <v>43311</v>
      </c>
      <c r="F250" s="38" t="s">
        <v>282</v>
      </c>
      <c r="G250" s="40" t="s">
        <v>608</v>
      </c>
      <c r="H250" s="71">
        <v>0</v>
      </c>
      <c r="I250" s="48">
        <v>45461</v>
      </c>
      <c r="J250" s="42">
        <v>16.643678665161133</v>
      </c>
      <c r="K250" s="42">
        <v>16.291805267333984</v>
      </c>
      <c r="L250" s="44">
        <v>629842.75</v>
      </c>
      <c r="M250" s="44">
        <v>773994.3125</v>
      </c>
      <c r="N250" s="46">
        <f t="shared" si="20"/>
        <v>701918.53125</v>
      </c>
      <c r="O250" s="46">
        <f t="shared" si="21"/>
        <v>101930.54736238642</v>
      </c>
      <c r="P250" s="46">
        <f t="shared" si="17"/>
        <v>14.521706269937779</v>
      </c>
      <c r="Q250" s="66">
        <f t="shared" si="18"/>
        <v>49134297.1875</v>
      </c>
    </row>
    <row r="251" spans="1:17">
      <c r="A251" s="32">
        <v>17</v>
      </c>
      <c r="B251" s="32">
        <v>160</v>
      </c>
      <c r="C251" s="71">
        <v>12</v>
      </c>
      <c r="D251" s="37" t="s">
        <v>1122</v>
      </c>
      <c r="E251" s="37">
        <v>43346</v>
      </c>
      <c r="F251" s="40" t="s">
        <v>282</v>
      </c>
      <c r="G251" s="38" t="s">
        <v>1123</v>
      </c>
      <c r="H251" s="71">
        <v>0</v>
      </c>
      <c r="I251" s="48">
        <v>45475</v>
      </c>
      <c r="J251" s="60">
        <v>16.75444221496582</v>
      </c>
      <c r="K251" s="60">
        <v>16.701913833618164</v>
      </c>
      <c r="L251" s="46">
        <v>1339214.625</v>
      </c>
      <c r="M251" s="46">
        <v>1380571.375</v>
      </c>
      <c r="N251" s="46">
        <f t="shared" si="20"/>
        <v>1359893</v>
      </c>
      <c r="O251" s="46">
        <f t="shared" si="21"/>
        <v>29243.638372836751</v>
      </c>
      <c r="P251" s="46">
        <f t="shared" si="17"/>
        <v>2.1504367161855198</v>
      </c>
      <c r="Q251" s="66">
        <f t="shared" si="18"/>
        <v>95192510</v>
      </c>
    </row>
    <row r="252" spans="1:17">
      <c r="A252" s="32">
        <v>17</v>
      </c>
      <c r="B252" s="32">
        <v>170</v>
      </c>
      <c r="C252" s="71">
        <v>13</v>
      </c>
      <c r="D252" s="37" t="s">
        <v>1124</v>
      </c>
      <c r="E252" s="37">
        <v>43381</v>
      </c>
      <c r="F252" s="40" t="s">
        <v>282</v>
      </c>
      <c r="G252" s="38" t="s">
        <v>1125</v>
      </c>
      <c r="H252" s="71">
        <v>0</v>
      </c>
      <c r="I252" s="48">
        <v>45475</v>
      </c>
      <c r="J252" s="60">
        <v>14.586101531982422</v>
      </c>
      <c r="K252" s="60">
        <v>14.727470397949219</v>
      </c>
      <c r="L252" s="46">
        <v>4699999</v>
      </c>
      <c r="M252" s="46">
        <v>4330613</v>
      </c>
      <c r="N252" s="46">
        <f t="shared" si="20"/>
        <v>4515306</v>
      </c>
      <c r="O252" s="46">
        <f t="shared" si="21"/>
        <v>261195.34547537405</v>
      </c>
      <c r="P252" s="46">
        <f t="shared" si="17"/>
        <v>5.7846654351969509</v>
      </c>
      <c r="Q252" s="66">
        <f t="shared" si="18"/>
        <v>316071420</v>
      </c>
    </row>
    <row r="253" spans="1:17">
      <c r="A253" s="32">
        <v>17</v>
      </c>
      <c r="B253" s="32">
        <v>180</v>
      </c>
      <c r="C253" s="71">
        <v>14</v>
      </c>
      <c r="D253" s="37" t="s">
        <v>1126</v>
      </c>
      <c r="E253" s="37">
        <v>43416</v>
      </c>
      <c r="F253" s="40" t="s">
        <v>282</v>
      </c>
      <c r="G253" s="38" t="s">
        <v>1127</v>
      </c>
      <c r="H253" s="71">
        <v>0</v>
      </c>
      <c r="I253" s="48">
        <v>45475</v>
      </c>
      <c r="J253" s="60">
        <v>15.83725643157959</v>
      </c>
      <c r="K253" s="60">
        <v>15.961709976196289</v>
      </c>
      <c r="L253" s="46">
        <v>2277636</v>
      </c>
      <c r="M253" s="46">
        <v>2119285.25</v>
      </c>
      <c r="N253" s="46">
        <f t="shared" si="20"/>
        <v>2198460.625</v>
      </c>
      <c r="O253" s="46">
        <f t="shared" si="21"/>
        <v>111970.88913097569</v>
      </c>
      <c r="P253" s="46">
        <f t="shared" si="17"/>
        <v>5.093149627411484</v>
      </c>
      <c r="Q253" s="66">
        <f t="shared" si="18"/>
        <v>153892243.75</v>
      </c>
    </row>
    <row r="254" spans="1:17">
      <c r="A254" s="32">
        <v>17</v>
      </c>
      <c r="B254" s="32">
        <v>190</v>
      </c>
      <c r="C254" s="71">
        <v>15</v>
      </c>
      <c r="D254" s="37" t="s">
        <v>1128</v>
      </c>
      <c r="E254" s="37">
        <v>43451</v>
      </c>
      <c r="F254" s="40" t="s">
        <v>282</v>
      </c>
      <c r="G254" s="38" t="s">
        <v>1129</v>
      </c>
      <c r="H254" s="71">
        <v>5</v>
      </c>
      <c r="I254" s="48">
        <v>45475</v>
      </c>
      <c r="J254" s="60">
        <v>14.615647315979004</v>
      </c>
      <c r="K254" s="60">
        <v>14.257925987243652</v>
      </c>
      <c r="L254" s="46">
        <v>4620279.5</v>
      </c>
      <c r="M254" s="46">
        <v>5683558</v>
      </c>
      <c r="N254" s="46">
        <f t="shared" si="20"/>
        <v>5151918.75</v>
      </c>
      <c r="O254" s="46">
        <f t="shared" si="21"/>
        <v>751851.43763986044</v>
      </c>
      <c r="P254" s="46">
        <f t="shared" si="17"/>
        <v>14.593619855512289</v>
      </c>
      <c r="Q254" s="66">
        <f t="shared" si="18"/>
        <v>360634312.5</v>
      </c>
    </row>
    <row r="255" spans="1:17">
      <c r="A255" s="32">
        <v>17</v>
      </c>
      <c r="B255" s="32">
        <v>200</v>
      </c>
      <c r="C255" s="81">
        <v>5</v>
      </c>
      <c r="D255" s="36" t="s">
        <v>1363</v>
      </c>
      <c r="E255" s="37">
        <v>43549</v>
      </c>
      <c r="F255" s="38" t="s">
        <v>282</v>
      </c>
      <c r="G255" s="40" t="s">
        <v>609</v>
      </c>
      <c r="H255" s="71">
        <v>0</v>
      </c>
      <c r="I255" s="48">
        <v>45461</v>
      </c>
      <c r="J255" s="42">
        <v>14.359246253967285</v>
      </c>
      <c r="K255" s="42">
        <v>13.588129043579102</v>
      </c>
      <c r="L255" s="44">
        <v>2400603.5</v>
      </c>
      <c r="M255" s="44">
        <v>3771104.75</v>
      </c>
      <c r="N255" s="46">
        <f t="shared" si="20"/>
        <v>3085854.125</v>
      </c>
      <c r="O255" s="46">
        <f t="shared" si="21"/>
        <v>969090.72749963985</v>
      </c>
      <c r="P255" s="46">
        <f t="shared" si="17"/>
        <v>31.404294831974269</v>
      </c>
      <c r="Q255" s="66">
        <f t="shared" si="18"/>
        <v>216009788.75</v>
      </c>
    </row>
    <row r="256" spans="1:17">
      <c r="A256" s="32">
        <v>17</v>
      </c>
      <c r="B256" s="32">
        <v>210</v>
      </c>
      <c r="C256" s="71">
        <v>16</v>
      </c>
      <c r="D256" s="37" t="s">
        <v>1130</v>
      </c>
      <c r="E256" s="37">
        <v>43584</v>
      </c>
      <c r="F256" s="40" t="s">
        <v>282</v>
      </c>
      <c r="G256" s="38" t="s">
        <v>1131</v>
      </c>
      <c r="H256" s="71">
        <v>5</v>
      </c>
      <c r="I256" s="48">
        <v>45475</v>
      </c>
      <c r="J256" s="60">
        <v>14.866862297058105</v>
      </c>
      <c r="K256" s="60">
        <v>14.793858528137207</v>
      </c>
      <c r="L256" s="46">
        <v>3994828.25</v>
      </c>
      <c r="M256" s="46">
        <v>4167307.25</v>
      </c>
      <c r="N256" s="46">
        <f t="shared" si="20"/>
        <v>4081067.75</v>
      </c>
      <c r="O256" s="46">
        <f t="shared" si="21"/>
        <v>121961.07051227453</v>
      </c>
      <c r="P256" s="46">
        <f t="shared" si="17"/>
        <v>2.9884598341273438</v>
      </c>
      <c r="Q256" s="66">
        <f t="shared" si="18"/>
        <v>285674742.5</v>
      </c>
    </row>
    <row r="257" spans="1:17">
      <c r="A257" s="32">
        <v>17</v>
      </c>
      <c r="B257" s="32">
        <v>220</v>
      </c>
      <c r="C257" s="71">
        <v>17</v>
      </c>
      <c r="D257" s="37" t="s">
        <v>1132</v>
      </c>
      <c r="E257" s="37">
        <v>43619</v>
      </c>
      <c r="F257" s="40" t="s">
        <v>282</v>
      </c>
      <c r="G257" s="38" t="s">
        <v>1133</v>
      </c>
      <c r="H257" s="71">
        <v>5</v>
      </c>
      <c r="I257" s="48">
        <v>45475</v>
      </c>
      <c r="J257" s="60">
        <v>15.296405792236328</v>
      </c>
      <c r="K257" s="60">
        <v>15.587240219116211</v>
      </c>
      <c r="L257" s="46">
        <v>3115198.75</v>
      </c>
      <c r="M257" s="46">
        <v>2632406.75</v>
      </c>
      <c r="N257" s="46">
        <f t="shared" si="20"/>
        <v>2873802.75</v>
      </c>
      <c r="O257" s="46">
        <f t="shared" si="21"/>
        <v>341385.49710261566</v>
      </c>
      <c r="P257" s="46">
        <f t="shared" si="17"/>
        <v>11.879225082605815</v>
      </c>
      <c r="Q257" s="66">
        <f t="shared" si="18"/>
        <v>201166192.5</v>
      </c>
    </row>
    <row r="258" spans="1:17">
      <c r="A258" s="32">
        <v>17</v>
      </c>
      <c r="B258" s="32">
        <v>230</v>
      </c>
      <c r="C258" s="71">
        <v>18</v>
      </c>
      <c r="D258" s="37" t="s">
        <v>1134</v>
      </c>
      <c r="E258" s="37">
        <v>43661</v>
      </c>
      <c r="F258" s="40" t="s">
        <v>282</v>
      </c>
      <c r="G258" s="38" t="s">
        <v>1135</v>
      </c>
      <c r="H258" s="71">
        <v>5</v>
      </c>
      <c r="I258" s="48">
        <v>45475</v>
      </c>
      <c r="J258" s="60">
        <v>14.116595268249512</v>
      </c>
      <c r="K258" s="60">
        <v>14.069811820983887</v>
      </c>
      <c r="L258" s="46">
        <v>6168209.5</v>
      </c>
      <c r="M258" s="46">
        <v>6337576.5</v>
      </c>
      <c r="N258" s="46">
        <f t="shared" si="20"/>
        <v>6252893</v>
      </c>
      <c r="O258" s="46">
        <f t="shared" si="21"/>
        <v>119760.554209222</v>
      </c>
      <c r="P258" s="46">
        <f t="shared" si="17"/>
        <v>1.9152823214665915</v>
      </c>
      <c r="Q258" s="66">
        <f t="shared" si="18"/>
        <v>437702510</v>
      </c>
    </row>
    <row r="259" spans="1:17">
      <c r="A259" s="32">
        <v>17</v>
      </c>
      <c r="B259" s="32">
        <v>240</v>
      </c>
      <c r="C259" s="71">
        <v>19</v>
      </c>
      <c r="D259" s="37" t="s">
        <v>1136</v>
      </c>
      <c r="E259" s="37">
        <v>43696</v>
      </c>
      <c r="F259" s="40" t="s">
        <v>282</v>
      </c>
      <c r="G259" s="38" t="s">
        <v>1137</v>
      </c>
      <c r="H259" s="71">
        <v>5</v>
      </c>
      <c r="I259" s="48">
        <v>45475</v>
      </c>
      <c r="J259" s="60">
        <v>13.980414390563965</v>
      </c>
      <c r="K259" s="60">
        <v>13.693134307861328</v>
      </c>
      <c r="L259" s="46">
        <v>6674257</v>
      </c>
      <c r="M259" s="46">
        <v>7882100</v>
      </c>
      <c r="N259" s="46">
        <f t="shared" si="20"/>
        <v>7278178.5</v>
      </c>
      <c r="O259" s="46">
        <f t="shared" si="21"/>
        <v>854073.97590870317</v>
      </c>
      <c r="P259" s="46">
        <f t="shared" ref="P259:P322" si="22">O259*100/N259</f>
        <v>11.734721481600145</v>
      </c>
      <c r="Q259" s="66">
        <f t="shared" ref="Q259:Q322" si="23">N259*70</f>
        <v>509472495</v>
      </c>
    </row>
    <row r="260" spans="1:17">
      <c r="A260" s="32">
        <v>17</v>
      </c>
      <c r="B260" s="32">
        <v>250</v>
      </c>
      <c r="C260" s="81">
        <v>6</v>
      </c>
      <c r="D260" s="36" t="s">
        <v>1364</v>
      </c>
      <c r="E260" s="37">
        <v>43731</v>
      </c>
      <c r="F260" s="38" t="s">
        <v>282</v>
      </c>
      <c r="G260" s="40" t="s">
        <v>610</v>
      </c>
      <c r="H260" s="71">
        <v>10</v>
      </c>
      <c r="I260" s="48">
        <v>45461</v>
      </c>
      <c r="J260" s="42">
        <v>16.195695877075195</v>
      </c>
      <c r="K260" s="42">
        <v>16.316574096679688</v>
      </c>
      <c r="L260" s="44">
        <v>818813.5</v>
      </c>
      <c r="M260" s="44">
        <v>762846.8125</v>
      </c>
      <c r="N260" s="46">
        <f t="shared" si="20"/>
        <v>790830.15625</v>
      </c>
      <c r="O260" s="46">
        <f t="shared" si="21"/>
        <v>39574.424251798388</v>
      </c>
      <c r="P260" s="46">
        <f t="shared" si="22"/>
        <v>5.0041622640510415</v>
      </c>
      <c r="Q260" s="66">
        <f t="shared" si="23"/>
        <v>55358110.9375</v>
      </c>
    </row>
    <row r="261" spans="1:17">
      <c r="A261" s="32">
        <v>17</v>
      </c>
      <c r="B261" s="32">
        <v>260</v>
      </c>
      <c r="C261" s="71">
        <v>20</v>
      </c>
      <c r="D261" s="37" t="s">
        <v>1138</v>
      </c>
      <c r="E261" s="37">
        <v>43766</v>
      </c>
      <c r="F261" s="40" t="s">
        <v>282</v>
      </c>
      <c r="G261" s="38" t="s">
        <v>1139</v>
      </c>
      <c r="H261" s="71">
        <v>5</v>
      </c>
      <c r="I261" s="48">
        <v>45475</v>
      </c>
      <c r="J261" s="42">
        <v>16.121479034423828</v>
      </c>
      <c r="K261" s="42">
        <v>16.828187942504883</v>
      </c>
      <c r="L261" s="44">
        <v>1932031.125</v>
      </c>
      <c r="M261" s="44">
        <v>1283235</v>
      </c>
      <c r="N261" s="46">
        <f t="shared" si="20"/>
        <v>1607633.0625</v>
      </c>
      <c r="O261" s="46">
        <f t="shared" si="21"/>
        <v>458768.13959505496</v>
      </c>
      <c r="P261" s="46">
        <f t="shared" si="22"/>
        <v>28.53686890972703</v>
      </c>
      <c r="Q261" s="66">
        <f t="shared" si="23"/>
        <v>112534314.375</v>
      </c>
    </row>
    <row r="262" spans="1:17">
      <c r="A262" s="32">
        <v>17</v>
      </c>
      <c r="B262" s="32">
        <v>270</v>
      </c>
      <c r="C262" s="71">
        <v>21</v>
      </c>
      <c r="D262" s="37" t="s">
        <v>1140</v>
      </c>
      <c r="E262" s="37">
        <v>43801</v>
      </c>
      <c r="F262" s="40" t="s">
        <v>282</v>
      </c>
      <c r="G262" s="38" t="s">
        <v>1141</v>
      </c>
      <c r="H262" s="71">
        <v>5</v>
      </c>
      <c r="I262" s="48">
        <v>45475</v>
      </c>
      <c r="J262" s="42">
        <v>16.167709350585938</v>
      </c>
      <c r="K262" s="42">
        <v>16.387357711791992</v>
      </c>
      <c r="L262" s="44">
        <v>1881001.375</v>
      </c>
      <c r="M262" s="44">
        <v>1656367.375</v>
      </c>
      <c r="N262" s="46">
        <f t="shared" si="20"/>
        <v>1768684.375</v>
      </c>
      <c r="O262" s="46">
        <f t="shared" si="21"/>
        <v>158840.22468505893</v>
      </c>
      <c r="P262" s="46">
        <f t="shared" si="22"/>
        <v>8.9806992660891751</v>
      </c>
      <c r="Q262" s="66">
        <f t="shared" si="23"/>
        <v>123807906.25</v>
      </c>
    </row>
    <row r="263" spans="1:17">
      <c r="A263" s="32">
        <v>17</v>
      </c>
      <c r="B263" s="32">
        <v>280</v>
      </c>
      <c r="C263" s="71">
        <v>22</v>
      </c>
      <c r="D263" s="37" t="s">
        <v>1142</v>
      </c>
      <c r="E263" s="37">
        <v>43836</v>
      </c>
      <c r="F263" s="40" t="s">
        <v>282</v>
      </c>
      <c r="G263" s="38" t="s">
        <v>1143</v>
      </c>
      <c r="H263" s="71">
        <v>5</v>
      </c>
      <c r="I263" s="48">
        <v>45475</v>
      </c>
      <c r="J263" s="42">
        <v>16.00224494934082</v>
      </c>
      <c r="K263" s="42">
        <v>35.962802886962891</v>
      </c>
      <c r="L263" s="44">
        <v>2070124.875</v>
      </c>
      <c r="M263" s="44">
        <v>19.803657531738281</v>
      </c>
      <c r="N263" s="46">
        <f>L263</f>
        <v>2070124.875</v>
      </c>
      <c r="O263" s="46" t="s">
        <v>1473</v>
      </c>
      <c r="P263" s="46" t="e">
        <f t="shared" si="22"/>
        <v>#VALUE!</v>
      </c>
      <c r="Q263" s="66">
        <f t="shared" si="23"/>
        <v>144908741.25</v>
      </c>
    </row>
    <row r="264" spans="1:17">
      <c r="A264" s="32">
        <v>17</v>
      </c>
      <c r="B264" s="32">
        <v>290</v>
      </c>
      <c r="C264" s="71">
        <v>23</v>
      </c>
      <c r="D264" s="37" t="s">
        <v>1144</v>
      </c>
      <c r="E264" s="37">
        <v>43878</v>
      </c>
      <c r="F264" s="40" t="s">
        <v>282</v>
      </c>
      <c r="G264" s="38" t="s">
        <v>1145</v>
      </c>
      <c r="H264" s="71">
        <v>5</v>
      </c>
      <c r="I264" s="48">
        <v>45475</v>
      </c>
      <c r="J264" s="42">
        <v>16.924798965454102</v>
      </c>
      <c r="K264" s="42">
        <v>17.520231246948242</v>
      </c>
      <c r="L264" s="44">
        <v>1213423.875</v>
      </c>
      <c r="M264" s="44">
        <v>859579.5</v>
      </c>
      <c r="N264" s="46">
        <f>AVERAGE(L264:M264)</f>
        <v>1036501.6875</v>
      </c>
      <c r="O264" s="46">
        <f>STDEVA(L264:M264)</f>
        <v>250205.75704721568</v>
      </c>
      <c r="P264" s="46">
        <f t="shared" si="22"/>
        <v>24.139445218917277</v>
      </c>
      <c r="Q264" s="66">
        <f t="shared" si="23"/>
        <v>72555118.125</v>
      </c>
    </row>
    <row r="265" spans="1:17">
      <c r="A265" s="32">
        <v>17</v>
      </c>
      <c r="B265" s="32">
        <v>300</v>
      </c>
      <c r="C265" s="81">
        <v>7</v>
      </c>
      <c r="D265" s="36" t="s">
        <v>1365</v>
      </c>
      <c r="E265" s="37">
        <v>43913</v>
      </c>
      <c r="F265" s="38" t="s">
        <v>282</v>
      </c>
      <c r="G265" s="40" t="s">
        <v>611</v>
      </c>
      <c r="H265" s="71">
        <v>5</v>
      </c>
      <c r="I265" s="48">
        <v>45461</v>
      </c>
      <c r="J265" s="42">
        <v>13.740779876708984</v>
      </c>
      <c r="K265" s="42">
        <v>13.672024726867676</v>
      </c>
      <c r="L265" s="44">
        <v>3448569.5</v>
      </c>
      <c r="M265" s="44">
        <v>3590278.5</v>
      </c>
      <c r="N265" s="46">
        <f>AVERAGE(L265:M265)</f>
        <v>3519424</v>
      </c>
      <c r="O265" s="46">
        <f>STDEVA(L265:M265)</f>
        <v>100203.39485516446</v>
      </c>
      <c r="P265" s="46">
        <f t="shared" si="22"/>
        <v>2.847153251644714</v>
      </c>
      <c r="Q265" s="66">
        <f t="shared" si="23"/>
        <v>246359680</v>
      </c>
    </row>
    <row r="266" spans="1:17">
      <c r="A266" s="32">
        <v>17</v>
      </c>
      <c r="B266" s="32">
        <v>310</v>
      </c>
      <c r="C266" s="71">
        <v>24</v>
      </c>
      <c r="D266" s="37" t="s">
        <v>1146</v>
      </c>
      <c r="E266" s="37">
        <v>44025</v>
      </c>
      <c r="F266" s="40" t="s">
        <v>282</v>
      </c>
      <c r="G266" s="38" t="s">
        <v>1147</v>
      </c>
      <c r="H266" s="71">
        <v>10</v>
      </c>
      <c r="I266" s="48">
        <v>45475</v>
      </c>
      <c r="J266" s="42">
        <v>15.802946090698242</v>
      </c>
      <c r="K266" s="42">
        <v>15.944757461547852</v>
      </c>
      <c r="L266" s="44">
        <v>2323335.5</v>
      </c>
      <c r="M266" s="44">
        <v>2140189.75</v>
      </c>
      <c r="N266" s="46">
        <f>AVERAGE(L266:M266)</f>
        <v>2231762.625</v>
      </c>
      <c r="O266" s="46">
        <f>STDEVA(L266:M266)</f>
        <v>129503.60177049614</v>
      </c>
      <c r="P266" s="46">
        <f t="shared" si="22"/>
        <v>5.8027498229340653</v>
      </c>
      <c r="Q266" s="66">
        <f t="shared" si="23"/>
        <v>156223383.75</v>
      </c>
    </row>
    <row r="267" spans="1:17">
      <c r="A267" s="32">
        <v>17</v>
      </c>
      <c r="B267" s="32">
        <v>320</v>
      </c>
      <c r="C267" s="71">
        <v>25</v>
      </c>
      <c r="D267" s="37" t="s">
        <v>1148</v>
      </c>
      <c r="E267" s="37">
        <v>44060</v>
      </c>
      <c r="F267" s="40" t="s">
        <v>282</v>
      </c>
      <c r="G267" s="38" t="s">
        <v>1149</v>
      </c>
      <c r="H267" s="71">
        <v>5</v>
      </c>
      <c r="I267" s="48">
        <v>45475</v>
      </c>
      <c r="J267" s="42">
        <v>14.957094192504883</v>
      </c>
      <c r="K267" s="42">
        <v>15.05406665802002</v>
      </c>
      <c r="L267" s="44">
        <v>3791478</v>
      </c>
      <c r="M267" s="44">
        <v>3584462</v>
      </c>
      <c r="N267" s="46">
        <f>AVERAGE(L267:M267)</f>
        <v>3687970</v>
      </c>
      <c r="O267" s="46">
        <f>STDEVA(L267:M267)</f>
        <v>146382.41741411432</v>
      </c>
      <c r="P267" s="46">
        <f t="shared" si="22"/>
        <v>3.9691867725093832</v>
      </c>
      <c r="Q267" s="66">
        <f t="shared" si="23"/>
        <v>258157900</v>
      </c>
    </row>
    <row r="268" spans="1:17">
      <c r="A268" s="32">
        <v>17</v>
      </c>
      <c r="B268" s="32">
        <v>330</v>
      </c>
      <c r="C268" s="71">
        <v>26</v>
      </c>
      <c r="D268" s="37" t="s">
        <v>1150</v>
      </c>
      <c r="E268" s="37">
        <v>44095</v>
      </c>
      <c r="F268" s="40" t="s">
        <v>282</v>
      </c>
      <c r="G268" s="38" t="s">
        <v>1151</v>
      </c>
      <c r="H268" s="71">
        <v>10</v>
      </c>
      <c r="I268" s="48">
        <v>45475</v>
      </c>
      <c r="J268" s="42">
        <v>14.777107238769531</v>
      </c>
      <c r="K268" s="42">
        <v>15.105900764465332</v>
      </c>
      <c r="L268" s="44">
        <v>4207923</v>
      </c>
      <c r="M268" s="44">
        <v>3478483</v>
      </c>
      <c r="N268" s="46">
        <f>AVERAGE(L268:M268)</f>
        <v>3843203</v>
      </c>
      <c r="O268" s="46">
        <f>STDEVA(L268:M268)</f>
        <v>515791.97046871524</v>
      </c>
      <c r="P268" s="46">
        <f t="shared" si="22"/>
        <v>13.420888005882469</v>
      </c>
      <c r="Q268" s="66">
        <f t="shared" si="23"/>
        <v>269024210</v>
      </c>
    </row>
    <row r="269" spans="1:17">
      <c r="A269" s="32">
        <v>17</v>
      </c>
      <c r="B269" s="32">
        <v>340</v>
      </c>
      <c r="C269" s="71">
        <v>27</v>
      </c>
      <c r="D269" s="37" t="s">
        <v>1152</v>
      </c>
      <c r="E269" s="37">
        <v>44130</v>
      </c>
      <c r="F269" s="40" t="s">
        <v>282</v>
      </c>
      <c r="G269" s="38" t="s">
        <v>1153</v>
      </c>
      <c r="H269" s="71">
        <v>10</v>
      </c>
      <c r="I269" s="48">
        <v>45475</v>
      </c>
      <c r="J269" s="42">
        <v>33.531906127929688</v>
      </c>
      <c r="K269" s="42">
        <v>15.126312255859375</v>
      </c>
      <c r="L269" s="44">
        <v>80.912376403808594</v>
      </c>
      <c r="M269" s="44">
        <v>3437615</v>
      </c>
      <c r="N269" s="46">
        <f>M269</f>
        <v>3437615</v>
      </c>
      <c r="O269" s="46" t="s">
        <v>1473</v>
      </c>
      <c r="P269" s="46" t="e">
        <f t="shared" si="22"/>
        <v>#VALUE!</v>
      </c>
      <c r="Q269" s="66">
        <f t="shared" si="23"/>
        <v>240633050</v>
      </c>
    </row>
    <row r="270" spans="1:17">
      <c r="A270" s="32">
        <v>17</v>
      </c>
      <c r="B270" s="32">
        <v>350</v>
      </c>
      <c r="C270" s="81">
        <v>8</v>
      </c>
      <c r="D270" s="36" t="s">
        <v>1366</v>
      </c>
      <c r="E270" s="37">
        <v>44165</v>
      </c>
      <c r="F270" s="38" t="s">
        <v>282</v>
      </c>
      <c r="G270" s="40" t="s">
        <v>612</v>
      </c>
      <c r="H270" s="71">
        <v>15</v>
      </c>
      <c r="I270" s="48">
        <v>45461</v>
      </c>
      <c r="J270" s="42">
        <v>15.705241203308105</v>
      </c>
      <c r="K270" s="42">
        <v>15.68548583984375</v>
      </c>
      <c r="L270" s="44">
        <v>1091292.875</v>
      </c>
      <c r="M270" s="44">
        <v>1103993.375</v>
      </c>
      <c r="N270" s="46">
        <f t="shared" ref="N270:N282" si="24">AVERAGE(L270:M270)</f>
        <v>1097643.125</v>
      </c>
      <c r="O270" s="46">
        <f t="shared" ref="O270:O282" si="25">STDEVA(L270:M270)</f>
        <v>8980.6096744597471</v>
      </c>
      <c r="P270" s="46">
        <f t="shared" si="22"/>
        <v>0.81817208798713581</v>
      </c>
      <c r="Q270" s="66">
        <f t="shared" si="23"/>
        <v>76835018.75</v>
      </c>
    </row>
    <row r="271" spans="1:17">
      <c r="A271" s="32">
        <v>17</v>
      </c>
      <c r="B271" s="32">
        <v>360</v>
      </c>
      <c r="C271" s="71">
        <v>28</v>
      </c>
      <c r="D271" s="37" t="s">
        <v>1154</v>
      </c>
      <c r="E271" s="37">
        <v>44200</v>
      </c>
      <c r="F271" s="40" t="s">
        <v>282</v>
      </c>
      <c r="G271" s="38" t="s">
        <v>1155</v>
      </c>
      <c r="H271" s="71">
        <v>5</v>
      </c>
      <c r="I271" s="48">
        <v>45475</v>
      </c>
      <c r="J271" s="42">
        <v>15.865276336669922</v>
      </c>
      <c r="K271" s="42">
        <v>16.152046203613281</v>
      </c>
      <c r="L271" s="44">
        <v>2240982.5</v>
      </c>
      <c r="M271" s="44">
        <v>1898137.875</v>
      </c>
      <c r="N271" s="46">
        <f t="shared" si="24"/>
        <v>2069560.1875</v>
      </c>
      <c r="O271" s="46">
        <f t="shared" si="25"/>
        <v>242427.75923085894</v>
      </c>
      <c r="P271" s="46">
        <f t="shared" si="22"/>
        <v>11.713974819147845</v>
      </c>
      <c r="Q271" s="66">
        <f t="shared" si="23"/>
        <v>144869213.125</v>
      </c>
    </row>
    <row r="272" spans="1:17">
      <c r="A272" s="32">
        <v>17</v>
      </c>
      <c r="B272" s="32">
        <v>370</v>
      </c>
      <c r="C272" s="71">
        <v>29</v>
      </c>
      <c r="D272" s="37" t="s">
        <v>1156</v>
      </c>
      <c r="E272" s="37">
        <v>44235</v>
      </c>
      <c r="F272" s="40" t="s">
        <v>282</v>
      </c>
      <c r="G272" s="38" t="s">
        <v>1157</v>
      </c>
      <c r="H272" s="71">
        <v>5</v>
      </c>
      <c r="I272" s="48">
        <v>45475</v>
      </c>
      <c r="J272" s="42">
        <v>13.666501045227051</v>
      </c>
      <c r="K272" s="42">
        <v>13.760934829711914</v>
      </c>
      <c r="L272" s="44">
        <v>8004590</v>
      </c>
      <c r="M272" s="44">
        <v>7578669</v>
      </c>
      <c r="N272" s="46">
        <f t="shared" si="24"/>
        <v>7791629.5</v>
      </c>
      <c r="O272" s="46">
        <f t="shared" si="25"/>
        <v>301171.62734975549</v>
      </c>
      <c r="P272" s="46">
        <f t="shared" si="22"/>
        <v>3.8653227460283563</v>
      </c>
      <c r="Q272" s="66">
        <f t="shared" si="23"/>
        <v>545414065</v>
      </c>
    </row>
    <row r="273" spans="1:17">
      <c r="A273" s="32">
        <v>17</v>
      </c>
      <c r="B273" s="32">
        <v>380</v>
      </c>
      <c r="C273" s="71">
        <v>30</v>
      </c>
      <c r="D273" s="37" t="s">
        <v>1158</v>
      </c>
      <c r="E273" s="37">
        <v>44270</v>
      </c>
      <c r="F273" s="40" t="s">
        <v>282</v>
      </c>
      <c r="G273" s="38" t="s">
        <v>1159</v>
      </c>
      <c r="H273" s="71">
        <v>5</v>
      </c>
      <c r="I273" s="48">
        <v>45475</v>
      </c>
      <c r="J273" s="42">
        <v>16.248783111572266</v>
      </c>
      <c r="K273" s="42">
        <v>16.579929351806641</v>
      </c>
      <c r="L273" s="44">
        <v>1794743.75</v>
      </c>
      <c r="M273" s="44">
        <v>1481606.625</v>
      </c>
      <c r="N273" s="46">
        <f t="shared" si="24"/>
        <v>1638175.1875</v>
      </c>
      <c r="O273" s="46">
        <f t="shared" si="25"/>
        <v>221421.38452875958</v>
      </c>
      <c r="P273" s="46">
        <f t="shared" si="22"/>
        <v>13.516343442282761</v>
      </c>
      <c r="Q273" s="66">
        <f t="shared" si="23"/>
        <v>114672263.125</v>
      </c>
    </row>
    <row r="274" spans="1:17">
      <c r="A274" s="32">
        <v>17</v>
      </c>
      <c r="B274" s="32">
        <v>390</v>
      </c>
      <c r="C274" s="71">
        <v>31</v>
      </c>
      <c r="D274" s="37" t="s">
        <v>1160</v>
      </c>
      <c r="E274" s="37">
        <v>44305</v>
      </c>
      <c r="F274" s="40" t="s">
        <v>282</v>
      </c>
      <c r="G274" s="38" t="s">
        <v>1161</v>
      </c>
      <c r="H274" s="71">
        <v>10</v>
      </c>
      <c r="I274" s="48">
        <v>45475</v>
      </c>
      <c r="J274" s="42">
        <v>15.146646499633789</v>
      </c>
      <c r="K274" s="42">
        <v>15.091702461242676</v>
      </c>
      <c r="L274" s="44">
        <v>3397379</v>
      </c>
      <c r="M274" s="44">
        <v>3507197</v>
      </c>
      <c r="N274" s="46">
        <f t="shared" si="24"/>
        <v>3452288</v>
      </c>
      <c r="O274" s="46">
        <f t="shared" si="25"/>
        <v>77653.052496344273</v>
      </c>
      <c r="P274" s="46">
        <f t="shared" si="22"/>
        <v>2.2493213919680013</v>
      </c>
      <c r="Q274" s="66">
        <f t="shared" si="23"/>
        <v>241660160</v>
      </c>
    </row>
    <row r="275" spans="1:17">
      <c r="A275" s="32">
        <v>17</v>
      </c>
      <c r="B275" s="32">
        <v>400</v>
      </c>
      <c r="C275" s="81">
        <v>9</v>
      </c>
      <c r="D275" s="36" t="s">
        <v>1367</v>
      </c>
      <c r="E275" s="37">
        <v>44341</v>
      </c>
      <c r="F275" s="38" t="s">
        <v>282</v>
      </c>
      <c r="G275" s="40" t="s">
        <v>613</v>
      </c>
      <c r="H275" s="71">
        <v>0</v>
      </c>
      <c r="I275" s="48">
        <v>45461</v>
      </c>
      <c r="J275" s="42">
        <v>15.290532112121582</v>
      </c>
      <c r="K275" s="42">
        <v>15.061572074890137</v>
      </c>
      <c r="L275" s="44">
        <v>1391330.75</v>
      </c>
      <c r="M275" s="44">
        <v>1591001.875</v>
      </c>
      <c r="N275" s="46">
        <f t="shared" si="24"/>
        <v>1491166.3125</v>
      </c>
      <c r="O275" s="46">
        <f t="shared" si="25"/>
        <v>141188.80649464679</v>
      </c>
      <c r="P275" s="46">
        <f t="shared" si="22"/>
        <v>9.4683473809127374</v>
      </c>
      <c r="Q275" s="66">
        <f t="shared" si="23"/>
        <v>104381641.875</v>
      </c>
    </row>
    <row r="276" spans="1:17">
      <c r="A276" s="32">
        <v>17</v>
      </c>
      <c r="B276" s="32">
        <v>410</v>
      </c>
      <c r="C276" s="71">
        <v>32</v>
      </c>
      <c r="D276" s="37" t="s">
        <v>1162</v>
      </c>
      <c r="E276" s="37">
        <v>44375</v>
      </c>
      <c r="F276" s="40" t="s">
        <v>282</v>
      </c>
      <c r="G276" s="38" t="s">
        <v>1163</v>
      </c>
      <c r="H276" s="71">
        <v>0</v>
      </c>
      <c r="I276" s="48">
        <v>45475</v>
      </c>
      <c r="J276" s="42">
        <v>20.660219192504883</v>
      </c>
      <c r="K276" s="42">
        <v>21.023914337158203</v>
      </c>
      <c r="L276" s="44">
        <v>139543.46875</v>
      </c>
      <c r="M276" s="44">
        <v>113046.0234375</v>
      </c>
      <c r="N276" s="46">
        <f t="shared" si="24"/>
        <v>126294.74609375</v>
      </c>
      <c r="O276" s="46">
        <f t="shared" si="25"/>
        <v>18736.523264588446</v>
      </c>
      <c r="P276" s="46">
        <f t="shared" si="22"/>
        <v>14.83555242328142</v>
      </c>
      <c r="Q276" s="66">
        <f t="shared" si="23"/>
        <v>8840632.2265625</v>
      </c>
    </row>
    <row r="277" spans="1:17">
      <c r="A277" s="32">
        <v>17</v>
      </c>
      <c r="B277" s="32">
        <v>420</v>
      </c>
      <c r="C277" s="71">
        <v>33</v>
      </c>
      <c r="D277" s="37" t="s">
        <v>1164</v>
      </c>
      <c r="E277" s="37">
        <v>44410</v>
      </c>
      <c r="F277" s="40" t="s">
        <v>282</v>
      </c>
      <c r="G277" s="38" t="s">
        <v>1165</v>
      </c>
      <c r="H277" s="71">
        <v>0</v>
      </c>
      <c r="I277" s="48">
        <v>45475</v>
      </c>
      <c r="J277" s="42">
        <v>17.479524612426758</v>
      </c>
      <c r="K277" s="42">
        <v>17.885416030883789</v>
      </c>
      <c r="L277" s="44">
        <v>880079.875</v>
      </c>
      <c r="M277" s="44">
        <v>695756.4375</v>
      </c>
      <c r="N277" s="46">
        <f t="shared" si="24"/>
        <v>787918.15625</v>
      </c>
      <c r="O277" s="46">
        <f t="shared" si="25"/>
        <v>130336.35258786476</v>
      </c>
      <c r="P277" s="46">
        <f t="shared" si="22"/>
        <v>16.541864348980695</v>
      </c>
      <c r="Q277" s="66">
        <f t="shared" si="23"/>
        <v>55154270.9375</v>
      </c>
    </row>
    <row r="278" spans="1:17">
      <c r="A278" s="32">
        <v>17</v>
      </c>
      <c r="B278" s="32">
        <v>430</v>
      </c>
      <c r="C278" s="71">
        <v>34</v>
      </c>
      <c r="D278" s="37" t="s">
        <v>1166</v>
      </c>
      <c r="E278" s="37">
        <v>44445</v>
      </c>
      <c r="F278" s="40" t="s">
        <v>282</v>
      </c>
      <c r="G278" s="38" t="s">
        <v>1167</v>
      </c>
      <c r="H278" s="71">
        <v>0</v>
      </c>
      <c r="I278" s="48">
        <v>45475</v>
      </c>
      <c r="J278" s="42">
        <v>14.719987869262695</v>
      </c>
      <c r="K278" s="42">
        <v>14.941922187805176</v>
      </c>
      <c r="L278" s="44">
        <v>4349416</v>
      </c>
      <c r="M278" s="44">
        <v>3824931.5</v>
      </c>
      <c r="N278" s="46">
        <f t="shared" si="24"/>
        <v>4087173.75</v>
      </c>
      <c r="O278" s="46">
        <f t="shared" si="25"/>
        <v>370866.5465772358</v>
      </c>
      <c r="P278" s="46">
        <f t="shared" si="22"/>
        <v>9.0739119318633286</v>
      </c>
      <c r="Q278" s="66">
        <f t="shared" si="23"/>
        <v>286102162.5</v>
      </c>
    </row>
    <row r="279" spans="1:17">
      <c r="A279" s="32">
        <v>17</v>
      </c>
      <c r="B279" s="32">
        <v>440</v>
      </c>
      <c r="C279" s="71">
        <v>35</v>
      </c>
      <c r="D279" s="37" t="s">
        <v>1168</v>
      </c>
      <c r="E279" s="37">
        <v>44480</v>
      </c>
      <c r="F279" s="40" t="s">
        <v>282</v>
      </c>
      <c r="G279" s="38" t="s">
        <v>1169</v>
      </c>
      <c r="H279" s="71">
        <v>0</v>
      </c>
      <c r="I279" s="48">
        <v>45475</v>
      </c>
      <c r="J279" s="42">
        <v>14.455774307250977</v>
      </c>
      <c r="K279" s="42">
        <v>14.572544097900391</v>
      </c>
      <c r="L279" s="44">
        <v>5068386</v>
      </c>
      <c r="M279" s="44">
        <v>4737038.5</v>
      </c>
      <c r="N279" s="46">
        <f t="shared" si="24"/>
        <v>4902712.25</v>
      </c>
      <c r="O279" s="46">
        <f t="shared" si="25"/>
        <v>234298.06417920956</v>
      </c>
      <c r="P279" s="46">
        <f t="shared" si="22"/>
        <v>4.7789479013215503</v>
      </c>
      <c r="Q279" s="66">
        <f t="shared" si="23"/>
        <v>343189857.5</v>
      </c>
    </row>
    <row r="280" spans="1:17">
      <c r="A280" s="32">
        <v>17</v>
      </c>
      <c r="B280" s="32">
        <v>450</v>
      </c>
      <c r="C280" s="81">
        <v>10</v>
      </c>
      <c r="D280" s="36" t="s">
        <v>1368</v>
      </c>
      <c r="E280" s="37">
        <v>44515</v>
      </c>
      <c r="F280" s="38" t="s">
        <v>282</v>
      </c>
      <c r="G280" s="40" t="s">
        <v>614</v>
      </c>
      <c r="H280" s="71">
        <v>0</v>
      </c>
      <c r="I280" s="48">
        <v>45461</v>
      </c>
      <c r="J280" s="42">
        <v>17.390598297119141</v>
      </c>
      <c r="K280" s="42">
        <v>17.156047821044922</v>
      </c>
      <c r="L280" s="44">
        <v>406667.15625</v>
      </c>
      <c r="M280" s="44">
        <v>466553.46875</v>
      </c>
      <c r="N280" s="46">
        <f t="shared" si="24"/>
        <v>436610.3125</v>
      </c>
      <c r="O280" s="46">
        <f t="shared" si="25"/>
        <v>42346.017669006709</v>
      </c>
      <c r="P280" s="46">
        <f t="shared" si="22"/>
        <v>9.6988129818868423</v>
      </c>
      <c r="Q280" s="66">
        <f t="shared" si="23"/>
        <v>30562721.875</v>
      </c>
    </row>
    <row r="281" spans="1:17">
      <c r="A281" s="32">
        <v>17</v>
      </c>
      <c r="B281" s="32">
        <v>460</v>
      </c>
      <c r="C281" s="81">
        <v>1</v>
      </c>
      <c r="D281" s="36" t="s">
        <v>1399</v>
      </c>
      <c r="E281" s="37">
        <v>44550</v>
      </c>
      <c r="F281" s="38" t="s">
        <v>282</v>
      </c>
      <c r="G281" s="40" t="s">
        <v>647</v>
      </c>
      <c r="H281" s="71">
        <v>10</v>
      </c>
      <c r="I281" s="48">
        <v>45461</v>
      </c>
      <c r="J281" s="42">
        <v>17.740283966064453</v>
      </c>
      <c r="K281" s="42">
        <v>17.405946731567383</v>
      </c>
      <c r="L281" s="44">
        <v>355436.28125</v>
      </c>
      <c r="M281" s="44">
        <v>432001.84375</v>
      </c>
      <c r="N281" s="46">
        <f t="shared" si="24"/>
        <v>393719.0625</v>
      </c>
      <c r="O281" s="46">
        <f t="shared" si="25"/>
        <v>54140.028449112426</v>
      </c>
      <c r="P281" s="46">
        <f t="shared" si="22"/>
        <v>13.750928925142512</v>
      </c>
      <c r="Q281" s="66">
        <f t="shared" si="23"/>
        <v>27560334.375</v>
      </c>
    </row>
    <row r="282" spans="1:17">
      <c r="A282" s="32">
        <v>17</v>
      </c>
      <c r="B282" s="32">
        <v>470</v>
      </c>
      <c r="C282" s="81">
        <v>2</v>
      </c>
      <c r="D282" s="36" t="s">
        <v>1400</v>
      </c>
      <c r="E282" s="37">
        <v>44585</v>
      </c>
      <c r="F282" s="38" t="s">
        <v>282</v>
      </c>
      <c r="G282" s="40" t="s">
        <v>648</v>
      </c>
      <c r="H282" s="71">
        <v>0</v>
      </c>
      <c r="I282" s="48">
        <v>45461</v>
      </c>
      <c r="J282" s="42">
        <v>17.939737319946289</v>
      </c>
      <c r="K282" s="42">
        <v>18.031105041503906</v>
      </c>
      <c r="L282" s="44">
        <v>316387</v>
      </c>
      <c r="M282" s="44">
        <v>299961.3125</v>
      </c>
      <c r="N282" s="46">
        <f t="shared" si="24"/>
        <v>308174.15625</v>
      </c>
      <c r="O282" s="46">
        <f t="shared" si="25"/>
        <v>11614.715016901109</v>
      </c>
      <c r="P282" s="46">
        <f t="shared" si="22"/>
        <v>3.7688802845229201</v>
      </c>
      <c r="Q282" s="66">
        <f t="shared" si="23"/>
        <v>21572190.9375</v>
      </c>
    </row>
    <row r="283" spans="1:17">
      <c r="A283" s="32">
        <v>17</v>
      </c>
      <c r="B283" s="32">
        <v>480</v>
      </c>
      <c r="C283" s="81">
        <v>3</v>
      </c>
      <c r="D283" s="36" t="s">
        <v>1401</v>
      </c>
      <c r="E283" s="37">
        <v>44620</v>
      </c>
      <c r="F283" s="38" t="s">
        <v>282</v>
      </c>
      <c r="G283" s="40" t="s">
        <v>649</v>
      </c>
      <c r="H283" s="71">
        <v>0</v>
      </c>
      <c r="I283" s="48">
        <v>45461</v>
      </c>
      <c r="J283" s="42">
        <v>16.303083419799805</v>
      </c>
      <c r="K283" s="67">
        <v>0</v>
      </c>
      <c r="L283" s="44">
        <v>822167.625</v>
      </c>
      <c r="M283" s="44">
        <v>0</v>
      </c>
      <c r="N283" s="46">
        <f>L283</f>
        <v>822167.625</v>
      </c>
      <c r="O283" s="46" t="s">
        <v>1473</v>
      </c>
      <c r="P283" s="46" t="e">
        <f t="shared" si="22"/>
        <v>#VALUE!</v>
      </c>
      <c r="Q283" s="66">
        <f t="shared" si="23"/>
        <v>57551733.75</v>
      </c>
    </row>
    <row r="284" spans="1:17">
      <c r="A284" s="32">
        <v>17</v>
      </c>
      <c r="B284" s="32">
        <v>490</v>
      </c>
      <c r="C284" s="81">
        <v>4</v>
      </c>
      <c r="D284" s="36" t="s">
        <v>1402</v>
      </c>
      <c r="E284" s="37">
        <v>44655</v>
      </c>
      <c r="F284" s="38" t="s">
        <v>282</v>
      </c>
      <c r="G284" s="40" t="s">
        <v>650</v>
      </c>
      <c r="H284" s="71">
        <v>5</v>
      </c>
      <c r="I284" s="48">
        <v>45461</v>
      </c>
      <c r="J284" s="42">
        <v>15.121017456054688</v>
      </c>
      <c r="K284" s="42">
        <v>15.426424980163574</v>
      </c>
      <c r="L284" s="44">
        <v>1638723.75</v>
      </c>
      <c r="M284" s="44">
        <v>1371238.25</v>
      </c>
      <c r="N284" s="46">
        <f t="shared" ref="N284:N315" si="26">AVERAGE(L284:M284)</f>
        <v>1504981</v>
      </c>
      <c r="O284" s="46">
        <f t="shared" ref="O284:O315" si="27">STDEVA(L284:M284)</f>
        <v>189140.81091907425</v>
      </c>
      <c r="P284" s="46">
        <f t="shared" si="22"/>
        <v>12.5676544035489</v>
      </c>
      <c r="Q284" s="66">
        <f t="shared" si="23"/>
        <v>105348670</v>
      </c>
    </row>
    <row r="285" spans="1:17">
      <c r="A285" s="32">
        <v>17</v>
      </c>
      <c r="B285" s="32">
        <v>500</v>
      </c>
      <c r="C285" s="81">
        <v>5</v>
      </c>
      <c r="D285" s="36" t="s">
        <v>1403</v>
      </c>
      <c r="E285" s="37">
        <v>44697</v>
      </c>
      <c r="F285" s="38" t="s">
        <v>282</v>
      </c>
      <c r="G285" s="40" t="s">
        <v>651</v>
      </c>
      <c r="H285" s="71">
        <v>5</v>
      </c>
      <c r="I285" s="48">
        <v>45461</v>
      </c>
      <c r="J285" s="42">
        <v>14.554903030395508</v>
      </c>
      <c r="K285" s="42">
        <v>14.49771785736084</v>
      </c>
      <c r="L285" s="44">
        <v>2280152.25</v>
      </c>
      <c r="M285" s="44">
        <v>2357518.25</v>
      </c>
      <c r="N285" s="46">
        <f t="shared" si="26"/>
        <v>2318835.25</v>
      </c>
      <c r="O285" s="46">
        <f t="shared" si="27"/>
        <v>54706.023233278436</v>
      </c>
      <c r="P285" s="46">
        <f t="shared" si="22"/>
        <v>2.3592026744150298</v>
      </c>
      <c r="Q285" s="66">
        <f t="shared" si="23"/>
        <v>162318467.5</v>
      </c>
    </row>
    <row r="286" spans="1:17">
      <c r="A286" s="32">
        <v>17</v>
      </c>
      <c r="B286" s="32">
        <v>510</v>
      </c>
      <c r="C286" s="81">
        <v>6</v>
      </c>
      <c r="D286" s="36" t="s">
        <v>1404</v>
      </c>
      <c r="E286" s="37">
        <v>44732</v>
      </c>
      <c r="F286" s="38" t="s">
        <v>282</v>
      </c>
      <c r="G286" s="40" t="s">
        <v>652</v>
      </c>
      <c r="H286" s="71">
        <v>5</v>
      </c>
      <c r="I286" s="48">
        <v>45461</v>
      </c>
      <c r="J286" s="42">
        <v>17.408607482910156</v>
      </c>
      <c r="K286" s="42">
        <v>17.292234420776367</v>
      </c>
      <c r="L286" s="44">
        <v>431331.65625</v>
      </c>
      <c r="M286" s="44">
        <v>461637.6875</v>
      </c>
      <c r="N286" s="46">
        <f t="shared" si="26"/>
        <v>446484.671875</v>
      </c>
      <c r="O286" s="46">
        <f t="shared" si="27"/>
        <v>21429.60020772642</v>
      </c>
      <c r="P286" s="46">
        <f t="shared" si="22"/>
        <v>4.7996273013658923</v>
      </c>
      <c r="Q286" s="66">
        <f t="shared" si="23"/>
        <v>31253927.03125</v>
      </c>
    </row>
    <row r="287" spans="1:17">
      <c r="A287" s="32">
        <v>17</v>
      </c>
      <c r="B287" s="32">
        <v>520</v>
      </c>
      <c r="C287" s="81">
        <v>7</v>
      </c>
      <c r="D287" s="36" t="s">
        <v>1405</v>
      </c>
      <c r="E287" s="37">
        <v>44771</v>
      </c>
      <c r="F287" s="38" t="s">
        <v>282</v>
      </c>
      <c r="G287" s="40" t="s">
        <v>653</v>
      </c>
      <c r="H287" s="71">
        <v>0</v>
      </c>
      <c r="I287" s="48">
        <v>45461</v>
      </c>
      <c r="J287" s="42">
        <v>14.62220287322998</v>
      </c>
      <c r="K287" s="42">
        <v>14.411677360534668</v>
      </c>
      <c r="L287" s="44">
        <v>2192348</v>
      </c>
      <c r="M287" s="44">
        <v>2478896.75</v>
      </c>
      <c r="N287" s="46">
        <f t="shared" si="26"/>
        <v>2335622.375</v>
      </c>
      <c r="O287" s="46">
        <f t="shared" si="27"/>
        <v>202620.56426552872</v>
      </c>
      <c r="P287" s="46">
        <f t="shared" si="22"/>
        <v>8.6752279150232372</v>
      </c>
      <c r="Q287" s="66">
        <f t="shared" si="23"/>
        <v>163493566.25</v>
      </c>
    </row>
    <row r="288" spans="1:17">
      <c r="A288" s="32">
        <v>17</v>
      </c>
      <c r="B288" s="32">
        <v>530</v>
      </c>
      <c r="C288" s="81">
        <v>8</v>
      </c>
      <c r="D288" s="36" t="s">
        <v>1406</v>
      </c>
      <c r="E288" s="37">
        <v>44802</v>
      </c>
      <c r="F288" s="38" t="s">
        <v>282</v>
      </c>
      <c r="G288" s="40" t="s">
        <v>654</v>
      </c>
      <c r="H288" s="71">
        <v>0</v>
      </c>
      <c r="I288" s="48">
        <v>45461</v>
      </c>
      <c r="J288" s="42">
        <v>15.805647850036621</v>
      </c>
      <c r="K288" s="42">
        <v>15.616952896118164</v>
      </c>
      <c r="L288" s="44">
        <v>1099043</v>
      </c>
      <c r="M288" s="44">
        <v>1226963.25</v>
      </c>
      <c r="N288" s="46">
        <f t="shared" si="26"/>
        <v>1163003.125</v>
      </c>
      <c r="O288" s="46">
        <f t="shared" si="27"/>
        <v>90453.276226078451</v>
      </c>
      <c r="P288" s="46">
        <f t="shared" si="22"/>
        <v>7.7775608922872372</v>
      </c>
      <c r="Q288" s="66">
        <f t="shared" si="23"/>
        <v>81410218.75</v>
      </c>
    </row>
    <row r="289" spans="1:17">
      <c r="A289" s="32">
        <v>17</v>
      </c>
      <c r="B289" s="32">
        <v>540</v>
      </c>
      <c r="C289" s="81">
        <v>9</v>
      </c>
      <c r="D289" s="36" t="s">
        <v>1407</v>
      </c>
      <c r="E289" s="37">
        <v>44837</v>
      </c>
      <c r="F289" s="38" t="s">
        <v>282</v>
      </c>
      <c r="G289" s="40" t="s">
        <v>655</v>
      </c>
      <c r="H289" s="71">
        <v>0</v>
      </c>
      <c r="I289" s="48">
        <v>45461</v>
      </c>
      <c r="J289" s="42">
        <v>14.560166358947754</v>
      </c>
      <c r="K289" s="42">
        <v>14.562812805175781</v>
      </c>
      <c r="L289" s="44">
        <v>2273160.5</v>
      </c>
      <c r="M289" s="44">
        <v>2269653</v>
      </c>
      <c r="N289" s="46">
        <f t="shared" si="26"/>
        <v>2271406.75</v>
      </c>
      <c r="O289" s="46">
        <f t="shared" si="27"/>
        <v>2480.1770350118154</v>
      </c>
      <c r="P289" s="46">
        <f t="shared" si="22"/>
        <v>0.10919123292258488</v>
      </c>
      <c r="Q289" s="66">
        <f t="shared" si="23"/>
        <v>158998472.5</v>
      </c>
    </row>
    <row r="290" spans="1:17">
      <c r="A290" s="32">
        <v>17</v>
      </c>
      <c r="B290" s="32">
        <v>550</v>
      </c>
      <c r="C290" s="81">
        <v>10</v>
      </c>
      <c r="D290" s="36" t="s">
        <v>1408</v>
      </c>
      <c r="E290" s="37" t="s">
        <v>528</v>
      </c>
      <c r="F290" s="38" t="s">
        <v>282</v>
      </c>
      <c r="G290" s="40" t="s">
        <v>656</v>
      </c>
      <c r="H290" s="71">
        <v>0</v>
      </c>
      <c r="I290" s="48">
        <v>45461</v>
      </c>
      <c r="J290" s="42">
        <v>13.861906051635742</v>
      </c>
      <c r="K290" s="42">
        <v>19.601131439208984</v>
      </c>
      <c r="L290" s="44">
        <v>3416450</v>
      </c>
      <c r="M290" s="44">
        <v>120007.25</v>
      </c>
      <c r="N290" s="46">
        <f t="shared" si="26"/>
        <v>1768228.625</v>
      </c>
      <c r="O290" s="46">
        <f t="shared" si="27"/>
        <v>2330937.0223182309</v>
      </c>
      <c r="P290" s="46">
        <f t="shared" si="22"/>
        <v>131.82328288109412</v>
      </c>
      <c r="Q290" s="66">
        <f t="shared" si="23"/>
        <v>123776003.75</v>
      </c>
    </row>
    <row r="291" spans="1:17">
      <c r="A291" s="32">
        <v>17</v>
      </c>
      <c r="B291" s="32">
        <v>560</v>
      </c>
      <c r="C291" s="81">
        <v>1</v>
      </c>
      <c r="D291" s="36" t="s">
        <v>1439</v>
      </c>
      <c r="E291" s="37" t="s">
        <v>528</v>
      </c>
      <c r="F291" s="38" t="s">
        <v>282</v>
      </c>
      <c r="G291" s="40" t="s">
        <v>572</v>
      </c>
      <c r="H291" s="71">
        <v>0</v>
      </c>
      <c r="I291" s="48">
        <v>45461</v>
      </c>
      <c r="J291" s="42">
        <v>15.355157852172852</v>
      </c>
      <c r="K291" s="42">
        <v>15.347792625427246</v>
      </c>
      <c r="L291" s="44">
        <v>1838274.25</v>
      </c>
      <c r="M291" s="44">
        <v>1846149.625</v>
      </c>
      <c r="N291" s="46">
        <f t="shared" si="26"/>
        <v>1842211.9375</v>
      </c>
      <c r="O291" s="46">
        <f t="shared" si="27"/>
        <v>5568.7310668870068</v>
      </c>
      <c r="P291" s="46">
        <f t="shared" si="22"/>
        <v>0.30228503862829881</v>
      </c>
      <c r="Q291" s="66">
        <f t="shared" si="23"/>
        <v>128954835.625</v>
      </c>
    </row>
    <row r="292" spans="1:17">
      <c r="A292" s="32">
        <v>17</v>
      </c>
      <c r="B292" s="32">
        <v>570</v>
      </c>
      <c r="C292" s="81">
        <v>2</v>
      </c>
      <c r="D292" s="36" t="s">
        <v>1440</v>
      </c>
      <c r="E292" s="37" t="s">
        <v>528</v>
      </c>
      <c r="F292" s="38" t="s">
        <v>282</v>
      </c>
      <c r="G292" s="40" t="s">
        <v>595</v>
      </c>
      <c r="H292" s="71">
        <v>0</v>
      </c>
      <c r="I292" s="48">
        <v>45461</v>
      </c>
      <c r="J292" s="42">
        <v>16.799016952514648</v>
      </c>
      <c r="K292" s="42">
        <v>17.093170166015625</v>
      </c>
      <c r="L292" s="44">
        <v>795155.3125</v>
      </c>
      <c r="M292" s="44">
        <v>670353.375</v>
      </c>
      <c r="N292" s="46">
        <f t="shared" si="26"/>
        <v>732754.34375</v>
      </c>
      <c r="O292" s="46">
        <f t="shared" si="27"/>
        <v>88248.296311469676</v>
      </c>
      <c r="P292" s="46">
        <f t="shared" si="22"/>
        <v>12.043367202689431</v>
      </c>
      <c r="Q292" s="66">
        <f t="shared" si="23"/>
        <v>51292804.0625</v>
      </c>
    </row>
    <row r="293" spans="1:17">
      <c r="A293" s="32">
        <v>17</v>
      </c>
      <c r="B293" s="32">
        <v>580</v>
      </c>
      <c r="C293" s="81">
        <v>3</v>
      </c>
      <c r="D293" s="36" t="s">
        <v>1441</v>
      </c>
      <c r="E293" s="37">
        <v>45012</v>
      </c>
      <c r="F293" s="38" t="s">
        <v>282</v>
      </c>
      <c r="G293" s="40" t="s">
        <v>681</v>
      </c>
      <c r="H293" s="71">
        <v>10</v>
      </c>
      <c r="I293" s="48">
        <v>45461</v>
      </c>
      <c r="J293" s="42">
        <v>17.045408248901367</v>
      </c>
      <c r="K293" s="42">
        <v>17.22715950012207</v>
      </c>
      <c r="L293" s="44">
        <v>689196.875</v>
      </c>
      <c r="M293" s="44">
        <v>620195.5625</v>
      </c>
      <c r="N293" s="46">
        <f t="shared" si="26"/>
        <v>654696.21875</v>
      </c>
      <c r="O293" s="46">
        <f t="shared" si="27"/>
        <v>48791.295979522089</v>
      </c>
      <c r="P293" s="46">
        <f t="shared" si="22"/>
        <v>7.4525092068926941</v>
      </c>
      <c r="Q293" s="66">
        <f t="shared" si="23"/>
        <v>45828735.3125</v>
      </c>
    </row>
    <row r="294" spans="1:17">
      <c r="A294" s="32">
        <v>17</v>
      </c>
      <c r="B294" s="32">
        <v>590</v>
      </c>
      <c r="C294" s="81">
        <v>4</v>
      </c>
      <c r="D294" s="36" t="s">
        <v>1442</v>
      </c>
      <c r="E294" s="37">
        <v>45047</v>
      </c>
      <c r="F294" s="38" t="s">
        <v>282</v>
      </c>
      <c r="G294" s="40" t="s">
        <v>682</v>
      </c>
      <c r="H294" s="71">
        <v>0</v>
      </c>
      <c r="I294" s="48">
        <v>45461</v>
      </c>
      <c r="J294" s="42">
        <v>13.966671943664551</v>
      </c>
      <c r="K294" s="42">
        <v>13.962030410766602</v>
      </c>
      <c r="L294" s="44">
        <v>4115385.75</v>
      </c>
      <c r="M294" s="44">
        <v>4126487.75</v>
      </c>
      <c r="N294" s="46">
        <f t="shared" si="26"/>
        <v>4120936.75</v>
      </c>
      <c r="O294" s="46">
        <f t="shared" si="27"/>
        <v>7850.299484733051</v>
      </c>
      <c r="P294" s="46">
        <f t="shared" si="22"/>
        <v>0.19049793677937549</v>
      </c>
      <c r="Q294" s="66">
        <f t="shared" si="23"/>
        <v>288465572.5</v>
      </c>
    </row>
    <row r="295" spans="1:17">
      <c r="A295" s="32">
        <v>17</v>
      </c>
      <c r="B295" s="32">
        <v>600</v>
      </c>
      <c r="C295" s="81">
        <v>5</v>
      </c>
      <c r="D295" s="36" t="s">
        <v>1443</v>
      </c>
      <c r="E295" s="37">
        <v>45089</v>
      </c>
      <c r="F295" s="38" t="s">
        <v>282</v>
      </c>
      <c r="G295" s="40" t="s">
        <v>683</v>
      </c>
      <c r="H295" s="71">
        <v>0</v>
      </c>
      <c r="I295" s="48">
        <v>45461</v>
      </c>
      <c r="J295" s="42">
        <v>11.316020011901855</v>
      </c>
      <c r="K295" s="42">
        <v>11.13536548614502</v>
      </c>
      <c r="L295" s="44">
        <v>19167662</v>
      </c>
      <c r="M295" s="44">
        <v>21286650</v>
      </c>
      <c r="N295" s="46">
        <f t="shared" si="26"/>
        <v>20227156</v>
      </c>
      <c r="O295" s="46">
        <f t="shared" si="27"/>
        <v>1498350.7840529201</v>
      </c>
      <c r="P295" s="46">
        <f t="shared" si="22"/>
        <v>7.4076196577161912</v>
      </c>
      <c r="Q295" s="66">
        <f t="shared" si="23"/>
        <v>1415900920</v>
      </c>
    </row>
    <row r="296" spans="1:17">
      <c r="A296" s="32">
        <v>17</v>
      </c>
      <c r="B296" s="32">
        <v>610</v>
      </c>
      <c r="C296" s="81">
        <v>6</v>
      </c>
      <c r="D296" s="36" t="s">
        <v>1444</v>
      </c>
      <c r="E296" s="37">
        <v>45124</v>
      </c>
      <c r="F296" s="38" t="s">
        <v>282</v>
      </c>
      <c r="G296" s="40" t="s">
        <v>684</v>
      </c>
      <c r="H296" s="71">
        <v>0</v>
      </c>
      <c r="I296" s="48">
        <v>45461</v>
      </c>
      <c r="J296" s="42">
        <v>19.170539855957031</v>
      </c>
      <c r="K296" s="42">
        <v>19.006017684936523</v>
      </c>
      <c r="L296" s="44">
        <v>200749.453125</v>
      </c>
      <c r="M296" s="44">
        <v>220864.546875</v>
      </c>
      <c r="N296" s="46">
        <f t="shared" si="26"/>
        <v>210807</v>
      </c>
      <c r="O296" s="46">
        <f t="shared" si="27"/>
        <v>14223.519194828139</v>
      </c>
      <c r="P296" s="46">
        <f t="shared" si="22"/>
        <v>6.7471759452144093</v>
      </c>
      <c r="Q296" s="66">
        <f t="shared" si="23"/>
        <v>14756490</v>
      </c>
    </row>
    <row r="297" spans="1:17">
      <c r="A297" s="32">
        <v>17</v>
      </c>
      <c r="B297" s="32">
        <v>620</v>
      </c>
      <c r="C297" s="81">
        <v>7</v>
      </c>
      <c r="D297" s="36" t="s">
        <v>1445</v>
      </c>
      <c r="E297" s="37">
        <v>45159</v>
      </c>
      <c r="F297" s="38" t="s">
        <v>282</v>
      </c>
      <c r="G297" s="40" t="s">
        <v>685</v>
      </c>
      <c r="H297" s="71">
        <v>0</v>
      </c>
      <c r="I297" s="48">
        <v>45461</v>
      </c>
      <c r="J297" s="42">
        <v>14.505545616149902</v>
      </c>
      <c r="K297" s="42">
        <v>14.41655158996582</v>
      </c>
      <c r="L297" s="44">
        <v>3010058</v>
      </c>
      <c r="M297" s="44">
        <v>3169625</v>
      </c>
      <c r="N297" s="46">
        <f t="shared" si="26"/>
        <v>3089841.5</v>
      </c>
      <c r="O297" s="46">
        <f t="shared" si="27"/>
        <v>112830.90775359383</v>
      </c>
      <c r="P297" s="46">
        <f t="shared" si="22"/>
        <v>3.6516729985532859</v>
      </c>
      <c r="Q297" s="66">
        <f t="shared" si="23"/>
        <v>216288905</v>
      </c>
    </row>
    <row r="298" spans="1:17">
      <c r="A298" s="32">
        <v>17</v>
      </c>
      <c r="B298" s="32">
        <v>630</v>
      </c>
      <c r="C298" s="81">
        <v>8</v>
      </c>
      <c r="D298" s="36" t="s">
        <v>1446</v>
      </c>
      <c r="E298" s="37">
        <v>45194</v>
      </c>
      <c r="F298" s="38" t="s">
        <v>282</v>
      </c>
      <c r="G298" s="40" t="s">
        <v>686</v>
      </c>
      <c r="H298" s="71">
        <v>0</v>
      </c>
      <c r="I298" s="48">
        <v>45461</v>
      </c>
      <c r="J298" s="42">
        <v>14.673320770263672</v>
      </c>
      <c r="K298" s="42">
        <v>14.451016426086426</v>
      </c>
      <c r="L298" s="44">
        <v>2730758.25</v>
      </c>
      <c r="M298" s="44">
        <v>3106849.5</v>
      </c>
      <c r="N298" s="46">
        <f t="shared" si="26"/>
        <v>2918803.875</v>
      </c>
      <c r="O298" s="46">
        <f t="shared" si="27"/>
        <v>265936.67321992514</v>
      </c>
      <c r="P298" s="46">
        <f t="shared" si="22"/>
        <v>9.1111525340127599</v>
      </c>
      <c r="Q298" s="66">
        <f t="shared" si="23"/>
        <v>204316271.25</v>
      </c>
    </row>
    <row r="299" spans="1:17">
      <c r="A299" s="32">
        <v>18</v>
      </c>
      <c r="B299" s="32">
        <v>10</v>
      </c>
      <c r="C299" s="81">
        <v>11</v>
      </c>
      <c r="D299" s="36" t="s">
        <v>1369</v>
      </c>
      <c r="E299" s="37">
        <v>42779</v>
      </c>
      <c r="F299" s="38" t="s">
        <v>282</v>
      </c>
      <c r="G299" s="40" t="s">
        <v>615</v>
      </c>
      <c r="H299" s="71">
        <v>5</v>
      </c>
      <c r="I299" s="48">
        <v>45461</v>
      </c>
      <c r="J299" s="42">
        <v>14.720013618469238</v>
      </c>
      <c r="K299" s="42">
        <v>14.89949893951416</v>
      </c>
      <c r="L299" s="44">
        <v>1943356.5</v>
      </c>
      <c r="M299" s="44">
        <v>1749431.875</v>
      </c>
      <c r="N299" s="46">
        <f t="shared" si="26"/>
        <v>1846394.1875</v>
      </c>
      <c r="O299" s="46">
        <f t="shared" si="27"/>
        <v>137125.4173765583</v>
      </c>
      <c r="P299" s="46">
        <f t="shared" si="22"/>
        <v>7.4266599356134666</v>
      </c>
      <c r="Q299" s="66">
        <f t="shared" si="23"/>
        <v>129247593.125</v>
      </c>
    </row>
    <row r="300" spans="1:17">
      <c r="A300" s="32">
        <v>18</v>
      </c>
      <c r="B300" s="32">
        <v>20</v>
      </c>
      <c r="C300" s="71">
        <v>1</v>
      </c>
      <c r="D300" s="37" t="s">
        <v>1170</v>
      </c>
      <c r="E300" s="37">
        <v>42814</v>
      </c>
      <c r="F300" s="40" t="s">
        <v>282</v>
      </c>
      <c r="G300" s="38" t="s">
        <v>1171</v>
      </c>
      <c r="H300" s="71">
        <v>5</v>
      </c>
      <c r="I300" s="48">
        <v>45475</v>
      </c>
      <c r="J300" s="42">
        <v>13.00941276550293</v>
      </c>
      <c r="K300" s="42">
        <v>13.375602722167969</v>
      </c>
      <c r="L300" s="44">
        <v>11517389</v>
      </c>
      <c r="M300" s="44">
        <v>9379805</v>
      </c>
      <c r="N300" s="46">
        <f t="shared" si="26"/>
        <v>10448597</v>
      </c>
      <c r="O300" s="46">
        <f t="shared" si="27"/>
        <v>1511500.141755865</v>
      </c>
      <c r="P300" s="46">
        <f t="shared" si="22"/>
        <v>14.466058378515937</v>
      </c>
      <c r="Q300" s="66">
        <f t="shared" si="23"/>
        <v>731401790</v>
      </c>
    </row>
    <row r="301" spans="1:17">
      <c r="A301" s="32">
        <v>18</v>
      </c>
      <c r="B301" s="32">
        <v>30</v>
      </c>
      <c r="C301" s="71">
        <v>2</v>
      </c>
      <c r="D301" s="37" t="s">
        <v>1172</v>
      </c>
      <c r="E301" s="37">
        <v>42849</v>
      </c>
      <c r="F301" s="40" t="s">
        <v>282</v>
      </c>
      <c r="G301" s="38" t="s">
        <v>1173</v>
      </c>
      <c r="H301" s="71">
        <v>5</v>
      </c>
      <c r="I301" s="48">
        <v>45475</v>
      </c>
      <c r="J301" s="42">
        <v>12.864546775817871</v>
      </c>
      <c r="K301" s="42">
        <v>13.369683265686035</v>
      </c>
      <c r="L301" s="44">
        <v>12491832</v>
      </c>
      <c r="M301" s="44">
        <v>9410985</v>
      </c>
      <c r="N301" s="46">
        <f t="shared" si="26"/>
        <v>10951408.5</v>
      </c>
      <c r="O301" s="46">
        <f t="shared" si="27"/>
        <v>2178487.8054982312</v>
      </c>
      <c r="P301" s="46">
        <f t="shared" si="22"/>
        <v>19.892307053455554</v>
      </c>
      <c r="Q301" s="66">
        <f t="shared" si="23"/>
        <v>766598595</v>
      </c>
    </row>
    <row r="302" spans="1:17">
      <c r="A302" s="32">
        <v>18</v>
      </c>
      <c r="B302" s="32">
        <v>40</v>
      </c>
      <c r="C302" s="71">
        <v>3</v>
      </c>
      <c r="D302" s="37" t="s">
        <v>1174</v>
      </c>
      <c r="E302" s="37">
        <v>42884</v>
      </c>
      <c r="F302" s="40" t="s">
        <v>282</v>
      </c>
      <c r="G302" s="38" t="s">
        <v>1175</v>
      </c>
      <c r="H302" s="71">
        <v>5</v>
      </c>
      <c r="I302" s="48">
        <v>45475</v>
      </c>
      <c r="J302" s="42">
        <v>19.560953140258789</v>
      </c>
      <c r="K302" s="42">
        <v>18.889398574829102</v>
      </c>
      <c r="L302" s="44">
        <v>292536.28125</v>
      </c>
      <c r="M302" s="44">
        <v>426275.53125</v>
      </c>
      <c r="N302" s="46">
        <f t="shared" si="26"/>
        <v>359405.90625</v>
      </c>
      <c r="O302" s="46">
        <f t="shared" si="27"/>
        <v>94567.930585802969</v>
      </c>
      <c r="P302" s="46">
        <f t="shared" si="22"/>
        <v>26.312291740698949</v>
      </c>
      <c r="Q302" s="66">
        <f t="shared" si="23"/>
        <v>25158413.4375</v>
      </c>
    </row>
    <row r="303" spans="1:17">
      <c r="A303" s="32">
        <v>18</v>
      </c>
      <c r="B303" s="32">
        <v>50</v>
      </c>
      <c r="C303" s="74">
        <v>4</v>
      </c>
      <c r="D303" s="63" t="s">
        <v>616</v>
      </c>
      <c r="E303" s="63">
        <v>42940</v>
      </c>
      <c r="F303" s="73" t="s">
        <v>282</v>
      </c>
      <c r="G303" s="61" t="s">
        <v>617</v>
      </c>
      <c r="H303" s="74">
        <v>5</v>
      </c>
      <c r="I303" s="48">
        <v>45475</v>
      </c>
      <c r="J303" s="42">
        <v>21.717388153076172</v>
      </c>
      <c r="K303" s="42">
        <v>18.826139450073242</v>
      </c>
      <c r="L303" s="44">
        <v>87323.1171875</v>
      </c>
      <c r="M303" s="44">
        <v>441664.78125</v>
      </c>
      <c r="N303" s="46">
        <f t="shared" si="26"/>
        <v>264493.94921875</v>
      </c>
      <c r="O303" s="46">
        <f t="shared" si="27"/>
        <v>250557.39351551933</v>
      </c>
      <c r="P303" s="46">
        <f t="shared" si="22"/>
        <v>94.73086029211791</v>
      </c>
      <c r="Q303" s="66">
        <f t="shared" si="23"/>
        <v>18514576.4453125</v>
      </c>
    </row>
    <row r="304" spans="1:17">
      <c r="A304" s="32">
        <v>18</v>
      </c>
      <c r="B304" s="32">
        <v>60</v>
      </c>
      <c r="C304" s="81">
        <v>12</v>
      </c>
      <c r="D304" s="62" t="s">
        <v>1370</v>
      </c>
      <c r="E304" s="63">
        <v>42975</v>
      </c>
      <c r="F304" s="61" t="s">
        <v>282</v>
      </c>
      <c r="G304" s="73" t="s">
        <v>814</v>
      </c>
      <c r="H304" s="71">
        <v>0</v>
      </c>
      <c r="I304" s="48">
        <v>45461</v>
      </c>
      <c r="J304" s="42">
        <v>15.61598014831543</v>
      </c>
      <c r="K304" s="42">
        <v>14.727421760559082</v>
      </c>
      <c r="L304" s="44">
        <v>1149864.25</v>
      </c>
      <c r="M304" s="44">
        <v>1934942.625</v>
      </c>
      <c r="N304" s="46">
        <f t="shared" si="26"/>
        <v>1542403.4375</v>
      </c>
      <c r="O304" s="46">
        <f t="shared" si="27"/>
        <v>555134.24272541527</v>
      </c>
      <c r="P304" s="46">
        <f t="shared" si="22"/>
        <v>35.991507100451159</v>
      </c>
      <c r="Q304" s="66">
        <f t="shared" si="23"/>
        <v>107968240.625</v>
      </c>
    </row>
    <row r="305" spans="1:17">
      <c r="A305" s="32">
        <v>18</v>
      </c>
      <c r="B305" s="32">
        <v>70</v>
      </c>
      <c r="C305" s="71">
        <v>5</v>
      </c>
      <c r="D305" s="37" t="s">
        <v>1176</v>
      </c>
      <c r="E305" s="37">
        <v>43010</v>
      </c>
      <c r="F305" s="40" t="s">
        <v>282</v>
      </c>
      <c r="G305" s="38" t="s">
        <v>1109</v>
      </c>
      <c r="H305" s="71">
        <v>5</v>
      </c>
      <c r="I305" s="48">
        <v>45475</v>
      </c>
      <c r="J305" s="42">
        <v>17.059213638305664</v>
      </c>
      <c r="K305" s="42">
        <v>16.963447570800781</v>
      </c>
      <c r="L305" s="44">
        <v>1189338</v>
      </c>
      <c r="M305" s="44">
        <v>1254938.625</v>
      </c>
      <c r="N305" s="46">
        <f t="shared" si="26"/>
        <v>1222138.3125</v>
      </c>
      <c r="O305" s="46">
        <f t="shared" si="27"/>
        <v>46386.646787575759</v>
      </c>
      <c r="P305" s="46">
        <f t="shared" si="22"/>
        <v>3.7955316769905911</v>
      </c>
      <c r="Q305" s="66">
        <f t="shared" si="23"/>
        <v>85549681.875</v>
      </c>
    </row>
    <row r="306" spans="1:17">
      <c r="A306" s="32">
        <v>18</v>
      </c>
      <c r="B306" s="32">
        <v>80</v>
      </c>
      <c r="C306" s="71">
        <v>6</v>
      </c>
      <c r="D306" s="37" t="s">
        <v>1177</v>
      </c>
      <c r="E306" s="37">
        <v>43045</v>
      </c>
      <c r="F306" s="40" t="s">
        <v>282</v>
      </c>
      <c r="G306" s="38" t="s">
        <v>1111</v>
      </c>
      <c r="H306" s="71">
        <v>5</v>
      </c>
      <c r="I306" s="48">
        <v>45475</v>
      </c>
      <c r="J306" s="42">
        <v>18.728767395019531</v>
      </c>
      <c r="K306" s="42">
        <v>18.480722427368164</v>
      </c>
      <c r="L306" s="44">
        <v>466445.59375</v>
      </c>
      <c r="M306" s="44">
        <v>536037.5</v>
      </c>
      <c r="N306" s="46">
        <f t="shared" si="26"/>
        <v>501241.546875</v>
      </c>
      <c r="O306" s="46">
        <f t="shared" si="27"/>
        <v>49208.908825073479</v>
      </c>
      <c r="P306" s="46">
        <f t="shared" si="22"/>
        <v>9.8174042299301316</v>
      </c>
      <c r="Q306" s="66">
        <f t="shared" si="23"/>
        <v>35086908.28125</v>
      </c>
    </row>
    <row r="307" spans="1:17">
      <c r="A307" s="32">
        <v>18</v>
      </c>
      <c r="B307" s="32">
        <v>90</v>
      </c>
      <c r="C307" s="71">
        <v>7</v>
      </c>
      <c r="D307" s="37" t="s">
        <v>1178</v>
      </c>
      <c r="E307" s="37">
        <v>43080</v>
      </c>
      <c r="F307" s="40" t="s">
        <v>282</v>
      </c>
      <c r="G307" s="38" t="s">
        <v>1113</v>
      </c>
      <c r="H307" s="71">
        <v>5</v>
      </c>
      <c r="I307" s="48">
        <v>45475</v>
      </c>
      <c r="J307" s="42">
        <v>14.592730522155762</v>
      </c>
      <c r="K307" s="42">
        <v>14.361302375793457</v>
      </c>
      <c r="L307" s="44">
        <v>4740745</v>
      </c>
      <c r="M307" s="44">
        <v>5397528</v>
      </c>
      <c r="N307" s="46">
        <f t="shared" si="26"/>
        <v>5069136.5</v>
      </c>
      <c r="O307" s="46">
        <f t="shared" si="27"/>
        <v>464415.71306804422</v>
      </c>
      <c r="P307" s="46">
        <f t="shared" si="22"/>
        <v>9.1616336050142699</v>
      </c>
      <c r="Q307" s="66">
        <f t="shared" si="23"/>
        <v>354839555</v>
      </c>
    </row>
    <row r="308" spans="1:17">
      <c r="A308" s="32">
        <v>18</v>
      </c>
      <c r="B308" s="32">
        <v>100</v>
      </c>
      <c r="C308" s="81">
        <v>13</v>
      </c>
      <c r="D308" s="36" t="s">
        <v>1371</v>
      </c>
      <c r="E308" s="37">
        <v>43136</v>
      </c>
      <c r="F308" s="38" t="s">
        <v>282</v>
      </c>
      <c r="G308" s="40" t="s">
        <v>618</v>
      </c>
      <c r="H308" s="71">
        <v>5</v>
      </c>
      <c r="I308" s="48">
        <v>45461</v>
      </c>
      <c r="J308" s="60">
        <v>14.586469650268555</v>
      </c>
      <c r="K308" s="42">
        <v>17.610357284545898</v>
      </c>
      <c r="L308" s="46">
        <v>2101463.75</v>
      </c>
      <c r="M308" s="44">
        <v>357552.0625</v>
      </c>
      <c r="N308" s="46">
        <f t="shared" si="26"/>
        <v>1229507.90625</v>
      </c>
      <c r="O308" s="46">
        <f t="shared" si="27"/>
        <v>1233131.7800217255</v>
      </c>
      <c r="P308" s="46">
        <f t="shared" si="22"/>
        <v>100.29474180306642</v>
      </c>
      <c r="Q308" s="66">
        <f t="shared" si="23"/>
        <v>86065553.4375</v>
      </c>
    </row>
    <row r="309" spans="1:17">
      <c r="A309" s="32">
        <v>18</v>
      </c>
      <c r="B309" s="32">
        <v>110</v>
      </c>
      <c r="C309" s="71">
        <v>8</v>
      </c>
      <c r="D309" s="37" t="s">
        <v>1179</v>
      </c>
      <c r="E309" s="37">
        <v>43171</v>
      </c>
      <c r="F309" s="40" t="s">
        <v>282</v>
      </c>
      <c r="G309" s="38" t="s">
        <v>1115</v>
      </c>
      <c r="H309" s="71">
        <v>5</v>
      </c>
      <c r="I309" s="48">
        <v>45475</v>
      </c>
      <c r="J309" s="42">
        <v>16.567375183105469</v>
      </c>
      <c r="K309" s="42">
        <v>16.542881011962891</v>
      </c>
      <c r="L309" s="44">
        <v>1566962.125</v>
      </c>
      <c r="M309" s="44">
        <v>1588628.625</v>
      </c>
      <c r="N309" s="46">
        <f t="shared" si="26"/>
        <v>1577795.375</v>
      </c>
      <c r="O309" s="46">
        <f t="shared" si="27"/>
        <v>15320.529074578331</v>
      </c>
      <c r="P309" s="46">
        <f t="shared" si="22"/>
        <v>0.97100861856553056</v>
      </c>
      <c r="Q309" s="66">
        <f t="shared" si="23"/>
        <v>110445676.25</v>
      </c>
    </row>
    <row r="310" spans="1:17">
      <c r="A310" s="32">
        <v>18</v>
      </c>
      <c r="B310" s="32">
        <v>120</v>
      </c>
      <c r="C310" s="71">
        <v>9</v>
      </c>
      <c r="D310" s="37" t="s">
        <v>1180</v>
      </c>
      <c r="E310" s="37">
        <v>43206</v>
      </c>
      <c r="F310" s="40" t="s">
        <v>282</v>
      </c>
      <c r="G310" s="38" t="s">
        <v>1117</v>
      </c>
      <c r="H310" s="71">
        <v>5</v>
      </c>
      <c r="I310" s="48">
        <v>45475</v>
      </c>
      <c r="J310" s="42">
        <v>18.082672119140625</v>
      </c>
      <c r="K310" s="42">
        <v>18.057868957519531</v>
      </c>
      <c r="L310" s="44">
        <v>670058.625</v>
      </c>
      <c r="M310" s="44">
        <v>679441.25</v>
      </c>
      <c r="N310" s="46">
        <f t="shared" si="26"/>
        <v>674749.9375</v>
      </c>
      <c r="O310" s="46">
        <f t="shared" si="27"/>
        <v>6634.5177628304309</v>
      </c>
      <c r="P310" s="46">
        <f t="shared" si="22"/>
        <v>0.98325578026903204</v>
      </c>
      <c r="Q310" s="66">
        <f t="shared" si="23"/>
        <v>47232495.625</v>
      </c>
    </row>
    <row r="311" spans="1:17">
      <c r="A311" s="32">
        <v>18</v>
      </c>
      <c r="B311" s="32">
        <v>130</v>
      </c>
      <c r="C311" s="71">
        <v>10</v>
      </c>
      <c r="D311" s="37" t="s">
        <v>1181</v>
      </c>
      <c r="E311" s="37">
        <v>43242</v>
      </c>
      <c r="F311" s="40" t="s">
        <v>282</v>
      </c>
      <c r="G311" s="38" t="s">
        <v>1182</v>
      </c>
      <c r="H311" s="71">
        <v>5</v>
      </c>
      <c r="I311" s="48">
        <v>45475</v>
      </c>
      <c r="J311" s="42">
        <v>22.254722595214844</v>
      </c>
      <c r="K311" s="42">
        <v>21.807868957519531</v>
      </c>
      <c r="L311" s="44">
        <v>64609.83203125</v>
      </c>
      <c r="M311" s="44">
        <v>83003.9765625</v>
      </c>
      <c r="N311" s="46">
        <f t="shared" si="26"/>
        <v>73806.904296875</v>
      </c>
      <c r="O311" s="46">
        <f t="shared" si="27"/>
        <v>13006.624332172323</v>
      </c>
      <c r="P311" s="46">
        <f t="shared" si="22"/>
        <v>17.622503553130365</v>
      </c>
      <c r="Q311" s="66">
        <f t="shared" si="23"/>
        <v>5166483.30078125</v>
      </c>
    </row>
    <row r="312" spans="1:17">
      <c r="A312" s="32">
        <v>18</v>
      </c>
      <c r="B312" s="32">
        <v>140</v>
      </c>
      <c r="C312" s="71">
        <v>11</v>
      </c>
      <c r="D312" s="37" t="s">
        <v>1183</v>
      </c>
      <c r="E312" s="37">
        <v>43276</v>
      </c>
      <c r="F312" s="40" t="s">
        <v>282</v>
      </c>
      <c r="G312" s="38" t="s">
        <v>1184</v>
      </c>
      <c r="H312" s="71">
        <v>5</v>
      </c>
      <c r="I312" s="48">
        <v>45475</v>
      </c>
      <c r="J312" s="42">
        <v>17.772794723510742</v>
      </c>
      <c r="K312" s="42">
        <v>17.72602653503418</v>
      </c>
      <c r="L312" s="44">
        <v>797190.3125</v>
      </c>
      <c r="M312" s="44">
        <v>818368.9375</v>
      </c>
      <c r="N312" s="46">
        <f t="shared" si="26"/>
        <v>807779.625</v>
      </c>
      <c r="O312" s="46">
        <f t="shared" si="27"/>
        <v>14975.549353706945</v>
      </c>
      <c r="P312" s="46">
        <f t="shared" si="22"/>
        <v>1.8539152127917247</v>
      </c>
      <c r="Q312" s="66">
        <f t="shared" si="23"/>
        <v>56544573.75</v>
      </c>
    </row>
    <row r="313" spans="1:17">
      <c r="A313" s="32">
        <v>18</v>
      </c>
      <c r="B313" s="32">
        <v>150</v>
      </c>
      <c r="C313" s="81">
        <v>14</v>
      </c>
      <c r="D313" s="36" t="s">
        <v>1372</v>
      </c>
      <c r="E313" s="37">
        <v>43311</v>
      </c>
      <c r="F313" s="38" t="s">
        <v>282</v>
      </c>
      <c r="G313" s="40" t="s">
        <v>619</v>
      </c>
      <c r="H313" s="71">
        <v>5</v>
      </c>
      <c r="I313" s="48">
        <v>45461</v>
      </c>
      <c r="J313" s="60">
        <v>13.611418724060059</v>
      </c>
      <c r="K313" s="42">
        <v>15.178203582763672</v>
      </c>
      <c r="L313" s="46">
        <v>3720012.75</v>
      </c>
      <c r="M313" s="44">
        <v>1485946.75</v>
      </c>
      <c r="N313" s="46">
        <f t="shared" si="26"/>
        <v>2602979.75</v>
      </c>
      <c r="O313" s="46">
        <f t="shared" si="27"/>
        <v>1579723.2182183054</v>
      </c>
      <c r="P313" s="46">
        <f t="shared" si="22"/>
        <v>60.689032183915586</v>
      </c>
      <c r="Q313" s="66">
        <f t="shared" si="23"/>
        <v>182208582.5</v>
      </c>
    </row>
    <row r="314" spans="1:17">
      <c r="A314" s="32">
        <v>18</v>
      </c>
      <c r="B314" s="32">
        <v>160</v>
      </c>
      <c r="C314" s="71">
        <v>12</v>
      </c>
      <c r="D314" s="37" t="s">
        <v>1185</v>
      </c>
      <c r="E314" s="37">
        <v>43346</v>
      </c>
      <c r="F314" s="40" t="s">
        <v>282</v>
      </c>
      <c r="G314" s="38" t="s">
        <v>1186</v>
      </c>
      <c r="H314" s="71">
        <v>5</v>
      </c>
      <c r="I314" s="48">
        <v>45475</v>
      </c>
      <c r="J314" s="42">
        <v>16.04327392578125</v>
      </c>
      <c r="K314" s="42">
        <v>15.881720542907715</v>
      </c>
      <c r="L314" s="44">
        <v>2102166.5</v>
      </c>
      <c r="M314" s="44">
        <v>2301453.75</v>
      </c>
      <c r="N314" s="46">
        <f t="shared" si="26"/>
        <v>2201810.125</v>
      </c>
      <c r="O314" s="46">
        <f t="shared" si="27"/>
        <v>140917.36587901879</v>
      </c>
      <c r="P314" s="46">
        <f t="shared" si="22"/>
        <v>6.4000689377799453</v>
      </c>
      <c r="Q314" s="66">
        <f t="shared" si="23"/>
        <v>154126708.75</v>
      </c>
    </row>
    <row r="315" spans="1:17">
      <c r="A315" s="32">
        <v>18</v>
      </c>
      <c r="B315" s="32">
        <v>170</v>
      </c>
      <c r="C315" s="71">
        <v>13</v>
      </c>
      <c r="D315" s="37" t="s">
        <v>1187</v>
      </c>
      <c r="E315" s="37">
        <v>43381</v>
      </c>
      <c r="F315" s="40" t="s">
        <v>282</v>
      </c>
      <c r="G315" s="38" t="s">
        <v>1188</v>
      </c>
      <c r="H315" s="71">
        <v>5</v>
      </c>
      <c r="I315" s="48">
        <v>45475</v>
      </c>
      <c r="J315" s="42">
        <v>16.082122802734375</v>
      </c>
      <c r="K315" s="42">
        <v>16.093055725097656</v>
      </c>
      <c r="L315" s="44">
        <v>2056876.25</v>
      </c>
      <c r="M315" s="44">
        <v>2044307.375</v>
      </c>
      <c r="N315" s="46">
        <f t="shared" si="26"/>
        <v>2050591.8125</v>
      </c>
      <c r="O315" s="46">
        <f t="shared" si="27"/>
        <v>8887.5367443860669</v>
      </c>
      <c r="P315" s="46">
        <f t="shared" si="22"/>
        <v>0.43341325612486165</v>
      </c>
      <c r="Q315" s="66">
        <f t="shared" si="23"/>
        <v>143541426.875</v>
      </c>
    </row>
    <row r="316" spans="1:17">
      <c r="A316" s="32">
        <v>18</v>
      </c>
      <c r="B316" s="32">
        <v>180</v>
      </c>
      <c r="C316" s="71">
        <v>14</v>
      </c>
      <c r="D316" s="37" t="s">
        <v>1189</v>
      </c>
      <c r="E316" s="37">
        <v>43416</v>
      </c>
      <c r="F316" s="40" t="s">
        <v>282</v>
      </c>
      <c r="G316" s="38" t="s">
        <v>1190</v>
      </c>
      <c r="H316" s="71">
        <v>5</v>
      </c>
      <c r="I316" s="48">
        <v>45475</v>
      </c>
      <c r="J316" s="42">
        <v>16.26673698425293</v>
      </c>
      <c r="K316" s="42">
        <v>16.190607070922852</v>
      </c>
      <c r="L316" s="44">
        <v>1854633.625</v>
      </c>
      <c r="M316" s="44">
        <v>1935505.125</v>
      </c>
      <c r="N316" s="46">
        <f t="shared" ref="N316:N333" si="28">AVERAGE(L316:M316)</f>
        <v>1895069.375</v>
      </c>
      <c r="O316" s="46">
        <f t="shared" ref="O316:O333" si="29">STDEVA(L316:M316)</f>
        <v>57184.786054727876</v>
      </c>
      <c r="P316" s="46">
        <f t="shared" si="22"/>
        <v>3.0175563390510636</v>
      </c>
      <c r="Q316" s="66">
        <f t="shared" si="23"/>
        <v>132654856.25</v>
      </c>
    </row>
    <row r="317" spans="1:17">
      <c r="A317" s="32">
        <v>18</v>
      </c>
      <c r="B317" s="32">
        <v>190</v>
      </c>
      <c r="C317" s="71">
        <v>15</v>
      </c>
      <c r="D317" s="37" t="s">
        <v>1191</v>
      </c>
      <c r="E317" s="37">
        <v>43451</v>
      </c>
      <c r="F317" s="40" t="s">
        <v>282</v>
      </c>
      <c r="G317" s="38" t="s">
        <v>1192</v>
      </c>
      <c r="H317" s="71">
        <v>10</v>
      </c>
      <c r="I317" s="48">
        <v>45475</v>
      </c>
      <c r="J317" s="42">
        <v>16.224842071533203</v>
      </c>
      <c r="K317" s="42">
        <v>16.196725845336914</v>
      </c>
      <c r="L317" s="44">
        <v>1898710.5</v>
      </c>
      <c r="M317" s="44">
        <v>1928876.875</v>
      </c>
      <c r="N317" s="46">
        <f t="shared" si="28"/>
        <v>1913793.6875</v>
      </c>
      <c r="O317" s="46">
        <f t="shared" si="29"/>
        <v>21330.848326316336</v>
      </c>
      <c r="P317" s="46">
        <f t="shared" si="22"/>
        <v>1.1145845273521071</v>
      </c>
      <c r="Q317" s="66">
        <f t="shared" si="23"/>
        <v>133965558.125</v>
      </c>
    </row>
    <row r="318" spans="1:17">
      <c r="A318" s="32">
        <v>18</v>
      </c>
      <c r="B318" s="32">
        <v>200</v>
      </c>
      <c r="C318" s="81">
        <v>15</v>
      </c>
      <c r="D318" s="36" t="s">
        <v>1373</v>
      </c>
      <c r="E318" s="37">
        <v>43549</v>
      </c>
      <c r="F318" s="38" t="s">
        <v>282</v>
      </c>
      <c r="G318" s="40" t="s">
        <v>620</v>
      </c>
      <c r="H318" s="71">
        <v>5</v>
      </c>
      <c r="I318" s="48">
        <v>45461</v>
      </c>
      <c r="J318" s="42">
        <v>16.352640151977539</v>
      </c>
      <c r="K318" s="42">
        <v>16.149454116821289</v>
      </c>
      <c r="L318" s="44">
        <v>746901.375</v>
      </c>
      <c r="M318" s="44">
        <v>841293.3125</v>
      </c>
      <c r="N318" s="46">
        <f t="shared" si="28"/>
        <v>794097.34375</v>
      </c>
      <c r="O318" s="46">
        <f t="shared" si="29"/>
        <v>66745.179095586776</v>
      </c>
      <c r="P318" s="46">
        <f t="shared" si="22"/>
        <v>8.4051633746050776</v>
      </c>
      <c r="Q318" s="66">
        <f t="shared" si="23"/>
        <v>55586814.0625</v>
      </c>
    </row>
    <row r="319" spans="1:17">
      <c r="A319" s="32">
        <v>18</v>
      </c>
      <c r="B319" s="32">
        <v>210</v>
      </c>
      <c r="C319" s="71">
        <v>16</v>
      </c>
      <c r="D319" s="37" t="s">
        <v>1193</v>
      </c>
      <c r="E319" s="37">
        <v>43584</v>
      </c>
      <c r="F319" s="40" t="s">
        <v>282</v>
      </c>
      <c r="G319" s="38" t="s">
        <v>1194</v>
      </c>
      <c r="H319" s="71">
        <v>5</v>
      </c>
      <c r="I319" s="48">
        <v>45475</v>
      </c>
      <c r="J319" s="42">
        <v>16.525203704833984</v>
      </c>
      <c r="K319" s="42">
        <v>16.680883407592773</v>
      </c>
      <c r="L319" s="44">
        <v>1604451</v>
      </c>
      <c r="M319" s="44">
        <v>1470352.375</v>
      </c>
      <c r="N319" s="46">
        <f t="shared" si="28"/>
        <v>1537401.6875</v>
      </c>
      <c r="O319" s="46">
        <f t="shared" si="29"/>
        <v>94822.047085291895</v>
      </c>
      <c r="P319" s="46">
        <f t="shared" si="22"/>
        <v>6.167681995944986</v>
      </c>
      <c r="Q319" s="66">
        <f t="shared" si="23"/>
        <v>107618118.125</v>
      </c>
    </row>
    <row r="320" spans="1:17">
      <c r="A320" s="32">
        <v>18</v>
      </c>
      <c r="B320" s="32">
        <v>220</v>
      </c>
      <c r="C320" s="71">
        <v>17</v>
      </c>
      <c r="D320" s="37" t="s">
        <v>1195</v>
      </c>
      <c r="E320" s="37">
        <v>43619</v>
      </c>
      <c r="F320" s="40" t="s">
        <v>282</v>
      </c>
      <c r="G320" s="38" t="s">
        <v>1196</v>
      </c>
      <c r="H320" s="71">
        <v>7</v>
      </c>
      <c r="I320" s="48">
        <v>45475</v>
      </c>
      <c r="J320" s="42">
        <v>18.538320541381836</v>
      </c>
      <c r="K320" s="42">
        <v>18.788738250732422</v>
      </c>
      <c r="L320" s="44">
        <v>519004.53125</v>
      </c>
      <c r="M320" s="44">
        <v>451023.59375</v>
      </c>
      <c r="N320" s="46">
        <f t="shared" si="28"/>
        <v>485014.0625</v>
      </c>
      <c r="O320" s="46">
        <f t="shared" si="29"/>
        <v>48069.781897668865</v>
      </c>
      <c r="P320" s="46">
        <f t="shared" si="22"/>
        <v>9.9110078684922396</v>
      </c>
      <c r="Q320" s="66">
        <f t="shared" si="23"/>
        <v>33950984.375</v>
      </c>
    </row>
    <row r="321" spans="1:17">
      <c r="A321" s="32">
        <v>18</v>
      </c>
      <c r="B321" s="32">
        <v>230</v>
      </c>
      <c r="C321" s="71">
        <v>18</v>
      </c>
      <c r="D321" s="37" t="s">
        <v>1197</v>
      </c>
      <c r="E321" s="37">
        <v>43661</v>
      </c>
      <c r="F321" s="40" t="s">
        <v>282</v>
      </c>
      <c r="G321" s="38" t="s">
        <v>1198</v>
      </c>
      <c r="H321" s="71">
        <v>7</v>
      </c>
      <c r="I321" s="48">
        <v>45475</v>
      </c>
      <c r="J321" s="42">
        <v>15.160746574401855</v>
      </c>
      <c r="K321" s="42">
        <v>15.190946578979492</v>
      </c>
      <c r="L321" s="44">
        <v>3447827.75</v>
      </c>
      <c r="M321" s="44">
        <v>3389943.5</v>
      </c>
      <c r="N321" s="46">
        <f t="shared" si="28"/>
        <v>3418885.625</v>
      </c>
      <c r="O321" s="46">
        <f t="shared" si="29"/>
        <v>40930.345698897414</v>
      </c>
      <c r="P321" s="46">
        <f t="shared" si="22"/>
        <v>1.1971838250335565</v>
      </c>
      <c r="Q321" s="66">
        <f t="shared" si="23"/>
        <v>239321993.75</v>
      </c>
    </row>
    <row r="322" spans="1:17">
      <c r="A322" s="32">
        <v>18</v>
      </c>
      <c r="B322" s="32">
        <v>240</v>
      </c>
      <c r="C322" s="71">
        <v>19</v>
      </c>
      <c r="D322" s="37" t="s">
        <v>1199</v>
      </c>
      <c r="E322" s="37">
        <v>43696</v>
      </c>
      <c r="F322" s="40" t="s">
        <v>282</v>
      </c>
      <c r="G322" s="38" t="s">
        <v>1200</v>
      </c>
      <c r="H322" s="71">
        <v>7</v>
      </c>
      <c r="I322" s="48">
        <v>45475</v>
      </c>
      <c r="J322" s="42">
        <v>14.551304817199707</v>
      </c>
      <c r="K322" s="42">
        <v>14.84421443939209</v>
      </c>
      <c r="L322" s="44">
        <v>4852135.5</v>
      </c>
      <c r="M322" s="44">
        <v>4117324.25</v>
      </c>
      <c r="N322" s="46">
        <f t="shared" si="28"/>
        <v>4484729.875</v>
      </c>
      <c r="O322" s="46">
        <f t="shared" si="29"/>
        <v>519590.01776716346</v>
      </c>
      <c r="P322" s="46">
        <f t="shared" si="22"/>
        <v>11.585759505017311</v>
      </c>
      <c r="Q322" s="66">
        <f t="shared" si="23"/>
        <v>313931091.25</v>
      </c>
    </row>
    <row r="323" spans="1:17">
      <c r="A323" s="32">
        <v>18</v>
      </c>
      <c r="B323" s="32">
        <v>250</v>
      </c>
      <c r="C323" s="81">
        <v>16</v>
      </c>
      <c r="D323" s="36" t="s">
        <v>1374</v>
      </c>
      <c r="E323" s="37">
        <v>43731</v>
      </c>
      <c r="F323" s="38" t="s">
        <v>282</v>
      </c>
      <c r="G323" s="40" t="s">
        <v>621</v>
      </c>
      <c r="H323" s="71">
        <v>5</v>
      </c>
      <c r="I323" s="48">
        <v>45461</v>
      </c>
      <c r="J323" s="42">
        <v>17.444538116455078</v>
      </c>
      <c r="K323" s="42">
        <v>16.945318222045898</v>
      </c>
      <c r="L323" s="44">
        <v>394020.21875</v>
      </c>
      <c r="M323" s="44">
        <v>527842.625</v>
      </c>
      <c r="N323" s="46">
        <f t="shared" si="28"/>
        <v>460931.421875</v>
      </c>
      <c r="O323" s="46">
        <f t="shared" si="29"/>
        <v>94626.730934076026</v>
      </c>
      <c r="P323" s="46">
        <f t="shared" ref="P323:P386" si="30">O323*100/N323</f>
        <v>20.529459794506668</v>
      </c>
      <c r="Q323" s="66">
        <f t="shared" ref="Q323:Q386" si="31">N323*70</f>
        <v>32265199.53125</v>
      </c>
    </row>
    <row r="324" spans="1:17">
      <c r="A324" s="32">
        <v>18</v>
      </c>
      <c r="B324" s="32">
        <v>260</v>
      </c>
      <c r="C324" s="71">
        <v>20</v>
      </c>
      <c r="D324" s="37" t="s">
        <v>1201</v>
      </c>
      <c r="E324" s="37">
        <v>43766</v>
      </c>
      <c r="F324" s="40" t="s">
        <v>282</v>
      </c>
      <c r="G324" s="38" t="s">
        <v>1202</v>
      </c>
      <c r="H324" s="71">
        <v>10</v>
      </c>
      <c r="I324" s="48">
        <v>45475</v>
      </c>
      <c r="J324" s="42">
        <v>18.506010055541992</v>
      </c>
      <c r="K324" s="42">
        <v>19.932207107543945</v>
      </c>
      <c r="L324" s="44">
        <v>528491.6875</v>
      </c>
      <c r="M324" s="44">
        <v>237567.234375</v>
      </c>
      <c r="N324" s="46">
        <f t="shared" si="28"/>
        <v>383029.4609375</v>
      </c>
      <c r="O324" s="46">
        <f t="shared" si="29"/>
        <v>205714.65361767539</v>
      </c>
      <c r="P324" s="46">
        <f t="shared" si="30"/>
        <v>53.707266567477539</v>
      </c>
      <c r="Q324" s="66">
        <f t="shared" si="31"/>
        <v>26812062.265625</v>
      </c>
    </row>
    <row r="325" spans="1:17">
      <c r="A325" s="32">
        <v>18</v>
      </c>
      <c r="B325" s="32">
        <v>270</v>
      </c>
      <c r="C325" s="71">
        <v>21</v>
      </c>
      <c r="D325" s="37" t="s">
        <v>1203</v>
      </c>
      <c r="E325" s="37">
        <v>43801</v>
      </c>
      <c r="F325" s="40" t="s">
        <v>282</v>
      </c>
      <c r="G325" s="38" t="s">
        <v>1204</v>
      </c>
      <c r="H325" s="71">
        <v>10</v>
      </c>
      <c r="I325" s="48">
        <v>45475</v>
      </c>
      <c r="J325" s="42">
        <v>17.435688018798828</v>
      </c>
      <c r="K325" s="42">
        <v>16.936931610107422</v>
      </c>
      <c r="L325" s="44">
        <v>963032.625</v>
      </c>
      <c r="M325" s="44">
        <v>1273733.625</v>
      </c>
      <c r="N325" s="46">
        <f t="shared" si="28"/>
        <v>1118383.125</v>
      </c>
      <c r="O325" s="46">
        <f t="shared" si="29"/>
        <v>219698.7840214415</v>
      </c>
      <c r="P325" s="46">
        <f t="shared" si="30"/>
        <v>19.644322156724378</v>
      </c>
      <c r="Q325" s="66">
        <f t="shared" si="31"/>
        <v>78286818.75</v>
      </c>
    </row>
    <row r="326" spans="1:17">
      <c r="A326" s="32">
        <v>18</v>
      </c>
      <c r="B326" s="32">
        <v>280</v>
      </c>
      <c r="C326" s="71">
        <v>22</v>
      </c>
      <c r="D326" s="37" t="s">
        <v>1205</v>
      </c>
      <c r="E326" s="37">
        <v>43836</v>
      </c>
      <c r="F326" s="40" t="s">
        <v>282</v>
      </c>
      <c r="G326" s="38" t="s">
        <v>1206</v>
      </c>
      <c r="H326" s="71">
        <v>5</v>
      </c>
      <c r="I326" s="48">
        <v>45475</v>
      </c>
      <c r="J326" s="42">
        <v>17.419628143310547</v>
      </c>
      <c r="K326" s="42">
        <v>16.853878021240234</v>
      </c>
      <c r="L326" s="44">
        <v>971742.6875</v>
      </c>
      <c r="M326" s="44">
        <v>1334444.625</v>
      </c>
      <c r="N326" s="46">
        <f t="shared" si="28"/>
        <v>1153093.65625</v>
      </c>
      <c r="O326" s="46">
        <f t="shared" si="29"/>
        <v>256468.99955574932</v>
      </c>
      <c r="P326" s="46">
        <f t="shared" si="30"/>
        <v>22.241818621205283</v>
      </c>
      <c r="Q326" s="66">
        <f t="shared" si="31"/>
        <v>80716555.9375</v>
      </c>
    </row>
    <row r="327" spans="1:17">
      <c r="A327" s="32">
        <v>18</v>
      </c>
      <c r="B327" s="32">
        <v>290</v>
      </c>
      <c r="C327" s="71">
        <v>23</v>
      </c>
      <c r="D327" s="37" t="s">
        <v>1207</v>
      </c>
      <c r="E327" s="37">
        <v>43878</v>
      </c>
      <c r="F327" s="40" t="s">
        <v>282</v>
      </c>
      <c r="G327" s="38" t="s">
        <v>1208</v>
      </c>
      <c r="H327" s="71">
        <v>5</v>
      </c>
      <c r="I327" s="48">
        <v>45475</v>
      </c>
      <c r="J327" s="42">
        <v>15.705697059631348</v>
      </c>
      <c r="K327" s="42">
        <v>15.904715538024902</v>
      </c>
      <c r="L327" s="44">
        <v>2540157.25</v>
      </c>
      <c r="M327" s="44">
        <v>2271974.25</v>
      </c>
      <c r="N327" s="46">
        <f t="shared" si="28"/>
        <v>2406065.75</v>
      </c>
      <c r="O327" s="46">
        <f t="shared" si="29"/>
        <v>189634.01789895186</v>
      </c>
      <c r="P327" s="46">
        <f t="shared" si="30"/>
        <v>7.8814977478878889</v>
      </c>
      <c r="Q327" s="66">
        <f t="shared" si="31"/>
        <v>168424602.5</v>
      </c>
    </row>
    <row r="328" spans="1:17">
      <c r="A328" s="32">
        <v>18</v>
      </c>
      <c r="B328" s="32">
        <v>300</v>
      </c>
      <c r="C328" s="81">
        <v>17</v>
      </c>
      <c r="D328" s="36" t="s">
        <v>1375</v>
      </c>
      <c r="E328" s="37">
        <v>43913</v>
      </c>
      <c r="F328" s="38" t="s">
        <v>282</v>
      </c>
      <c r="G328" s="40" t="s">
        <v>622</v>
      </c>
      <c r="H328" s="71">
        <v>5</v>
      </c>
      <c r="I328" s="48">
        <v>45461</v>
      </c>
      <c r="J328" s="42">
        <v>15.218250274658203</v>
      </c>
      <c r="K328" s="42">
        <v>15.239364624023438</v>
      </c>
      <c r="L328" s="44">
        <v>1451498.625</v>
      </c>
      <c r="M328" s="44">
        <v>1433658.75</v>
      </c>
      <c r="N328" s="46">
        <f t="shared" si="28"/>
        <v>1442578.6875</v>
      </c>
      <c r="O328" s="46">
        <f t="shared" si="29"/>
        <v>12614.696588020359</v>
      </c>
      <c r="P328" s="46">
        <f t="shared" si="30"/>
        <v>0.87445466214960699</v>
      </c>
      <c r="Q328" s="66">
        <f t="shared" si="31"/>
        <v>100980508.125</v>
      </c>
    </row>
    <row r="329" spans="1:17">
      <c r="A329" s="32">
        <v>18</v>
      </c>
      <c r="B329" s="32">
        <v>310</v>
      </c>
      <c r="C329" s="71">
        <v>24</v>
      </c>
      <c r="D329" s="37" t="s">
        <v>1209</v>
      </c>
      <c r="E329" s="37">
        <v>44025</v>
      </c>
      <c r="F329" s="40" t="s">
        <v>282</v>
      </c>
      <c r="G329" s="38" t="s">
        <v>1210</v>
      </c>
      <c r="H329" s="71">
        <v>7</v>
      </c>
      <c r="I329" s="48">
        <v>45475</v>
      </c>
      <c r="J329" s="42">
        <v>16.890834808349609</v>
      </c>
      <c r="K329" s="42">
        <v>16.841495513916016</v>
      </c>
      <c r="L329" s="44">
        <v>1307080.375</v>
      </c>
      <c r="M329" s="44">
        <v>1343740.75</v>
      </c>
      <c r="N329" s="46">
        <f t="shared" si="28"/>
        <v>1325410.5625</v>
      </c>
      <c r="O329" s="46">
        <f t="shared" si="29"/>
        <v>25922.799763341776</v>
      </c>
      <c r="P329" s="46">
        <f t="shared" si="30"/>
        <v>1.955831686933744</v>
      </c>
      <c r="Q329" s="66">
        <f t="shared" si="31"/>
        <v>92778739.375</v>
      </c>
    </row>
    <row r="330" spans="1:17">
      <c r="A330" s="32">
        <v>18</v>
      </c>
      <c r="B330" s="32">
        <v>320</v>
      </c>
      <c r="C330" s="71">
        <v>25</v>
      </c>
      <c r="D330" s="37" t="s">
        <v>1211</v>
      </c>
      <c r="E330" s="37">
        <v>44060</v>
      </c>
      <c r="F330" s="40" t="s">
        <v>282</v>
      </c>
      <c r="G330" s="38" t="s">
        <v>1212</v>
      </c>
      <c r="H330" s="71">
        <v>7</v>
      </c>
      <c r="I330" s="48">
        <v>45475</v>
      </c>
      <c r="J330" s="42">
        <v>16.219705581665039</v>
      </c>
      <c r="K330" s="42">
        <v>16.468114852905273</v>
      </c>
      <c r="L330" s="44">
        <v>1904186.125</v>
      </c>
      <c r="M330" s="44">
        <v>1656633.75</v>
      </c>
      <c r="N330" s="46">
        <f t="shared" si="28"/>
        <v>1780409.9375</v>
      </c>
      <c r="O330" s="46">
        <f t="shared" si="29"/>
        <v>175045.96306133515</v>
      </c>
      <c r="P330" s="46">
        <f t="shared" si="30"/>
        <v>9.8317785906727533</v>
      </c>
      <c r="Q330" s="66">
        <f t="shared" si="31"/>
        <v>124628695.625</v>
      </c>
    </row>
    <row r="331" spans="1:17">
      <c r="A331" s="32">
        <v>18</v>
      </c>
      <c r="B331" s="32">
        <v>330</v>
      </c>
      <c r="C331" s="71">
        <v>26</v>
      </c>
      <c r="D331" s="37" t="s">
        <v>1213</v>
      </c>
      <c r="E331" s="37">
        <v>44095</v>
      </c>
      <c r="F331" s="40" t="s">
        <v>282</v>
      </c>
      <c r="G331" s="38" t="s">
        <v>1214</v>
      </c>
      <c r="H331" s="71">
        <v>7</v>
      </c>
      <c r="I331" s="48">
        <v>45475</v>
      </c>
      <c r="J331" s="42">
        <v>16.731971740722656</v>
      </c>
      <c r="K331" s="42">
        <v>17.142005920410156</v>
      </c>
      <c r="L331" s="44">
        <v>1428836.125</v>
      </c>
      <c r="M331" s="44">
        <v>1135395</v>
      </c>
      <c r="N331" s="46">
        <f t="shared" si="28"/>
        <v>1282115.5625</v>
      </c>
      <c r="O331" s="46">
        <f t="shared" si="29"/>
        <v>207494.20936650934</v>
      </c>
      <c r="P331" s="46">
        <f t="shared" si="30"/>
        <v>16.183736898249322</v>
      </c>
      <c r="Q331" s="66">
        <f t="shared" si="31"/>
        <v>89748089.375</v>
      </c>
    </row>
    <row r="332" spans="1:17">
      <c r="A332" s="32">
        <v>18</v>
      </c>
      <c r="B332" s="32">
        <v>340</v>
      </c>
      <c r="C332" s="71">
        <v>27</v>
      </c>
      <c r="D332" s="37" t="s">
        <v>1215</v>
      </c>
      <c r="E332" s="37">
        <v>44130</v>
      </c>
      <c r="F332" s="40" t="s">
        <v>282</v>
      </c>
      <c r="G332" s="38" t="s">
        <v>1216</v>
      </c>
      <c r="H332" s="71">
        <v>10</v>
      </c>
      <c r="I332" s="48">
        <v>45475</v>
      </c>
      <c r="J332" s="42">
        <v>22.136045455932617</v>
      </c>
      <c r="K332" s="42">
        <v>19.541919708251953</v>
      </c>
      <c r="L332" s="44">
        <v>69054.8515625</v>
      </c>
      <c r="M332" s="44">
        <v>295674.59375</v>
      </c>
      <c r="N332" s="46">
        <f t="shared" si="28"/>
        <v>182364.72265625</v>
      </c>
      <c r="O332" s="46">
        <f t="shared" si="29"/>
        <v>160244.35645152838</v>
      </c>
      <c r="P332" s="46">
        <f t="shared" si="30"/>
        <v>87.870260277028677</v>
      </c>
      <c r="Q332" s="66">
        <f t="shared" si="31"/>
        <v>12765530.5859375</v>
      </c>
    </row>
    <row r="333" spans="1:17">
      <c r="A333" s="32">
        <v>18</v>
      </c>
      <c r="B333" s="32">
        <v>350</v>
      </c>
      <c r="C333" s="81">
        <v>18</v>
      </c>
      <c r="D333" s="36" t="s">
        <v>1376</v>
      </c>
      <c r="E333" s="37">
        <v>44165</v>
      </c>
      <c r="F333" s="38" t="s">
        <v>282</v>
      </c>
      <c r="G333" s="40" t="s">
        <v>623</v>
      </c>
      <c r="H333" s="71">
        <v>15</v>
      </c>
      <c r="I333" s="48">
        <v>45461</v>
      </c>
      <c r="J333" s="42">
        <v>16.930614471435547</v>
      </c>
      <c r="K333" s="42">
        <v>17.115285873413086</v>
      </c>
      <c r="L333" s="44">
        <v>532408.0625</v>
      </c>
      <c r="M333" s="44">
        <v>477826.25</v>
      </c>
      <c r="N333" s="46">
        <f t="shared" si="28"/>
        <v>505117.15625</v>
      </c>
      <c r="O333" s="46">
        <f t="shared" si="29"/>
        <v>38595.169748202665</v>
      </c>
      <c r="P333" s="46">
        <f t="shared" si="30"/>
        <v>7.6408352538911934</v>
      </c>
      <c r="Q333" s="66">
        <f t="shared" si="31"/>
        <v>35358200.9375</v>
      </c>
    </row>
    <row r="334" spans="1:17">
      <c r="A334" s="32">
        <v>18</v>
      </c>
      <c r="B334" s="32">
        <v>360</v>
      </c>
      <c r="C334" s="71">
        <v>28</v>
      </c>
      <c r="D334" s="37" t="s">
        <v>1217</v>
      </c>
      <c r="E334" s="37">
        <v>44200</v>
      </c>
      <c r="F334" s="40" t="s">
        <v>282</v>
      </c>
      <c r="G334" s="38" t="s">
        <v>1218</v>
      </c>
      <c r="H334" s="71">
        <v>7</v>
      </c>
      <c r="I334" s="48">
        <v>45475</v>
      </c>
      <c r="J334" s="42">
        <v>21.294546127319336</v>
      </c>
      <c r="K334" s="42">
        <v>38.538436889648438</v>
      </c>
      <c r="L334" s="44">
        <v>110683.5625</v>
      </c>
      <c r="M334" s="44">
        <v>7.0069141387939453</v>
      </c>
      <c r="N334" s="46">
        <f>L334</f>
        <v>110683.5625</v>
      </c>
      <c r="O334" s="46" t="s">
        <v>1473</v>
      </c>
      <c r="P334" s="46" t="e">
        <f t="shared" si="30"/>
        <v>#VALUE!</v>
      </c>
      <c r="Q334" s="66">
        <f t="shared" si="31"/>
        <v>7747849.375</v>
      </c>
    </row>
    <row r="335" spans="1:17">
      <c r="A335" s="32">
        <v>18</v>
      </c>
      <c r="B335" s="32">
        <v>370</v>
      </c>
      <c r="C335" s="71">
        <v>29</v>
      </c>
      <c r="D335" s="37" t="s">
        <v>1219</v>
      </c>
      <c r="E335" s="37">
        <v>44235</v>
      </c>
      <c r="F335" s="40" t="s">
        <v>282</v>
      </c>
      <c r="G335" s="38" t="s">
        <v>1220</v>
      </c>
      <c r="H335" s="71">
        <v>7</v>
      </c>
      <c r="I335" s="48">
        <v>45475</v>
      </c>
      <c r="J335" s="42">
        <v>20.51093864440918</v>
      </c>
      <c r="K335" s="42">
        <v>20.546783447265625</v>
      </c>
      <c r="L335" s="44">
        <v>171742</v>
      </c>
      <c r="M335" s="44">
        <v>168325.140625</v>
      </c>
      <c r="N335" s="46">
        <f>AVERAGE(L335:M335)</f>
        <v>170033.5703125</v>
      </c>
      <c r="O335" s="46">
        <f>STDEVA(L335:M335)</f>
        <v>2416.0844344233287</v>
      </c>
      <c r="P335" s="46">
        <f t="shared" si="30"/>
        <v>1.4209455403323437</v>
      </c>
      <c r="Q335" s="66">
        <f t="shared" si="31"/>
        <v>11902349.921875</v>
      </c>
    </row>
    <row r="336" spans="1:17">
      <c r="A336" s="32">
        <v>18</v>
      </c>
      <c r="B336" s="32">
        <v>380</v>
      </c>
      <c r="C336" s="71">
        <v>30</v>
      </c>
      <c r="D336" s="37" t="s">
        <v>1221</v>
      </c>
      <c r="E336" s="37">
        <v>44270</v>
      </c>
      <c r="F336" s="40" t="s">
        <v>282</v>
      </c>
      <c r="G336" s="38" t="s">
        <v>1222</v>
      </c>
      <c r="H336" s="71">
        <v>7</v>
      </c>
      <c r="I336" s="48">
        <v>45475</v>
      </c>
      <c r="J336" s="42">
        <v>19.932903289794922</v>
      </c>
      <c r="K336" s="42">
        <v>20.204582214355469</v>
      </c>
      <c r="L336" s="44">
        <v>237474.53125</v>
      </c>
      <c r="M336" s="44">
        <v>203924.046875</v>
      </c>
      <c r="N336" s="46">
        <f>AVERAGE(L336:M336)</f>
        <v>220699.2890625</v>
      </c>
      <c r="O336" s="46">
        <f>STDEVA(L336:M336)</f>
        <v>23723.775013655806</v>
      </c>
      <c r="P336" s="46">
        <f t="shared" si="30"/>
        <v>10.749366304907966</v>
      </c>
      <c r="Q336" s="66">
        <f t="shared" si="31"/>
        <v>15448950.234375</v>
      </c>
    </row>
    <row r="337" spans="1:17">
      <c r="A337" s="32">
        <v>18</v>
      </c>
      <c r="B337" s="32">
        <v>390</v>
      </c>
      <c r="C337" s="71">
        <v>31</v>
      </c>
      <c r="D337" s="37" t="s">
        <v>1223</v>
      </c>
      <c r="E337" s="37">
        <v>44305</v>
      </c>
      <c r="F337" s="40" t="s">
        <v>282</v>
      </c>
      <c r="G337" s="38" t="s">
        <v>1224</v>
      </c>
      <c r="H337" s="71">
        <v>5</v>
      </c>
      <c r="I337" s="48">
        <v>45475</v>
      </c>
      <c r="J337" s="42">
        <v>18.998350143432617</v>
      </c>
      <c r="K337" s="42">
        <v>19.414548873901367</v>
      </c>
      <c r="L337" s="44">
        <v>401017</v>
      </c>
      <c r="M337" s="44">
        <v>317560.4375</v>
      </c>
      <c r="N337" s="46">
        <f>AVERAGE(L337:M337)</f>
        <v>359288.71875</v>
      </c>
      <c r="O337" s="46">
        <f>STDEVA(L337:M337)</f>
        <v>59012.701278268927</v>
      </c>
      <c r="P337" s="46">
        <f t="shared" si="30"/>
        <v>16.424868969885775</v>
      </c>
      <c r="Q337" s="66">
        <f t="shared" si="31"/>
        <v>25150210.3125</v>
      </c>
    </row>
    <row r="338" spans="1:17">
      <c r="A338" s="32">
        <v>18</v>
      </c>
      <c r="B338" s="32">
        <v>400</v>
      </c>
      <c r="C338" s="81">
        <v>19</v>
      </c>
      <c r="D338" s="36" t="s">
        <v>1377</v>
      </c>
      <c r="E338" s="37">
        <v>44341</v>
      </c>
      <c r="F338" s="38" t="s">
        <v>282</v>
      </c>
      <c r="G338" s="40" t="s">
        <v>624</v>
      </c>
      <c r="H338" s="71">
        <v>0</v>
      </c>
      <c r="I338" s="48">
        <v>45461</v>
      </c>
      <c r="J338" s="42">
        <v>22.925502777099609</v>
      </c>
      <c r="K338" s="67">
        <v>35.681842803955078</v>
      </c>
      <c r="L338" s="44">
        <v>15897.623046875</v>
      </c>
      <c r="M338" s="44">
        <v>9.0472688674926758</v>
      </c>
      <c r="N338" s="46">
        <f>L338</f>
        <v>15897.623046875</v>
      </c>
      <c r="O338" s="46" t="s">
        <v>1473</v>
      </c>
      <c r="P338" s="46" t="e">
        <f t="shared" si="30"/>
        <v>#VALUE!</v>
      </c>
      <c r="Q338" s="66">
        <f t="shared" si="31"/>
        <v>1112833.61328125</v>
      </c>
    </row>
    <row r="339" spans="1:17">
      <c r="A339" s="32">
        <v>18</v>
      </c>
      <c r="B339" s="32">
        <v>410</v>
      </c>
      <c r="C339" s="71">
        <v>32</v>
      </c>
      <c r="D339" s="37" t="s">
        <v>1225</v>
      </c>
      <c r="E339" s="37">
        <v>44375</v>
      </c>
      <c r="F339" s="40" t="s">
        <v>282</v>
      </c>
      <c r="G339" s="38" t="s">
        <v>1226</v>
      </c>
      <c r="H339" s="71">
        <v>0</v>
      </c>
      <c r="I339" s="48">
        <v>45475</v>
      </c>
      <c r="J339" s="42">
        <v>35.009628295898438</v>
      </c>
      <c r="K339" s="42">
        <v>39.817741394042969</v>
      </c>
      <c r="L339" s="44">
        <v>50.666854858398438</v>
      </c>
      <c r="M339" s="44">
        <v>3.4201149940490723</v>
      </c>
      <c r="N339" s="46">
        <f>AVERAGE(L339:M339)</f>
        <v>27.043484926223755</v>
      </c>
      <c r="O339" s="46">
        <f>STDEVA(L339:M339)</f>
        <v>33.408490147038215</v>
      </c>
      <c r="P339" s="46">
        <f t="shared" si="30"/>
        <v>123.53618713778411</v>
      </c>
      <c r="Q339" s="66">
        <f t="shared" si="31"/>
        <v>1893.0439448356628</v>
      </c>
    </row>
    <row r="340" spans="1:17">
      <c r="A340" s="32">
        <v>18</v>
      </c>
      <c r="B340" s="32">
        <v>420</v>
      </c>
      <c r="C340" s="71">
        <v>33</v>
      </c>
      <c r="D340" s="37" t="s">
        <v>1227</v>
      </c>
      <c r="E340" s="37">
        <v>44410</v>
      </c>
      <c r="F340" s="40" t="s">
        <v>282</v>
      </c>
      <c r="G340" s="38" t="s">
        <v>1228</v>
      </c>
      <c r="H340" s="71">
        <v>0</v>
      </c>
      <c r="I340" s="48">
        <v>45475</v>
      </c>
      <c r="J340" s="42">
        <v>22.267679214477539</v>
      </c>
      <c r="K340" s="42">
        <v>24.670894622802734</v>
      </c>
      <c r="L340" s="44">
        <v>64142.2109375</v>
      </c>
      <c r="M340" s="44">
        <v>16672.744140625</v>
      </c>
      <c r="N340" s="46">
        <f>AVERAGE(L340:M340)</f>
        <v>40407.4775390625</v>
      </c>
      <c r="O340" s="46">
        <f>STDEVA(L340:M340)</f>
        <v>33565.981871379976</v>
      </c>
      <c r="P340" s="46">
        <f t="shared" si="30"/>
        <v>83.068738549520319</v>
      </c>
      <c r="Q340" s="66">
        <f t="shared" si="31"/>
        <v>2828523.427734375</v>
      </c>
    </row>
    <row r="341" spans="1:17">
      <c r="A341" s="32">
        <v>18</v>
      </c>
      <c r="B341" s="32">
        <v>430</v>
      </c>
      <c r="C341" s="71">
        <v>34</v>
      </c>
      <c r="D341" s="37" t="s">
        <v>1229</v>
      </c>
      <c r="E341" s="37">
        <v>44445</v>
      </c>
      <c r="F341" s="40" t="s">
        <v>282</v>
      </c>
      <c r="G341" s="38" t="s">
        <v>1230</v>
      </c>
      <c r="H341" s="71">
        <v>0</v>
      </c>
      <c r="I341" s="48">
        <v>45475</v>
      </c>
      <c r="J341" s="42">
        <v>38.983150482177734</v>
      </c>
      <c r="K341" s="42">
        <v>39.337547302246094</v>
      </c>
      <c r="L341" s="44">
        <v>5.4606904983520508</v>
      </c>
      <c r="M341" s="44">
        <v>4.476707935333252</v>
      </c>
      <c r="N341" s="46">
        <f>AVERAGE(L341:M341)</f>
        <v>4.9686992168426514</v>
      </c>
      <c r="O341" s="46">
        <f>STDEVA(L341:M341)</f>
        <v>0.69578074287991198</v>
      </c>
      <c r="P341" s="46">
        <f t="shared" si="30"/>
        <v>14.003277568531193</v>
      </c>
      <c r="Q341" s="66">
        <f t="shared" si="31"/>
        <v>347.8089451789856</v>
      </c>
    </row>
    <row r="342" spans="1:17">
      <c r="A342" s="32">
        <v>18</v>
      </c>
      <c r="B342" s="32">
        <v>440</v>
      </c>
      <c r="C342" s="71">
        <v>35</v>
      </c>
      <c r="D342" s="37" t="s">
        <v>1231</v>
      </c>
      <c r="E342" s="37">
        <v>44480</v>
      </c>
      <c r="F342" s="40" t="s">
        <v>282</v>
      </c>
      <c r="G342" s="38" t="s">
        <v>1232</v>
      </c>
      <c r="H342" s="71">
        <v>0</v>
      </c>
      <c r="I342" s="48">
        <v>45475</v>
      </c>
      <c r="J342" s="42">
        <v>21.888996124267578</v>
      </c>
      <c r="K342" s="42">
        <v>19.282438278198242</v>
      </c>
      <c r="L342" s="44">
        <v>79313.2890625</v>
      </c>
      <c r="M342" s="44">
        <v>341973.75</v>
      </c>
      <c r="N342" s="46">
        <f>AVERAGE(L342:M342)</f>
        <v>210643.51953125</v>
      </c>
      <c r="O342" s="46">
        <f>STDEVA(L342:M342)</f>
        <v>185728.99307849052</v>
      </c>
      <c r="P342" s="46">
        <f t="shared" si="30"/>
        <v>88.172184689943293</v>
      </c>
      <c r="Q342" s="66">
        <f t="shared" si="31"/>
        <v>14745046.3671875</v>
      </c>
    </row>
    <row r="343" spans="1:17">
      <c r="A343" s="32">
        <v>18</v>
      </c>
      <c r="B343" s="32">
        <v>450</v>
      </c>
      <c r="C343" s="81">
        <v>20</v>
      </c>
      <c r="D343" s="36" t="s">
        <v>1378</v>
      </c>
      <c r="E343" s="37">
        <v>44515</v>
      </c>
      <c r="F343" s="38" t="s">
        <v>282</v>
      </c>
      <c r="G343" s="40" t="s">
        <v>625</v>
      </c>
      <c r="H343" s="71">
        <v>0</v>
      </c>
      <c r="I343" s="48">
        <v>45461</v>
      </c>
      <c r="J343" s="42">
        <v>21.666046142578125</v>
      </c>
      <c r="K343" s="67">
        <v>35.113059997558594</v>
      </c>
      <c r="L343" s="44">
        <v>33242.87890625</v>
      </c>
      <c r="M343" s="44">
        <v>12.624032020568848</v>
      </c>
      <c r="N343" s="46">
        <f>L343</f>
        <v>33242.87890625</v>
      </c>
      <c r="O343" s="46" t="s">
        <v>1473</v>
      </c>
      <c r="P343" s="46" t="e">
        <f t="shared" si="30"/>
        <v>#VALUE!</v>
      </c>
      <c r="Q343" s="66">
        <f t="shared" si="31"/>
        <v>2327001.5234375</v>
      </c>
    </row>
    <row r="344" spans="1:17">
      <c r="A344" s="32">
        <v>18</v>
      </c>
      <c r="B344" s="32">
        <v>460</v>
      </c>
      <c r="C344" s="81">
        <v>11</v>
      </c>
      <c r="D344" s="36" t="s">
        <v>1409</v>
      </c>
      <c r="E344" s="37">
        <v>44550</v>
      </c>
      <c r="F344" s="38" t="s">
        <v>282</v>
      </c>
      <c r="G344" s="40" t="s">
        <v>657</v>
      </c>
      <c r="H344" s="71">
        <v>0</v>
      </c>
      <c r="I344" s="48">
        <v>45461</v>
      </c>
      <c r="J344" s="42">
        <v>15.439709663391113</v>
      </c>
      <c r="K344" s="42">
        <v>15.560297966003418</v>
      </c>
      <c r="L344" s="44">
        <v>1360650.125</v>
      </c>
      <c r="M344" s="44">
        <v>1268201.875</v>
      </c>
      <c r="N344" s="46">
        <f t="shared" ref="N344:N370" si="32">AVERAGE(L344:M344)</f>
        <v>1314426</v>
      </c>
      <c r="O344" s="46">
        <f t="shared" ref="O344:O370" si="33">STDEVA(L344:M344)</f>
        <v>65370.784483829244</v>
      </c>
      <c r="P344" s="46">
        <f t="shared" si="30"/>
        <v>4.9733331875532931</v>
      </c>
      <c r="Q344" s="66">
        <f t="shared" si="31"/>
        <v>92009820</v>
      </c>
    </row>
    <row r="345" spans="1:17">
      <c r="A345" s="32">
        <v>18</v>
      </c>
      <c r="B345" s="32">
        <v>470</v>
      </c>
      <c r="C345" s="81">
        <v>12</v>
      </c>
      <c r="D345" s="36" t="s">
        <v>1410</v>
      </c>
      <c r="E345" s="37">
        <v>44585</v>
      </c>
      <c r="F345" s="38" t="s">
        <v>282</v>
      </c>
      <c r="G345" s="40" t="s">
        <v>658</v>
      </c>
      <c r="H345" s="71">
        <v>0</v>
      </c>
      <c r="I345" s="48">
        <v>45461</v>
      </c>
      <c r="J345" s="42">
        <v>14.38221263885498</v>
      </c>
      <c r="K345" s="42">
        <v>14.046279907226562</v>
      </c>
      <c r="L345" s="44">
        <v>2521883.75</v>
      </c>
      <c r="M345" s="44">
        <v>3067984.75</v>
      </c>
      <c r="N345" s="46">
        <f t="shared" si="32"/>
        <v>2794934.25</v>
      </c>
      <c r="O345" s="46">
        <f t="shared" si="33"/>
        <v>386151.7203127548</v>
      </c>
      <c r="P345" s="46">
        <f t="shared" si="30"/>
        <v>13.81612895948285</v>
      </c>
      <c r="Q345" s="66">
        <f t="shared" si="31"/>
        <v>195645397.5</v>
      </c>
    </row>
    <row r="346" spans="1:17">
      <c r="A346" s="32">
        <v>18</v>
      </c>
      <c r="B346" s="32">
        <v>480</v>
      </c>
      <c r="C346" s="81">
        <v>13</v>
      </c>
      <c r="D346" s="36" t="s">
        <v>1411</v>
      </c>
      <c r="E346" s="37">
        <v>44620</v>
      </c>
      <c r="F346" s="38" t="s">
        <v>282</v>
      </c>
      <c r="G346" s="40" t="s">
        <v>659</v>
      </c>
      <c r="H346" s="71">
        <v>0</v>
      </c>
      <c r="I346" s="48">
        <v>45461</v>
      </c>
      <c r="J346" s="42">
        <v>13.66829776763916</v>
      </c>
      <c r="K346" s="42">
        <v>13.797231674194336</v>
      </c>
      <c r="L346" s="44">
        <v>3825049.25</v>
      </c>
      <c r="M346" s="44">
        <v>3547840.5</v>
      </c>
      <c r="N346" s="46">
        <f t="shared" si="32"/>
        <v>3686444.875</v>
      </c>
      <c r="O346" s="46">
        <f t="shared" si="33"/>
        <v>196016.18692924635</v>
      </c>
      <c r="P346" s="46">
        <f t="shared" si="30"/>
        <v>5.3172146492288546</v>
      </c>
      <c r="Q346" s="66">
        <f t="shared" si="31"/>
        <v>258051141.25</v>
      </c>
    </row>
    <row r="347" spans="1:17">
      <c r="A347" s="32">
        <v>18</v>
      </c>
      <c r="B347" s="32">
        <v>490</v>
      </c>
      <c r="C347" s="81">
        <v>14</v>
      </c>
      <c r="D347" s="36" t="s">
        <v>1412</v>
      </c>
      <c r="E347" s="37">
        <v>44655</v>
      </c>
      <c r="F347" s="38" t="s">
        <v>282</v>
      </c>
      <c r="G347" s="40" t="s">
        <v>650</v>
      </c>
      <c r="H347" s="71">
        <v>0</v>
      </c>
      <c r="I347" s="48">
        <v>45461</v>
      </c>
      <c r="J347" s="42">
        <v>16.938491821289062</v>
      </c>
      <c r="K347" s="42">
        <v>16.984762191772461</v>
      </c>
      <c r="L347" s="44">
        <v>567469.5625</v>
      </c>
      <c r="M347" s="44">
        <v>552353.6875</v>
      </c>
      <c r="N347" s="46">
        <f t="shared" si="32"/>
        <v>559911.625</v>
      </c>
      <c r="O347" s="46">
        <f t="shared" si="33"/>
        <v>10688.537716068204</v>
      </c>
      <c r="P347" s="46">
        <f t="shared" si="30"/>
        <v>1.9089687084221914</v>
      </c>
      <c r="Q347" s="66">
        <f t="shared" si="31"/>
        <v>39193813.75</v>
      </c>
    </row>
    <row r="348" spans="1:17">
      <c r="A348" s="32">
        <v>18</v>
      </c>
      <c r="B348" s="32">
        <v>500</v>
      </c>
      <c r="C348" s="81">
        <v>15</v>
      </c>
      <c r="D348" s="36" t="s">
        <v>1413</v>
      </c>
      <c r="E348" s="37">
        <v>44697</v>
      </c>
      <c r="F348" s="38" t="s">
        <v>282</v>
      </c>
      <c r="G348" s="40" t="s">
        <v>651</v>
      </c>
      <c r="H348" s="71">
        <v>0</v>
      </c>
      <c r="I348" s="48">
        <v>45461</v>
      </c>
      <c r="J348" s="42">
        <v>15.141992568969727</v>
      </c>
      <c r="K348" s="42">
        <v>15.091890335083008</v>
      </c>
      <c r="L348" s="44">
        <v>1618789.875</v>
      </c>
      <c r="M348" s="44">
        <v>1666812.625</v>
      </c>
      <c r="N348" s="46">
        <f t="shared" si="32"/>
        <v>1642801.25</v>
      </c>
      <c r="O348" s="46">
        <f t="shared" si="33"/>
        <v>33957.212176226276</v>
      </c>
      <c r="P348" s="46">
        <f t="shared" si="30"/>
        <v>2.0670310651532726</v>
      </c>
      <c r="Q348" s="66">
        <f t="shared" si="31"/>
        <v>114996087.5</v>
      </c>
    </row>
    <row r="349" spans="1:17">
      <c r="A349" s="32">
        <v>18</v>
      </c>
      <c r="B349" s="32">
        <v>510</v>
      </c>
      <c r="C349" s="81">
        <v>16</v>
      </c>
      <c r="D349" s="36" t="s">
        <v>1414</v>
      </c>
      <c r="E349" s="37">
        <v>44732</v>
      </c>
      <c r="F349" s="38" t="s">
        <v>282</v>
      </c>
      <c r="G349" s="40" t="s">
        <v>652</v>
      </c>
      <c r="H349" s="71">
        <v>0</v>
      </c>
      <c r="I349" s="48">
        <v>45461</v>
      </c>
      <c r="J349" s="42">
        <v>15.575680732727051</v>
      </c>
      <c r="K349" s="42">
        <v>15.561612129211426</v>
      </c>
      <c r="L349" s="44">
        <v>1256869.75</v>
      </c>
      <c r="M349" s="44">
        <v>1267229.75</v>
      </c>
      <c r="N349" s="46">
        <f t="shared" si="32"/>
        <v>1262049.75</v>
      </c>
      <c r="O349" s="46">
        <f t="shared" si="33"/>
        <v>7325.6262530926324</v>
      </c>
      <c r="P349" s="46">
        <f t="shared" si="30"/>
        <v>0.5804546336697608</v>
      </c>
      <c r="Q349" s="66">
        <f t="shared" si="31"/>
        <v>88343482.5</v>
      </c>
    </row>
    <row r="350" spans="1:17">
      <c r="A350" s="32">
        <v>18</v>
      </c>
      <c r="B350" s="32">
        <v>520</v>
      </c>
      <c r="C350" s="81">
        <v>17</v>
      </c>
      <c r="D350" s="36" t="s">
        <v>1415</v>
      </c>
      <c r="E350" s="37">
        <v>44771</v>
      </c>
      <c r="F350" s="38" t="s">
        <v>282</v>
      </c>
      <c r="G350" s="40" t="s">
        <v>660</v>
      </c>
      <c r="H350" s="71">
        <v>0</v>
      </c>
      <c r="I350" s="48">
        <v>45461</v>
      </c>
      <c r="J350" s="60">
        <v>16.101657867431641</v>
      </c>
      <c r="K350" s="60">
        <v>16.043498992919922</v>
      </c>
      <c r="L350" s="46">
        <v>924705.125</v>
      </c>
      <c r="M350" s="46">
        <v>956623.875</v>
      </c>
      <c r="N350" s="46">
        <f t="shared" si="32"/>
        <v>940664.5</v>
      </c>
      <c r="O350" s="46">
        <f t="shared" si="33"/>
        <v>22569.964571998113</v>
      </c>
      <c r="P350" s="46">
        <f t="shared" si="30"/>
        <v>2.3993639147643093</v>
      </c>
      <c r="Q350" s="66">
        <f t="shared" si="31"/>
        <v>65846515</v>
      </c>
    </row>
    <row r="351" spans="1:17">
      <c r="A351" s="32">
        <v>18</v>
      </c>
      <c r="B351" s="32">
        <v>530</v>
      </c>
      <c r="C351" s="81">
        <v>18</v>
      </c>
      <c r="D351" s="36" t="s">
        <v>1416</v>
      </c>
      <c r="E351" s="37">
        <v>44802</v>
      </c>
      <c r="F351" s="38" t="s">
        <v>282</v>
      </c>
      <c r="G351" s="40" t="s">
        <v>661</v>
      </c>
      <c r="H351" s="71">
        <v>0</v>
      </c>
      <c r="I351" s="48">
        <v>45461</v>
      </c>
      <c r="J351" s="60">
        <v>13.434893608093262</v>
      </c>
      <c r="K351" s="60">
        <v>13.657755851745605</v>
      </c>
      <c r="L351" s="46">
        <v>4383122.5</v>
      </c>
      <c r="M351" s="46">
        <v>3848650.25</v>
      </c>
      <c r="N351" s="46">
        <f t="shared" si="32"/>
        <v>4115886.375</v>
      </c>
      <c r="O351" s="46">
        <f t="shared" si="33"/>
        <v>377928.95233103173</v>
      </c>
      <c r="P351" s="46">
        <f t="shared" si="30"/>
        <v>9.182200816489539</v>
      </c>
      <c r="Q351" s="66">
        <f t="shared" si="31"/>
        <v>288112046.25</v>
      </c>
    </row>
    <row r="352" spans="1:17">
      <c r="A352" s="32">
        <v>18</v>
      </c>
      <c r="B352" s="32">
        <v>540</v>
      </c>
      <c r="C352" s="81">
        <v>19</v>
      </c>
      <c r="D352" s="36" t="s">
        <v>1417</v>
      </c>
      <c r="E352" s="37">
        <v>44837</v>
      </c>
      <c r="F352" s="38" t="s">
        <v>282</v>
      </c>
      <c r="G352" s="40" t="s">
        <v>662</v>
      </c>
      <c r="H352" s="71">
        <v>0</v>
      </c>
      <c r="I352" s="48">
        <v>45461</v>
      </c>
      <c r="J352" s="60">
        <v>14.89274787902832</v>
      </c>
      <c r="K352" s="60">
        <v>14.844394683837891</v>
      </c>
      <c r="L352" s="46">
        <v>1872195.25</v>
      </c>
      <c r="M352" s="46">
        <v>1925769.25</v>
      </c>
      <c r="N352" s="46">
        <f t="shared" si="32"/>
        <v>1898982.25</v>
      </c>
      <c r="O352" s="46">
        <f t="shared" si="33"/>
        <v>37882.538695288094</v>
      </c>
      <c r="P352" s="46">
        <f t="shared" si="30"/>
        <v>1.9948864027185138</v>
      </c>
      <c r="Q352" s="66">
        <f t="shared" si="31"/>
        <v>132928757.5</v>
      </c>
    </row>
    <row r="353" spans="1:17">
      <c r="A353" s="32">
        <v>18</v>
      </c>
      <c r="B353" s="32">
        <v>550</v>
      </c>
      <c r="C353" s="81">
        <v>20</v>
      </c>
      <c r="D353" s="36" t="s">
        <v>1418</v>
      </c>
      <c r="E353" s="37" t="s">
        <v>528</v>
      </c>
      <c r="F353" s="38" t="s">
        <v>282</v>
      </c>
      <c r="G353" s="40" t="s">
        <v>663</v>
      </c>
      <c r="H353" s="71">
        <v>0</v>
      </c>
      <c r="I353" s="48">
        <v>45461</v>
      </c>
      <c r="J353" s="60">
        <v>15.31586742401123</v>
      </c>
      <c r="K353" s="60">
        <v>15.281508445739746</v>
      </c>
      <c r="L353" s="46">
        <v>1462612</v>
      </c>
      <c r="M353" s="46">
        <v>1492230.75</v>
      </c>
      <c r="N353" s="46">
        <f t="shared" si="32"/>
        <v>1477421.375</v>
      </c>
      <c r="O353" s="46">
        <f t="shared" si="33"/>
        <v>20943.618975269055</v>
      </c>
      <c r="P353" s="46">
        <f t="shared" si="30"/>
        <v>1.4175792586775762</v>
      </c>
      <c r="Q353" s="66">
        <f t="shared" si="31"/>
        <v>103419496.25</v>
      </c>
    </row>
    <row r="354" spans="1:17">
      <c r="A354" s="32">
        <v>18</v>
      </c>
      <c r="B354" s="32">
        <v>560</v>
      </c>
      <c r="C354" s="81">
        <v>9</v>
      </c>
      <c r="D354" s="36" t="s">
        <v>1447</v>
      </c>
      <c r="E354" s="37" t="s">
        <v>528</v>
      </c>
      <c r="F354" s="38" t="s">
        <v>282</v>
      </c>
      <c r="G354" s="40" t="s">
        <v>598</v>
      </c>
      <c r="H354" s="71">
        <v>10</v>
      </c>
      <c r="I354" s="48">
        <v>45461</v>
      </c>
      <c r="J354" s="42">
        <v>35.238773345947266</v>
      </c>
      <c r="K354" s="42">
        <v>33.063613891601562</v>
      </c>
      <c r="L354" s="44">
        <v>17.876466751098633</v>
      </c>
      <c r="M354" s="44">
        <v>63.180244445800781</v>
      </c>
      <c r="N354" s="46">
        <f t="shared" si="32"/>
        <v>40.528355598449707</v>
      </c>
      <c r="O354" s="46">
        <f t="shared" si="33"/>
        <v>32.034608421291743</v>
      </c>
      <c r="P354" s="46">
        <f t="shared" si="30"/>
        <v>79.042457924241887</v>
      </c>
      <c r="Q354" s="66">
        <f t="shared" si="31"/>
        <v>2836.9848918914795</v>
      </c>
    </row>
    <row r="355" spans="1:17">
      <c r="A355" s="32">
        <v>18</v>
      </c>
      <c r="B355" s="32">
        <v>570</v>
      </c>
      <c r="C355" s="81">
        <v>10</v>
      </c>
      <c r="D355" s="36" t="s">
        <v>1448</v>
      </c>
      <c r="E355" s="37" t="s">
        <v>528</v>
      </c>
      <c r="F355" s="38" t="s">
        <v>282</v>
      </c>
      <c r="G355" s="40" t="s">
        <v>600</v>
      </c>
      <c r="H355" s="71">
        <v>0</v>
      </c>
      <c r="I355" s="48">
        <v>45461</v>
      </c>
      <c r="J355" s="42">
        <v>17.648227691650391</v>
      </c>
      <c r="K355" s="42">
        <v>17.488624572753906</v>
      </c>
      <c r="L355" s="44">
        <v>485722.9375</v>
      </c>
      <c r="M355" s="44">
        <v>532868.8125</v>
      </c>
      <c r="N355" s="46">
        <f t="shared" si="32"/>
        <v>509295.875</v>
      </c>
      <c r="O355" s="46">
        <f t="shared" si="33"/>
        <v>33337.167917473322</v>
      </c>
      <c r="P355" s="46">
        <f t="shared" si="30"/>
        <v>6.5457368798585538</v>
      </c>
      <c r="Q355" s="66">
        <f t="shared" si="31"/>
        <v>35650711.25</v>
      </c>
    </row>
    <row r="356" spans="1:17">
      <c r="A356" s="32">
        <v>18</v>
      </c>
      <c r="B356" s="32">
        <v>580</v>
      </c>
      <c r="C356" s="81">
        <v>11</v>
      </c>
      <c r="D356" s="36" t="s">
        <v>1449</v>
      </c>
      <c r="E356" s="37">
        <v>45012</v>
      </c>
      <c r="F356" s="38" t="s">
        <v>282</v>
      </c>
      <c r="G356" s="40" t="s">
        <v>687</v>
      </c>
      <c r="H356" s="71">
        <v>0</v>
      </c>
      <c r="I356" s="48">
        <v>45461</v>
      </c>
      <c r="J356" s="42">
        <v>13.327284812927246</v>
      </c>
      <c r="K356" s="42">
        <v>13.049363136291504</v>
      </c>
      <c r="L356" s="44">
        <v>5964622.5</v>
      </c>
      <c r="M356" s="44">
        <v>7008734.5</v>
      </c>
      <c r="N356" s="46">
        <f t="shared" si="32"/>
        <v>6486678.5</v>
      </c>
      <c r="O356" s="46">
        <f t="shared" si="33"/>
        <v>738298.67551824846</v>
      </c>
      <c r="P356" s="46">
        <f t="shared" si="30"/>
        <v>11.381767656871672</v>
      </c>
      <c r="Q356" s="66">
        <f t="shared" si="31"/>
        <v>454067495</v>
      </c>
    </row>
    <row r="357" spans="1:17">
      <c r="A357" s="32">
        <v>18</v>
      </c>
      <c r="B357" s="32">
        <v>590</v>
      </c>
      <c r="C357" s="81">
        <v>12</v>
      </c>
      <c r="D357" s="36" t="s">
        <v>1450</v>
      </c>
      <c r="E357" s="37">
        <v>45047</v>
      </c>
      <c r="F357" s="38" t="s">
        <v>282</v>
      </c>
      <c r="G357" s="40" t="s">
        <v>688</v>
      </c>
      <c r="H357" s="71">
        <v>0</v>
      </c>
      <c r="I357" s="48">
        <v>45461</v>
      </c>
      <c r="J357" s="42">
        <v>13.205012321472168</v>
      </c>
      <c r="K357" s="42">
        <v>13.319854736328125</v>
      </c>
      <c r="L357" s="44">
        <v>6403311</v>
      </c>
      <c r="M357" s="44">
        <v>5990401</v>
      </c>
      <c r="N357" s="46">
        <f t="shared" si="32"/>
        <v>6196856</v>
      </c>
      <c r="O357" s="46">
        <f t="shared" si="33"/>
        <v>291971.46101973735</v>
      </c>
      <c r="P357" s="46">
        <f t="shared" si="30"/>
        <v>4.7116063536047532</v>
      </c>
      <c r="Q357" s="66">
        <f t="shared" si="31"/>
        <v>433779920</v>
      </c>
    </row>
    <row r="358" spans="1:17">
      <c r="A358" s="32">
        <v>18</v>
      </c>
      <c r="B358" s="32">
        <v>600</v>
      </c>
      <c r="C358" s="81">
        <v>13</v>
      </c>
      <c r="D358" s="36" t="s">
        <v>1451</v>
      </c>
      <c r="E358" s="37">
        <v>45089</v>
      </c>
      <c r="F358" s="38" t="s">
        <v>282</v>
      </c>
      <c r="G358" s="40" t="s">
        <v>689</v>
      </c>
      <c r="H358" s="71">
        <v>0</v>
      </c>
      <c r="I358" s="48">
        <v>45461</v>
      </c>
      <c r="J358" s="42">
        <v>16.068992614746094</v>
      </c>
      <c r="K358" s="42">
        <v>16.45945930480957</v>
      </c>
      <c r="L358" s="44">
        <v>1214707.25</v>
      </c>
      <c r="M358" s="44">
        <v>968379.0625</v>
      </c>
      <c r="N358" s="46">
        <f t="shared" si="32"/>
        <v>1091543.15625</v>
      </c>
      <c r="O358" s="46">
        <f t="shared" si="33"/>
        <v>174180.33177864135</v>
      </c>
      <c r="P358" s="46">
        <f t="shared" si="30"/>
        <v>15.957255632204083</v>
      </c>
      <c r="Q358" s="66">
        <f t="shared" si="31"/>
        <v>76408020.9375</v>
      </c>
    </row>
    <row r="359" spans="1:17">
      <c r="A359" s="32">
        <v>18</v>
      </c>
      <c r="B359" s="32">
        <v>610</v>
      </c>
      <c r="C359" s="81">
        <v>14</v>
      </c>
      <c r="D359" s="36" t="s">
        <v>1452</v>
      </c>
      <c r="E359" s="37">
        <v>45124</v>
      </c>
      <c r="F359" s="38" t="s">
        <v>282</v>
      </c>
      <c r="G359" s="40" t="s">
        <v>690</v>
      </c>
      <c r="H359" s="71">
        <v>0</v>
      </c>
      <c r="I359" s="48">
        <v>45461</v>
      </c>
      <c r="J359" s="42">
        <v>15.404319763183594</v>
      </c>
      <c r="K359" s="42">
        <v>15.34366512298584</v>
      </c>
      <c r="L359" s="44">
        <v>1786561.25</v>
      </c>
      <c r="M359" s="44">
        <v>1850577.75</v>
      </c>
      <c r="N359" s="46">
        <f t="shared" si="32"/>
        <v>1818569.5</v>
      </c>
      <c r="O359" s="46">
        <f t="shared" si="33"/>
        <v>45266.501257828619</v>
      </c>
      <c r="P359" s="46">
        <f t="shared" si="30"/>
        <v>2.4891268251132894</v>
      </c>
      <c r="Q359" s="66">
        <f t="shared" si="31"/>
        <v>127299865</v>
      </c>
    </row>
    <row r="360" spans="1:17">
      <c r="A360" s="32">
        <v>18</v>
      </c>
      <c r="B360" s="32">
        <v>620</v>
      </c>
      <c r="C360" s="81">
        <v>15</v>
      </c>
      <c r="D360" s="36" t="s">
        <v>1453</v>
      </c>
      <c r="E360" s="37">
        <v>45159</v>
      </c>
      <c r="F360" s="38" t="s">
        <v>282</v>
      </c>
      <c r="G360" s="40" t="s">
        <v>691</v>
      </c>
      <c r="H360" s="71">
        <v>0</v>
      </c>
      <c r="I360" s="48">
        <v>45461</v>
      </c>
      <c r="J360" s="42">
        <v>13.503472328186035</v>
      </c>
      <c r="K360" s="42">
        <v>13.438131332397461</v>
      </c>
      <c r="L360" s="44">
        <v>5384815</v>
      </c>
      <c r="M360" s="44">
        <v>5592957.5</v>
      </c>
      <c r="N360" s="46">
        <f t="shared" si="32"/>
        <v>5488886.25</v>
      </c>
      <c r="O360" s="46">
        <f t="shared" si="33"/>
        <v>147178.97320312096</v>
      </c>
      <c r="P360" s="46">
        <f t="shared" si="30"/>
        <v>2.6813995863572679</v>
      </c>
      <c r="Q360" s="66">
        <f t="shared" si="31"/>
        <v>384222037.5</v>
      </c>
    </row>
    <row r="361" spans="1:17">
      <c r="A361" s="32">
        <v>18</v>
      </c>
      <c r="B361" s="32">
        <v>630</v>
      </c>
      <c r="C361" s="81">
        <v>16</v>
      </c>
      <c r="D361" s="36" t="s">
        <v>1454</v>
      </c>
      <c r="E361" s="37">
        <v>45194</v>
      </c>
      <c r="F361" s="38" t="s">
        <v>282</v>
      </c>
      <c r="G361" s="40" t="s">
        <v>692</v>
      </c>
      <c r="H361" s="71">
        <v>0</v>
      </c>
      <c r="I361" s="48">
        <v>45461</v>
      </c>
      <c r="J361" s="42">
        <v>15.319576263427734</v>
      </c>
      <c r="K361" s="42">
        <v>15.477094650268555</v>
      </c>
      <c r="L361" s="44">
        <v>1876633.625</v>
      </c>
      <c r="M361" s="44">
        <v>1712668.5</v>
      </c>
      <c r="N361" s="46">
        <f t="shared" si="32"/>
        <v>1794651.0625</v>
      </c>
      <c r="O361" s="46">
        <f t="shared" si="33"/>
        <v>115940.85176559992</v>
      </c>
      <c r="P361" s="46">
        <f t="shared" si="30"/>
        <v>6.460356232374834</v>
      </c>
      <c r="Q361" s="66">
        <f t="shared" si="31"/>
        <v>125625574.375</v>
      </c>
    </row>
    <row r="362" spans="1:17">
      <c r="A362" s="32">
        <v>19</v>
      </c>
      <c r="B362" s="32">
        <v>10</v>
      </c>
      <c r="C362" s="81">
        <v>21</v>
      </c>
      <c r="D362" s="36" t="s">
        <v>1379</v>
      </c>
      <c r="E362" s="37">
        <v>42779</v>
      </c>
      <c r="F362" s="38" t="s">
        <v>282</v>
      </c>
      <c r="G362" s="40" t="s">
        <v>626</v>
      </c>
      <c r="H362" s="71">
        <v>5</v>
      </c>
      <c r="I362" s="48">
        <v>45461</v>
      </c>
      <c r="J362" s="60">
        <v>17.816181182861328</v>
      </c>
      <c r="K362" s="42">
        <v>14.710416793823242</v>
      </c>
      <c r="L362" s="46">
        <v>316945.15625</v>
      </c>
      <c r="M362" s="44">
        <v>1954310.75</v>
      </c>
      <c r="N362" s="46">
        <f t="shared" si="32"/>
        <v>1135627.953125</v>
      </c>
      <c r="O362" s="46">
        <f t="shared" si="33"/>
        <v>1157792.3146221626</v>
      </c>
      <c r="P362" s="46">
        <f t="shared" si="30"/>
        <v>101.95172736248443</v>
      </c>
      <c r="Q362" s="66">
        <f t="shared" si="31"/>
        <v>79493956.71875</v>
      </c>
    </row>
    <row r="363" spans="1:17">
      <c r="A363" s="32">
        <v>19</v>
      </c>
      <c r="B363" s="32">
        <v>20</v>
      </c>
      <c r="C363" s="71">
        <v>1</v>
      </c>
      <c r="D363" s="37" t="s">
        <v>1233</v>
      </c>
      <c r="E363" s="37">
        <v>42814</v>
      </c>
      <c r="F363" s="40" t="s">
        <v>282</v>
      </c>
      <c r="G363" s="38" t="s">
        <v>1234</v>
      </c>
      <c r="H363" s="71">
        <v>5</v>
      </c>
      <c r="I363" s="48">
        <v>45475</v>
      </c>
      <c r="J363" s="42">
        <v>11.846416473388672</v>
      </c>
      <c r="K363" s="42">
        <v>11.751179695129395</v>
      </c>
      <c r="L363" s="44">
        <v>20457780</v>
      </c>
      <c r="M363" s="44">
        <v>21648992</v>
      </c>
      <c r="N363" s="46">
        <f t="shared" si="32"/>
        <v>21053386</v>
      </c>
      <c r="O363" s="46">
        <f t="shared" si="33"/>
        <v>842314.08303078962</v>
      </c>
      <c r="P363" s="46">
        <f t="shared" si="30"/>
        <v>4.0008485239893936</v>
      </c>
      <c r="Q363" s="66">
        <f t="shared" si="31"/>
        <v>1473737020</v>
      </c>
    </row>
    <row r="364" spans="1:17">
      <c r="A364" s="32">
        <v>19</v>
      </c>
      <c r="B364" s="32">
        <v>30</v>
      </c>
      <c r="C364" s="71">
        <v>2</v>
      </c>
      <c r="D364" s="37" t="s">
        <v>1235</v>
      </c>
      <c r="E364" s="37">
        <v>42849</v>
      </c>
      <c r="F364" s="40" t="s">
        <v>282</v>
      </c>
      <c r="G364" s="38" t="s">
        <v>1236</v>
      </c>
      <c r="H364" s="71">
        <v>5</v>
      </c>
      <c r="I364" s="48">
        <v>45475</v>
      </c>
      <c r="J364" s="42">
        <v>12.284521102905273</v>
      </c>
      <c r="K364" s="42">
        <v>12.361812591552734</v>
      </c>
      <c r="L364" s="44">
        <v>15768505</v>
      </c>
      <c r="M364" s="44">
        <v>15060617</v>
      </c>
      <c r="N364" s="46">
        <f t="shared" si="32"/>
        <v>15414561</v>
      </c>
      <c r="O364" s="46">
        <f t="shared" si="33"/>
        <v>500552.40512058273</v>
      </c>
      <c r="P364" s="46">
        <f t="shared" si="30"/>
        <v>3.2472699360077963</v>
      </c>
      <c r="Q364" s="66">
        <f t="shared" si="31"/>
        <v>1079019270</v>
      </c>
    </row>
    <row r="365" spans="1:17">
      <c r="A365" s="32">
        <v>19</v>
      </c>
      <c r="B365" s="32">
        <v>40</v>
      </c>
      <c r="C365" s="71">
        <v>3</v>
      </c>
      <c r="D365" s="37" t="s">
        <v>1237</v>
      </c>
      <c r="E365" s="37">
        <v>42884</v>
      </c>
      <c r="F365" s="40" t="s">
        <v>282</v>
      </c>
      <c r="G365" s="38" t="s">
        <v>1238</v>
      </c>
      <c r="H365" s="71">
        <v>5</v>
      </c>
      <c r="I365" s="48">
        <v>45475</v>
      </c>
      <c r="J365" s="42">
        <v>15.321983337402344</v>
      </c>
      <c r="K365" s="42">
        <v>15.24848747253418</v>
      </c>
      <c r="L365" s="44">
        <v>2593394.5</v>
      </c>
      <c r="M365" s="44">
        <v>2709173</v>
      </c>
      <c r="N365" s="46">
        <f t="shared" si="32"/>
        <v>2651283.75</v>
      </c>
      <c r="O365" s="46">
        <f t="shared" si="33"/>
        <v>81867.762465606691</v>
      </c>
      <c r="P365" s="46">
        <f t="shared" si="30"/>
        <v>3.0878536658178022</v>
      </c>
      <c r="Q365" s="66">
        <f t="shared" si="31"/>
        <v>185589862.5</v>
      </c>
    </row>
    <row r="366" spans="1:17">
      <c r="A366" s="32">
        <v>19</v>
      </c>
      <c r="B366" s="32">
        <v>50</v>
      </c>
      <c r="C366" s="74">
        <v>4</v>
      </c>
      <c r="D366" s="63" t="s">
        <v>627</v>
      </c>
      <c r="E366" s="63">
        <v>42940</v>
      </c>
      <c r="F366" s="73" t="s">
        <v>282</v>
      </c>
      <c r="G366" s="61" t="s">
        <v>628</v>
      </c>
      <c r="H366" s="74">
        <v>5</v>
      </c>
      <c r="I366" s="48">
        <v>45475</v>
      </c>
      <c r="J366" s="42">
        <v>15.113970756530762</v>
      </c>
      <c r="K366" s="42">
        <v>14.952113151550293</v>
      </c>
      <c r="L366" s="44">
        <v>2934630.5</v>
      </c>
      <c r="M366" s="44">
        <v>3230921.25</v>
      </c>
      <c r="N366" s="46">
        <f t="shared" si="32"/>
        <v>3082775.875</v>
      </c>
      <c r="O366" s="46">
        <f t="shared" si="33"/>
        <v>209509.19852784806</v>
      </c>
      <c r="P366" s="46">
        <f t="shared" si="30"/>
        <v>6.7961216456531419</v>
      </c>
      <c r="Q366" s="66">
        <f t="shared" si="31"/>
        <v>215794311.25</v>
      </c>
    </row>
    <row r="367" spans="1:17">
      <c r="A367" s="32">
        <v>19</v>
      </c>
      <c r="B367" s="32">
        <v>60</v>
      </c>
      <c r="C367" s="81">
        <v>22</v>
      </c>
      <c r="D367" s="62" t="s">
        <v>1380</v>
      </c>
      <c r="E367" s="63">
        <v>42975</v>
      </c>
      <c r="F367" s="61" t="s">
        <v>282</v>
      </c>
      <c r="G367" s="73" t="s">
        <v>815</v>
      </c>
      <c r="H367" s="71">
        <v>5</v>
      </c>
      <c r="I367" s="48">
        <v>45461</v>
      </c>
      <c r="J367" s="60">
        <v>15.156499862670898</v>
      </c>
      <c r="K367" s="42">
        <v>13.728495597839355</v>
      </c>
      <c r="L367" s="46">
        <v>1504956.75</v>
      </c>
      <c r="M367" s="44">
        <v>3473471.25</v>
      </c>
      <c r="N367" s="46">
        <f t="shared" si="32"/>
        <v>2489214</v>
      </c>
      <c r="O367" s="46">
        <f t="shared" si="33"/>
        <v>1391949.9518140459</v>
      </c>
      <c r="P367" s="46">
        <f t="shared" si="30"/>
        <v>55.919256111127687</v>
      </c>
      <c r="Q367" s="66">
        <f t="shared" si="31"/>
        <v>174244980</v>
      </c>
    </row>
    <row r="368" spans="1:17">
      <c r="A368" s="32">
        <v>19</v>
      </c>
      <c r="B368" s="32">
        <v>70</v>
      </c>
      <c r="C368" s="71">
        <v>5</v>
      </c>
      <c r="D368" s="37" t="s">
        <v>1239</v>
      </c>
      <c r="E368" s="37">
        <v>43010</v>
      </c>
      <c r="F368" s="40" t="s">
        <v>282</v>
      </c>
      <c r="G368" s="38" t="s">
        <v>1109</v>
      </c>
      <c r="H368" s="71">
        <v>5</v>
      </c>
      <c r="I368" s="48">
        <v>45475</v>
      </c>
      <c r="J368" s="42">
        <v>15.695102691650391</v>
      </c>
      <c r="K368" s="42">
        <v>15.451732635498047</v>
      </c>
      <c r="L368" s="44">
        <v>2077649.5</v>
      </c>
      <c r="M368" s="44">
        <v>2400945.5</v>
      </c>
      <c r="N368" s="46">
        <f t="shared" si="32"/>
        <v>2239297.5</v>
      </c>
      <c r="O368" s="46">
        <f t="shared" si="33"/>
        <v>228604.79393048608</v>
      </c>
      <c r="P368" s="46">
        <f t="shared" si="30"/>
        <v>10.208772792828379</v>
      </c>
      <c r="Q368" s="66">
        <f t="shared" si="31"/>
        <v>156750825</v>
      </c>
    </row>
    <row r="369" spans="1:17">
      <c r="A369" s="32">
        <v>19</v>
      </c>
      <c r="B369" s="32">
        <v>80</v>
      </c>
      <c r="C369" s="71">
        <v>6</v>
      </c>
      <c r="D369" s="37" t="s">
        <v>1240</v>
      </c>
      <c r="E369" s="37">
        <v>43045</v>
      </c>
      <c r="F369" s="40" t="s">
        <v>282</v>
      </c>
      <c r="G369" s="38" t="s">
        <v>1111</v>
      </c>
      <c r="H369" s="71">
        <v>5</v>
      </c>
      <c r="I369" s="48">
        <v>45475</v>
      </c>
      <c r="J369" s="42">
        <v>14.441154479980469</v>
      </c>
      <c r="K369" s="42">
        <v>14.337119102478027</v>
      </c>
      <c r="L369" s="44">
        <v>4377205</v>
      </c>
      <c r="M369" s="44">
        <v>4656362.5</v>
      </c>
      <c r="N369" s="46">
        <f t="shared" si="32"/>
        <v>4516783.75</v>
      </c>
      <c r="O369" s="46">
        <f t="shared" si="33"/>
        <v>197394.16126908365</v>
      </c>
      <c r="P369" s="46">
        <f t="shared" si="30"/>
        <v>4.3702371464891066</v>
      </c>
      <c r="Q369" s="66">
        <f t="shared" si="31"/>
        <v>316174862.5</v>
      </c>
    </row>
    <row r="370" spans="1:17">
      <c r="A370" s="32">
        <v>19</v>
      </c>
      <c r="B370" s="32">
        <v>90</v>
      </c>
      <c r="C370" s="71">
        <v>7</v>
      </c>
      <c r="D370" s="37" t="s">
        <v>1241</v>
      </c>
      <c r="E370" s="37">
        <v>43080</v>
      </c>
      <c r="F370" s="40" t="s">
        <v>282</v>
      </c>
      <c r="G370" s="38" t="s">
        <v>1113</v>
      </c>
      <c r="H370" s="71">
        <v>5</v>
      </c>
      <c r="I370" s="48">
        <v>45475</v>
      </c>
      <c r="J370" s="42">
        <v>15.603214263916016</v>
      </c>
      <c r="K370" s="42">
        <v>15.313461303710938</v>
      </c>
      <c r="L370" s="44">
        <v>2194255.75</v>
      </c>
      <c r="M370" s="44">
        <v>2606561.75</v>
      </c>
      <c r="N370" s="46">
        <f t="shared" si="32"/>
        <v>2400408.75</v>
      </c>
      <c r="O370" s="46">
        <f t="shared" si="33"/>
        <v>291544.36852390069</v>
      </c>
      <c r="P370" s="46">
        <f t="shared" si="30"/>
        <v>12.145613472034739</v>
      </c>
      <c r="Q370" s="66">
        <f t="shared" si="31"/>
        <v>168028612.5</v>
      </c>
    </row>
    <row r="371" spans="1:17">
      <c r="A371" s="32">
        <v>19</v>
      </c>
      <c r="B371" s="32">
        <v>100</v>
      </c>
      <c r="C371" s="81">
        <v>23</v>
      </c>
      <c r="D371" s="36" t="s">
        <v>1381</v>
      </c>
      <c r="E371" s="37">
        <v>43136</v>
      </c>
      <c r="F371" s="38" t="s">
        <v>282</v>
      </c>
      <c r="G371" s="40" t="s">
        <v>629</v>
      </c>
      <c r="H371" s="71">
        <v>5</v>
      </c>
      <c r="I371" s="48">
        <v>45461</v>
      </c>
      <c r="J371" s="67">
        <v>0</v>
      </c>
      <c r="K371" s="42">
        <v>14.361536026000977</v>
      </c>
      <c r="L371" s="44">
        <v>0</v>
      </c>
      <c r="M371" s="44">
        <v>2397386.25</v>
      </c>
      <c r="N371" s="46">
        <f>M371</f>
        <v>2397386.25</v>
      </c>
      <c r="O371" s="46" t="s">
        <v>1473</v>
      </c>
      <c r="P371" s="46" t="e">
        <f t="shared" si="30"/>
        <v>#VALUE!</v>
      </c>
      <c r="Q371" s="66">
        <f t="shared" si="31"/>
        <v>167817037.5</v>
      </c>
    </row>
    <row r="372" spans="1:17">
      <c r="A372" s="32">
        <v>19</v>
      </c>
      <c r="B372" s="32">
        <v>110</v>
      </c>
      <c r="C372" s="71">
        <v>8</v>
      </c>
      <c r="D372" s="37" t="s">
        <v>1242</v>
      </c>
      <c r="E372" s="37">
        <v>43171</v>
      </c>
      <c r="F372" s="40" t="s">
        <v>282</v>
      </c>
      <c r="G372" s="38" t="s">
        <v>1115</v>
      </c>
      <c r="H372" s="71">
        <v>5</v>
      </c>
      <c r="I372" s="48">
        <v>45475</v>
      </c>
      <c r="J372" s="42">
        <v>13.24653434753418</v>
      </c>
      <c r="K372" s="42">
        <v>12.771454811096191</v>
      </c>
      <c r="L372" s="44">
        <v>8902455</v>
      </c>
      <c r="M372" s="44">
        <v>11806481</v>
      </c>
      <c r="N372" s="46">
        <f t="shared" ref="N372:N395" si="34">AVERAGE(L372:M372)</f>
        <v>10354468</v>
      </c>
      <c r="O372" s="46">
        <f t="shared" ref="O372:O395" si="35">STDEVA(L372:M372)</f>
        <v>2053456.4773420449</v>
      </c>
      <c r="P372" s="46">
        <f t="shared" si="30"/>
        <v>19.831598082509359</v>
      </c>
      <c r="Q372" s="66">
        <f t="shared" si="31"/>
        <v>724812760</v>
      </c>
    </row>
    <row r="373" spans="1:17">
      <c r="A373" s="32">
        <v>19</v>
      </c>
      <c r="B373" s="32">
        <v>120</v>
      </c>
      <c r="C373" s="71">
        <v>9</v>
      </c>
      <c r="D373" s="37" t="s">
        <v>1243</v>
      </c>
      <c r="E373" s="37">
        <v>43206</v>
      </c>
      <c r="F373" s="40" t="s">
        <v>282</v>
      </c>
      <c r="G373" s="38" t="s">
        <v>1117</v>
      </c>
      <c r="H373" s="71">
        <v>5</v>
      </c>
      <c r="I373" s="48">
        <v>45475</v>
      </c>
      <c r="J373" s="42">
        <v>18.352466583251953</v>
      </c>
      <c r="K373" s="42">
        <v>18.254644393920898</v>
      </c>
      <c r="L373" s="44">
        <v>428299.78125</v>
      </c>
      <c r="M373" s="44">
        <v>453935.59375</v>
      </c>
      <c r="N373" s="46">
        <f t="shared" si="34"/>
        <v>441117.6875</v>
      </c>
      <c r="O373" s="46">
        <f t="shared" si="35"/>
        <v>18127.25685997686</v>
      </c>
      <c r="P373" s="46">
        <f t="shared" si="30"/>
        <v>4.1093924305578566</v>
      </c>
      <c r="Q373" s="66">
        <f t="shared" si="31"/>
        <v>30878238.125</v>
      </c>
    </row>
    <row r="374" spans="1:17">
      <c r="A374" s="32">
        <v>19</v>
      </c>
      <c r="B374" s="32">
        <v>130</v>
      </c>
      <c r="C374" s="71">
        <v>10</v>
      </c>
      <c r="D374" s="37" t="s">
        <v>1244</v>
      </c>
      <c r="E374" s="37">
        <v>43242</v>
      </c>
      <c r="F374" s="40" t="s">
        <v>282</v>
      </c>
      <c r="G374" s="38" t="s">
        <v>1245</v>
      </c>
      <c r="H374" s="71">
        <v>5</v>
      </c>
      <c r="I374" s="48">
        <v>45475</v>
      </c>
      <c r="J374" s="42">
        <v>16.532529830932617</v>
      </c>
      <c r="K374" s="42">
        <v>15.918926239013672</v>
      </c>
      <c r="L374" s="44">
        <v>1263122</v>
      </c>
      <c r="M374" s="44">
        <v>1818891.875</v>
      </c>
      <c r="N374" s="46">
        <f t="shared" si="34"/>
        <v>1541006.9375</v>
      </c>
      <c r="O374" s="46">
        <f t="shared" si="35"/>
        <v>392988.64739169989</v>
      </c>
      <c r="P374" s="46">
        <f t="shared" si="30"/>
        <v>25.502068668766128</v>
      </c>
      <c r="Q374" s="66">
        <f t="shared" si="31"/>
        <v>107870485.625</v>
      </c>
    </row>
    <row r="375" spans="1:17">
      <c r="A375" s="32">
        <v>19</v>
      </c>
      <c r="B375" s="32">
        <v>140</v>
      </c>
      <c r="C375" s="71">
        <v>11</v>
      </c>
      <c r="D375" s="37" t="s">
        <v>1246</v>
      </c>
      <c r="E375" s="37">
        <v>43276</v>
      </c>
      <c r="F375" s="40" t="s">
        <v>282</v>
      </c>
      <c r="G375" s="38" t="s">
        <v>1247</v>
      </c>
      <c r="H375" s="71">
        <v>5</v>
      </c>
      <c r="I375" s="48">
        <v>45475</v>
      </c>
      <c r="J375" s="42">
        <v>17.973384857177734</v>
      </c>
      <c r="K375" s="42">
        <v>18.904979705810547</v>
      </c>
      <c r="L375" s="44">
        <v>536516.375</v>
      </c>
      <c r="M375" s="44">
        <v>308427.28125</v>
      </c>
      <c r="N375" s="46">
        <f t="shared" si="34"/>
        <v>422471.828125</v>
      </c>
      <c r="O375" s="46">
        <f t="shared" si="35"/>
        <v>161283.34490531919</v>
      </c>
      <c r="P375" s="46">
        <f t="shared" si="30"/>
        <v>38.176118303821916</v>
      </c>
      <c r="Q375" s="66">
        <f t="shared" si="31"/>
        <v>29573027.96875</v>
      </c>
    </row>
    <row r="376" spans="1:17">
      <c r="A376" s="32">
        <v>19</v>
      </c>
      <c r="B376" s="32">
        <v>150</v>
      </c>
      <c r="C376" s="81">
        <v>24</v>
      </c>
      <c r="D376" s="36" t="s">
        <v>1382</v>
      </c>
      <c r="E376" s="37">
        <v>43311</v>
      </c>
      <c r="F376" s="38" t="s">
        <v>282</v>
      </c>
      <c r="G376" s="40" t="s">
        <v>631</v>
      </c>
      <c r="H376" s="71">
        <v>5</v>
      </c>
      <c r="I376" s="48">
        <v>45461</v>
      </c>
      <c r="J376" s="42">
        <v>15.333983421325684</v>
      </c>
      <c r="K376" s="42">
        <v>15.296918869018555</v>
      </c>
      <c r="L376" s="44">
        <v>1356368.625</v>
      </c>
      <c r="M376" s="44">
        <v>1386135.875</v>
      </c>
      <c r="N376" s="46">
        <f t="shared" si="34"/>
        <v>1371252.25</v>
      </c>
      <c r="O376" s="46">
        <f t="shared" si="35"/>
        <v>21048.624332275256</v>
      </c>
      <c r="P376" s="46">
        <f t="shared" si="30"/>
        <v>1.534992874744618</v>
      </c>
      <c r="Q376" s="66">
        <f t="shared" si="31"/>
        <v>95987657.5</v>
      </c>
    </row>
    <row r="377" spans="1:17">
      <c r="A377" s="32">
        <v>19</v>
      </c>
      <c r="B377" s="32">
        <v>160</v>
      </c>
      <c r="C377" s="71">
        <v>12</v>
      </c>
      <c r="D377" s="37" t="s">
        <v>1248</v>
      </c>
      <c r="E377" s="37">
        <v>43346</v>
      </c>
      <c r="F377" s="40" t="s">
        <v>282</v>
      </c>
      <c r="G377" s="38" t="s">
        <v>1249</v>
      </c>
      <c r="H377" s="71">
        <v>5</v>
      </c>
      <c r="I377" s="48">
        <v>45475</v>
      </c>
      <c r="J377" s="42">
        <v>16.997714996337891</v>
      </c>
      <c r="K377" s="42">
        <v>16.894712448120117</v>
      </c>
      <c r="L377" s="44">
        <v>958050.125</v>
      </c>
      <c r="M377" s="44">
        <v>1018524.75</v>
      </c>
      <c r="N377" s="46">
        <f t="shared" si="34"/>
        <v>988287.4375</v>
      </c>
      <c r="O377" s="46">
        <f t="shared" si="35"/>
        <v>42762.017427213519</v>
      </c>
      <c r="P377" s="46">
        <f t="shared" si="30"/>
        <v>4.3268806022047119</v>
      </c>
      <c r="Q377" s="66">
        <f t="shared" si="31"/>
        <v>69180120.625</v>
      </c>
    </row>
    <row r="378" spans="1:17">
      <c r="A378" s="32">
        <v>19</v>
      </c>
      <c r="B378" s="32">
        <v>170</v>
      </c>
      <c r="C378" s="71">
        <v>13</v>
      </c>
      <c r="D378" s="37" t="s">
        <v>1250</v>
      </c>
      <c r="E378" s="37">
        <v>43381</v>
      </c>
      <c r="F378" s="40" t="s">
        <v>282</v>
      </c>
      <c r="G378" s="38" t="s">
        <v>1251</v>
      </c>
      <c r="H378" s="71">
        <v>5</v>
      </c>
      <c r="I378" s="48">
        <v>45475</v>
      </c>
      <c r="J378" s="42">
        <v>16.535652160644531</v>
      </c>
      <c r="K378" s="42">
        <v>16.549928665161133</v>
      </c>
      <c r="L378" s="44">
        <v>1260780.5</v>
      </c>
      <c r="M378" s="44">
        <v>1250129.375</v>
      </c>
      <c r="N378" s="46">
        <f t="shared" si="34"/>
        <v>1255454.9375</v>
      </c>
      <c r="O378" s="46">
        <f t="shared" si="35"/>
        <v>7531.482714765566</v>
      </c>
      <c r="P378" s="46">
        <f t="shared" si="30"/>
        <v>0.59990068060611423</v>
      </c>
      <c r="Q378" s="66">
        <f t="shared" si="31"/>
        <v>87881845.625</v>
      </c>
    </row>
    <row r="379" spans="1:17">
      <c r="A379" s="32">
        <v>19</v>
      </c>
      <c r="B379" s="32">
        <v>180</v>
      </c>
      <c r="C379" s="71">
        <v>14</v>
      </c>
      <c r="D379" s="37" t="s">
        <v>1252</v>
      </c>
      <c r="E379" s="37">
        <v>43416</v>
      </c>
      <c r="F379" s="40" t="s">
        <v>282</v>
      </c>
      <c r="G379" s="38" t="s">
        <v>1253</v>
      </c>
      <c r="H379" s="71">
        <v>5</v>
      </c>
      <c r="I379" s="48">
        <v>45475</v>
      </c>
      <c r="J379" s="42">
        <v>17.496822357177734</v>
      </c>
      <c r="K379" s="42">
        <v>17.391214370727539</v>
      </c>
      <c r="L379" s="44">
        <v>712158</v>
      </c>
      <c r="M379" s="44">
        <v>758284.4375</v>
      </c>
      <c r="N379" s="46">
        <f t="shared" si="34"/>
        <v>735221.21875</v>
      </c>
      <c r="O379" s="46">
        <f t="shared" si="35"/>
        <v>32616.316748227458</v>
      </c>
      <c r="P379" s="46">
        <f t="shared" si="30"/>
        <v>4.4362588995568837</v>
      </c>
      <c r="Q379" s="66">
        <f t="shared" si="31"/>
        <v>51465485.3125</v>
      </c>
    </row>
    <row r="380" spans="1:17">
      <c r="A380" s="32">
        <v>19</v>
      </c>
      <c r="B380" s="32">
        <v>190</v>
      </c>
      <c r="C380" s="71">
        <v>15</v>
      </c>
      <c r="D380" s="37" t="s">
        <v>630</v>
      </c>
      <c r="E380" s="37">
        <v>43451</v>
      </c>
      <c r="F380" s="40" t="s">
        <v>282</v>
      </c>
      <c r="G380" s="38" t="s">
        <v>1254</v>
      </c>
      <c r="H380" s="71">
        <v>10</v>
      </c>
      <c r="I380" s="48">
        <v>45475</v>
      </c>
      <c r="J380" s="42">
        <v>15.921979904174805</v>
      </c>
      <c r="K380" s="42">
        <v>15.819321632385254</v>
      </c>
      <c r="L380" s="44">
        <v>1815594.25</v>
      </c>
      <c r="M380" s="44">
        <v>1929804.375</v>
      </c>
      <c r="N380" s="46">
        <f t="shared" si="34"/>
        <v>1872699.3125</v>
      </c>
      <c r="O380" s="46">
        <f t="shared" si="35"/>
        <v>80758.753867663239</v>
      </c>
      <c r="P380" s="46">
        <f t="shared" si="30"/>
        <v>4.3124250288666266</v>
      </c>
      <c r="Q380" s="66">
        <f t="shared" si="31"/>
        <v>131088951.875</v>
      </c>
    </row>
    <row r="381" spans="1:17">
      <c r="A381" s="32">
        <v>19</v>
      </c>
      <c r="B381" s="32">
        <v>200</v>
      </c>
      <c r="C381" s="81">
        <v>25</v>
      </c>
      <c r="D381" s="36" t="s">
        <v>1383</v>
      </c>
      <c r="E381" s="37">
        <v>43549</v>
      </c>
      <c r="F381" s="38" t="s">
        <v>282</v>
      </c>
      <c r="G381" s="40" t="s">
        <v>632</v>
      </c>
      <c r="H381" s="71">
        <v>10</v>
      </c>
      <c r="I381" s="48">
        <v>45461</v>
      </c>
      <c r="J381" s="42">
        <v>14.90473747253418</v>
      </c>
      <c r="K381" s="42">
        <v>15.127105712890625</v>
      </c>
      <c r="L381" s="44">
        <v>1744072.375</v>
      </c>
      <c r="M381" s="44">
        <v>1531090.875</v>
      </c>
      <c r="N381" s="46">
        <f t="shared" si="34"/>
        <v>1637581.625</v>
      </c>
      <c r="O381" s="46">
        <f t="shared" si="35"/>
        <v>150600.66291728267</v>
      </c>
      <c r="P381" s="46">
        <f t="shared" si="30"/>
        <v>9.1965286260025447</v>
      </c>
      <c r="Q381" s="66">
        <f t="shared" si="31"/>
        <v>114630713.75</v>
      </c>
    </row>
    <row r="382" spans="1:17">
      <c r="A382" s="32">
        <v>19</v>
      </c>
      <c r="B382" s="32">
        <v>210</v>
      </c>
      <c r="C382" s="71">
        <v>16</v>
      </c>
      <c r="D382" s="37" t="s">
        <v>1255</v>
      </c>
      <c r="E382" s="37">
        <v>43584</v>
      </c>
      <c r="F382" s="40" t="s">
        <v>282</v>
      </c>
      <c r="G382" s="38" t="s">
        <v>1256</v>
      </c>
      <c r="H382" s="71">
        <v>5</v>
      </c>
      <c r="I382" s="48">
        <v>45475</v>
      </c>
      <c r="J382" s="42">
        <v>14.961729049682617</v>
      </c>
      <c r="K382" s="42">
        <v>15.109755516052246</v>
      </c>
      <c r="L382" s="44">
        <v>3212511.25</v>
      </c>
      <c r="M382" s="44">
        <v>2941990.75</v>
      </c>
      <c r="N382" s="46">
        <f t="shared" si="34"/>
        <v>3077251</v>
      </c>
      <c r="O382" s="46">
        <f t="shared" si="35"/>
        <v>191286.87999997544</v>
      </c>
      <c r="P382" s="46">
        <f t="shared" si="30"/>
        <v>6.2161611126286234</v>
      </c>
      <c r="Q382" s="66">
        <f t="shared" si="31"/>
        <v>215407570</v>
      </c>
    </row>
    <row r="383" spans="1:17">
      <c r="A383" s="32">
        <v>19</v>
      </c>
      <c r="B383" s="32">
        <v>220</v>
      </c>
      <c r="C383" s="71">
        <v>17</v>
      </c>
      <c r="D383" s="37" t="s">
        <v>1257</v>
      </c>
      <c r="E383" s="37">
        <v>43619</v>
      </c>
      <c r="F383" s="40" t="s">
        <v>282</v>
      </c>
      <c r="G383" s="38" t="s">
        <v>1258</v>
      </c>
      <c r="H383" s="71">
        <v>7</v>
      </c>
      <c r="I383" s="48">
        <v>45475</v>
      </c>
      <c r="J383" s="42">
        <v>16.320686340332031</v>
      </c>
      <c r="K383" s="42">
        <v>16.572719573974609</v>
      </c>
      <c r="L383" s="44">
        <v>1432579.875</v>
      </c>
      <c r="M383" s="44">
        <v>1233312</v>
      </c>
      <c r="N383" s="46">
        <f t="shared" si="34"/>
        <v>1332945.9375</v>
      </c>
      <c r="O383" s="46">
        <f t="shared" si="35"/>
        <v>140903.66568513331</v>
      </c>
      <c r="P383" s="46">
        <f t="shared" si="30"/>
        <v>10.570846252729833</v>
      </c>
      <c r="Q383" s="66">
        <f t="shared" si="31"/>
        <v>93306215.625</v>
      </c>
    </row>
    <row r="384" spans="1:17">
      <c r="A384" s="32">
        <v>19</v>
      </c>
      <c r="B384" s="32">
        <v>230</v>
      </c>
      <c r="C384" s="71">
        <v>18</v>
      </c>
      <c r="D384" s="37" t="s">
        <v>1259</v>
      </c>
      <c r="E384" s="37">
        <v>43661</v>
      </c>
      <c r="F384" s="40" t="s">
        <v>282</v>
      </c>
      <c r="G384" s="38" t="s">
        <v>1260</v>
      </c>
      <c r="H384" s="71">
        <v>7</v>
      </c>
      <c r="I384" s="48">
        <v>45475</v>
      </c>
      <c r="J384" s="42">
        <v>13.075011253356934</v>
      </c>
      <c r="K384" s="42">
        <v>13.322122573852539</v>
      </c>
      <c r="L384" s="44">
        <v>9857738</v>
      </c>
      <c r="M384" s="44">
        <v>8511413</v>
      </c>
      <c r="N384" s="46">
        <f t="shared" si="34"/>
        <v>9184575.5</v>
      </c>
      <c r="O384" s="46">
        <f t="shared" si="35"/>
        <v>951995.53718097857</v>
      </c>
      <c r="P384" s="46">
        <f t="shared" si="30"/>
        <v>10.365155549986806</v>
      </c>
      <c r="Q384" s="66">
        <f t="shared" si="31"/>
        <v>642920285</v>
      </c>
    </row>
    <row r="385" spans="1:17">
      <c r="A385" s="32">
        <v>19</v>
      </c>
      <c r="B385" s="32">
        <v>240</v>
      </c>
      <c r="C385" s="71">
        <v>19</v>
      </c>
      <c r="D385" s="37" t="s">
        <v>1261</v>
      </c>
      <c r="E385" s="37">
        <v>43696</v>
      </c>
      <c r="F385" s="40" t="s">
        <v>282</v>
      </c>
      <c r="G385" s="38" t="s">
        <v>1262</v>
      </c>
      <c r="H385" s="71">
        <v>7</v>
      </c>
      <c r="I385" s="48">
        <v>45475</v>
      </c>
      <c r="J385" s="42">
        <v>15.018671035766602</v>
      </c>
      <c r="K385" s="42">
        <v>15.403922080993652</v>
      </c>
      <c r="L385" s="44">
        <v>3105623.5</v>
      </c>
      <c r="M385" s="44">
        <v>2470139.5</v>
      </c>
      <c r="N385" s="46">
        <f t="shared" si="34"/>
        <v>2787881.5</v>
      </c>
      <c r="O385" s="46">
        <f t="shared" si="35"/>
        <v>449355.04573555198</v>
      </c>
      <c r="P385" s="46">
        <f t="shared" si="30"/>
        <v>16.118154438614123</v>
      </c>
      <c r="Q385" s="66">
        <f t="shared" si="31"/>
        <v>195151705</v>
      </c>
    </row>
    <row r="386" spans="1:17">
      <c r="A386" s="32">
        <v>19</v>
      </c>
      <c r="B386" s="32">
        <v>250</v>
      </c>
      <c r="C386" s="81">
        <v>26</v>
      </c>
      <c r="D386" s="36" t="s">
        <v>1384</v>
      </c>
      <c r="E386" s="37">
        <v>43731</v>
      </c>
      <c r="F386" s="38" t="s">
        <v>282</v>
      </c>
      <c r="G386" s="40" t="s">
        <v>633</v>
      </c>
      <c r="H386" s="71">
        <v>15</v>
      </c>
      <c r="I386" s="48">
        <v>45461</v>
      </c>
      <c r="J386" s="42">
        <v>21.137409210205078</v>
      </c>
      <c r="K386" s="42">
        <v>21.216865539550781</v>
      </c>
      <c r="L386" s="44">
        <v>45307.21484375</v>
      </c>
      <c r="M386" s="44">
        <v>43247.015625</v>
      </c>
      <c r="N386" s="46">
        <f t="shared" si="34"/>
        <v>44277.115234375</v>
      </c>
      <c r="O386" s="46">
        <f t="shared" si="35"/>
        <v>1456.7808381733523</v>
      </c>
      <c r="P386" s="46">
        <f t="shared" si="30"/>
        <v>3.2901439727093269</v>
      </c>
      <c r="Q386" s="66">
        <f t="shared" si="31"/>
        <v>3099398.06640625</v>
      </c>
    </row>
    <row r="387" spans="1:17">
      <c r="A387" s="32">
        <v>19</v>
      </c>
      <c r="B387" s="32">
        <v>260</v>
      </c>
      <c r="C387" s="71">
        <v>20</v>
      </c>
      <c r="D387" s="37" t="s">
        <v>1263</v>
      </c>
      <c r="E387" s="37">
        <v>43766</v>
      </c>
      <c r="F387" s="40" t="s">
        <v>282</v>
      </c>
      <c r="G387" s="38" t="s">
        <v>1264</v>
      </c>
      <c r="H387" s="71">
        <v>10</v>
      </c>
      <c r="I387" s="48">
        <v>45475</v>
      </c>
      <c r="J387" s="42">
        <v>16.48460578918457</v>
      </c>
      <c r="K387" s="42">
        <v>17.037544250488281</v>
      </c>
      <c r="L387" s="44">
        <v>1299612.125</v>
      </c>
      <c r="M387" s="44">
        <v>935640.3125</v>
      </c>
      <c r="N387" s="46">
        <f t="shared" si="34"/>
        <v>1117626.21875</v>
      </c>
      <c r="O387" s="46">
        <f t="shared" si="35"/>
        <v>257366.9367795086</v>
      </c>
      <c r="P387" s="46">
        <f t="shared" ref="P387:P450" si="36">O387*100/N387</f>
        <v>23.02799741646707</v>
      </c>
      <c r="Q387" s="66">
        <f t="shared" ref="Q387:Q450" si="37">N387*70</f>
        <v>78233835.3125</v>
      </c>
    </row>
    <row r="388" spans="1:17">
      <c r="A388" s="32">
        <v>19</v>
      </c>
      <c r="B388" s="32">
        <v>270</v>
      </c>
      <c r="C388" s="71">
        <v>21</v>
      </c>
      <c r="D388" s="37" t="s">
        <v>1265</v>
      </c>
      <c r="E388" s="37">
        <v>43801</v>
      </c>
      <c r="F388" s="40" t="s">
        <v>282</v>
      </c>
      <c r="G388" s="38" t="s">
        <v>1266</v>
      </c>
      <c r="H388" s="71">
        <v>10</v>
      </c>
      <c r="I388" s="48">
        <v>45475</v>
      </c>
      <c r="J388" s="42">
        <v>16.931119918823242</v>
      </c>
      <c r="K388" s="42">
        <v>16.954072952270508</v>
      </c>
      <c r="L388" s="44">
        <v>996725.125</v>
      </c>
      <c r="M388" s="44">
        <v>983221.9375</v>
      </c>
      <c r="N388" s="46">
        <f t="shared" si="34"/>
        <v>989973.53125</v>
      </c>
      <c r="O388" s="46">
        <f t="shared" si="35"/>
        <v>9548.1954488834235</v>
      </c>
      <c r="P388" s="46">
        <f t="shared" si="36"/>
        <v>0.96448997346699761</v>
      </c>
      <c r="Q388" s="66">
        <f t="shared" si="37"/>
        <v>69298147.1875</v>
      </c>
    </row>
    <row r="389" spans="1:17">
      <c r="A389" s="32">
        <v>19</v>
      </c>
      <c r="B389" s="32">
        <v>280</v>
      </c>
      <c r="C389" s="71">
        <v>22</v>
      </c>
      <c r="D389" s="37" t="s">
        <v>1267</v>
      </c>
      <c r="E389" s="37">
        <v>43836</v>
      </c>
      <c r="F389" s="40" t="s">
        <v>282</v>
      </c>
      <c r="G389" s="38" t="s">
        <v>1268</v>
      </c>
      <c r="H389" s="71">
        <v>5</v>
      </c>
      <c r="I389" s="48">
        <v>45475</v>
      </c>
      <c r="J389" s="42">
        <v>18.231967926025391</v>
      </c>
      <c r="K389" s="42">
        <v>18.435831069946289</v>
      </c>
      <c r="L389" s="44">
        <v>460094.125</v>
      </c>
      <c r="M389" s="44">
        <v>407598.6875</v>
      </c>
      <c r="N389" s="46">
        <f t="shared" si="34"/>
        <v>433846.40625</v>
      </c>
      <c r="O389" s="46">
        <f t="shared" si="35"/>
        <v>37119.879837604582</v>
      </c>
      <c r="P389" s="46">
        <f t="shared" si="36"/>
        <v>8.5559956940647304</v>
      </c>
      <c r="Q389" s="66">
        <f t="shared" si="37"/>
        <v>30369248.4375</v>
      </c>
    </row>
    <row r="390" spans="1:17">
      <c r="A390" s="32">
        <v>19</v>
      </c>
      <c r="B390" s="32">
        <v>290</v>
      </c>
      <c r="C390" s="71">
        <v>23</v>
      </c>
      <c r="D390" s="37" t="s">
        <v>1269</v>
      </c>
      <c r="E390" s="37">
        <v>43878</v>
      </c>
      <c r="F390" s="40" t="s">
        <v>282</v>
      </c>
      <c r="G390" s="38" t="s">
        <v>1270</v>
      </c>
      <c r="H390" s="71">
        <v>5</v>
      </c>
      <c r="I390" s="48">
        <v>45475</v>
      </c>
      <c r="J390" s="42">
        <v>18.131080627441406</v>
      </c>
      <c r="K390" s="42">
        <v>18.251760482788086</v>
      </c>
      <c r="L390" s="44">
        <v>488522</v>
      </c>
      <c r="M390" s="44">
        <v>454714.21875</v>
      </c>
      <c r="N390" s="46">
        <f t="shared" si="34"/>
        <v>471618.109375</v>
      </c>
      <c r="O390" s="46">
        <f t="shared" si="35"/>
        <v>23905.711378746415</v>
      </c>
      <c r="P390" s="46">
        <f t="shared" si="36"/>
        <v>5.0688705339213662</v>
      </c>
      <c r="Q390" s="66">
        <f t="shared" si="37"/>
        <v>33013267.65625</v>
      </c>
    </row>
    <row r="391" spans="1:17">
      <c r="A391" s="32">
        <v>19</v>
      </c>
      <c r="B391" s="32">
        <v>300</v>
      </c>
      <c r="C391" s="81">
        <v>27</v>
      </c>
      <c r="D391" s="36" t="s">
        <v>1385</v>
      </c>
      <c r="E391" s="37">
        <v>43913</v>
      </c>
      <c r="F391" s="38" t="s">
        <v>282</v>
      </c>
      <c r="G391" s="40" t="s">
        <v>634</v>
      </c>
      <c r="H391" s="71">
        <v>5</v>
      </c>
      <c r="I391" s="48">
        <v>45461</v>
      </c>
      <c r="J391" s="42">
        <v>19.802360534667969</v>
      </c>
      <c r="K391" s="42">
        <v>19.606451034545898</v>
      </c>
      <c r="L391" s="44">
        <v>99028.9296875</v>
      </c>
      <c r="M391" s="44">
        <v>111069.6328125</v>
      </c>
      <c r="N391" s="46">
        <f t="shared" si="34"/>
        <v>105049.28125</v>
      </c>
      <c r="O391" s="46">
        <f t="shared" si="35"/>
        <v>8514.0628299415548</v>
      </c>
      <c r="P391" s="46">
        <f t="shared" si="36"/>
        <v>8.1048273045100494</v>
      </c>
      <c r="Q391" s="66">
        <f t="shared" si="37"/>
        <v>7353449.6875</v>
      </c>
    </row>
    <row r="392" spans="1:17">
      <c r="A392" s="32">
        <v>19</v>
      </c>
      <c r="B392" s="32">
        <v>310</v>
      </c>
      <c r="C392" s="71">
        <v>24</v>
      </c>
      <c r="D392" s="37" t="s">
        <v>1271</v>
      </c>
      <c r="E392" s="37">
        <v>44025</v>
      </c>
      <c r="F392" s="40" t="s">
        <v>282</v>
      </c>
      <c r="G392" s="38" t="s">
        <v>1272</v>
      </c>
      <c r="H392" s="71">
        <v>7</v>
      </c>
      <c r="I392" s="48">
        <v>45475</v>
      </c>
      <c r="J392" s="42">
        <v>17.824018478393555</v>
      </c>
      <c r="K392" s="42">
        <v>17.725515365600586</v>
      </c>
      <c r="L392" s="44">
        <v>586316.5</v>
      </c>
      <c r="M392" s="44">
        <v>621661.875</v>
      </c>
      <c r="N392" s="46">
        <f t="shared" si="34"/>
        <v>603989.1875</v>
      </c>
      <c r="O392" s="46">
        <f t="shared" si="35"/>
        <v>24992.954346081468</v>
      </c>
      <c r="P392" s="46">
        <f t="shared" si="36"/>
        <v>4.1379804247044518</v>
      </c>
      <c r="Q392" s="66">
        <f t="shared" si="37"/>
        <v>42279243.125</v>
      </c>
    </row>
    <row r="393" spans="1:17">
      <c r="A393" s="32">
        <v>19</v>
      </c>
      <c r="B393" s="32">
        <v>320</v>
      </c>
      <c r="C393" s="71">
        <v>25</v>
      </c>
      <c r="D393" s="37" t="s">
        <v>1273</v>
      </c>
      <c r="E393" s="37">
        <v>44060</v>
      </c>
      <c r="F393" s="40" t="s">
        <v>282</v>
      </c>
      <c r="G393" s="38" t="s">
        <v>1274</v>
      </c>
      <c r="H393" s="71">
        <v>7</v>
      </c>
      <c r="I393" s="48">
        <v>45475</v>
      </c>
      <c r="J393" s="42">
        <v>15.879582405090332</v>
      </c>
      <c r="K393" s="42">
        <v>16.061010360717773</v>
      </c>
      <c r="L393" s="44">
        <v>1861919.625</v>
      </c>
      <c r="M393" s="44">
        <v>1671618.5</v>
      </c>
      <c r="N393" s="46">
        <f t="shared" si="34"/>
        <v>1766769.0625</v>
      </c>
      <c r="O393" s="46">
        <f t="shared" si="35"/>
        <v>134563.21595492883</v>
      </c>
      <c r="P393" s="46">
        <f t="shared" si="36"/>
        <v>7.6163443661686161</v>
      </c>
      <c r="Q393" s="66">
        <f t="shared" si="37"/>
        <v>123673834.375</v>
      </c>
    </row>
    <row r="394" spans="1:17">
      <c r="A394" s="32">
        <v>19</v>
      </c>
      <c r="B394" s="32">
        <v>330</v>
      </c>
      <c r="C394" s="71">
        <v>26</v>
      </c>
      <c r="D394" s="37" t="s">
        <v>1275</v>
      </c>
      <c r="E394" s="37">
        <v>44095</v>
      </c>
      <c r="F394" s="40" t="s">
        <v>282</v>
      </c>
      <c r="G394" s="38" t="s">
        <v>1276</v>
      </c>
      <c r="H394" s="71">
        <v>7</v>
      </c>
      <c r="I394" s="48">
        <v>45475</v>
      </c>
      <c r="J394" s="42">
        <v>19.069583892822266</v>
      </c>
      <c r="K394" s="42">
        <v>19.28862190246582</v>
      </c>
      <c r="L394" s="44">
        <v>279686.1875</v>
      </c>
      <c r="M394" s="44">
        <v>245550.421875</v>
      </c>
      <c r="N394" s="46">
        <f t="shared" si="34"/>
        <v>262618.3046875</v>
      </c>
      <c r="O394" s="46">
        <f t="shared" si="35"/>
        <v>24137.631354432146</v>
      </c>
      <c r="P394" s="46">
        <f t="shared" si="36"/>
        <v>9.1911458278410851</v>
      </c>
      <c r="Q394" s="66">
        <f t="shared" si="37"/>
        <v>18383281.328125</v>
      </c>
    </row>
    <row r="395" spans="1:17">
      <c r="A395" s="32">
        <v>19</v>
      </c>
      <c r="B395" s="32">
        <v>340</v>
      </c>
      <c r="C395" s="71">
        <v>27</v>
      </c>
      <c r="D395" s="37" t="s">
        <v>1277</v>
      </c>
      <c r="E395" s="37">
        <v>44130</v>
      </c>
      <c r="F395" s="40" t="s">
        <v>282</v>
      </c>
      <c r="G395" s="38" t="s">
        <v>1278</v>
      </c>
      <c r="H395" s="71">
        <v>10</v>
      </c>
      <c r="I395" s="48">
        <v>45475</v>
      </c>
      <c r="J395" s="42">
        <v>17.167179107666016</v>
      </c>
      <c r="K395" s="42">
        <v>17.311450958251953</v>
      </c>
      <c r="L395" s="44">
        <v>866267.8125</v>
      </c>
      <c r="M395" s="44">
        <v>795092.875</v>
      </c>
      <c r="N395" s="46">
        <f t="shared" si="34"/>
        <v>830680.34375</v>
      </c>
      <c r="O395" s="46">
        <f t="shared" si="35"/>
        <v>50328.280956778697</v>
      </c>
      <c r="P395" s="46">
        <f t="shared" si="36"/>
        <v>6.0586820592838535</v>
      </c>
      <c r="Q395" s="66">
        <f t="shared" si="37"/>
        <v>58147624.0625</v>
      </c>
    </row>
    <row r="396" spans="1:17">
      <c r="A396" s="32">
        <v>19</v>
      </c>
      <c r="B396" s="32">
        <v>350</v>
      </c>
      <c r="C396" s="81">
        <v>28</v>
      </c>
      <c r="D396" s="36" t="s">
        <v>1386</v>
      </c>
      <c r="E396" s="37">
        <v>44165</v>
      </c>
      <c r="F396" s="38" t="s">
        <v>282</v>
      </c>
      <c r="G396" s="40" t="s">
        <v>635</v>
      </c>
      <c r="H396" s="71">
        <v>5</v>
      </c>
      <c r="I396" s="48">
        <v>45461</v>
      </c>
      <c r="J396" s="67">
        <v>37.739212036132812</v>
      </c>
      <c r="K396" s="42">
        <v>17.747978210449219</v>
      </c>
      <c r="L396" s="44">
        <v>2.7113587856292725</v>
      </c>
      <c r="M396" s="44">
        <v>329862.40625</v>
      </c>
      <c r="N396" s="46">
        <f>M396</f>
        <v>329862.40625</v>
      </c>
      <c r="O396" s="46" t="s">
        <v>1473</v>
      </c>
      <c r="P396" s="46" t="e">
        <f t="shared" si="36"/>
        <v>#VALUE!</v>
      </c>
      <c r="Q396" s="66">
        <f t="shared" si="37"/>
        <v>23090368.4375</v>
      </c>
    </row>
    <row r="397" spans="1:17">
      <c r="A397" s="32">
        <v>19</v>
      </c>
      <c r="B397" s="32">
        <v>360</v>
      </c>
      <c r="C397" s="71">
        <v>28</v>
      </c>
      <c r="D397" s="37" t="s">
        <v>1279</v>
      </c>
      <c r="E397" s="37">
        <v>44200</v>
      </c>
      <c r="F397" s="40" t="s">
        <v>282</v>
      </c>
      <c r="G397" s="38" t="s">
        <v>1280</v>
      </c>
      <c r="H397" s="71">
        <v>7</v>
      </c>
      <c r="I397" s="48">
        <v>45475</v>
      </c>
      <c r="J397" s="42">
        <v>16.591352462768555</v>
      </c>
      <c r="K397" s="42">
        <v>16.578155517578125</v>
      </c>
      <c r="L397" s="44">
        <v>1219731.125</v>
      </c>
      <c r="M397" s="44">
        <v>1229334.375</v>
      </c>
      <c r="N397" s="46">
        <f t="shared" ref="N397:N406" si="38">AVERAGE(L397:M397)</f>
        <v>1224532.75</v>
      </c>
      <c r="O397" s="46">
        <f t="shared" ref="O397:O406" si="39">STDEVA(L397:M397)</f>
        <v>6790.5231964297127</v>
      </c>
      <c r="P397" s="46">
        <f t="shared" si="36"/>
        <v>0.55453994157605935</v>
      </c>
      <c r="Q397" s="66">
        <f t="shared" si="37"/>
        <v>85717292.5</v>
      </c>
    </row>
    <row r="398" spans="1:17">
      <c r="A398" s="32">
        <v>19</v>
      </c>
      <c r="B398" s="32">
        <v>370</v>
      </c>
      <c r="C398" s="71">
        <v>29</v>
      </c>
      <c r="D398" s="37" t="s">
        <v>1281</v>
      </c>
      <c r="E398" s="37">
        <v>44235</v>
      </c>
      <c r="F398" s="40" t="s">
        <v>282</v>
      </c>
      <c r="G398" s="38" t="s">
        <v>1282</v>
      </c>
      <c r="H398" s="71">
        <v>7</v>
      </c>
      <c r="I398" s="48">
        <v>45475</v>
      </c>
      <c r="J398" s="42">
        <v>15.601855278015137</v>
      </c>
      <c r="K398" s="42">
        <v>15.605813980102539</v>
      </c>
      <c r="L398" s="44">
        <v>2196028.5</v>
      </c>
      <c r="M398" s="44">
        <v>2190868.5</v>
      </c>
      <c r="N398" s="46">
        <f t="shared" si="38"/>
        <v>2193448.5</v>
      </c>
      <c r="O398" s="46">
        <f t="shared" si="39"/>
        <v>3648.6709909225851</v>
      </c>
      <c r="P398" s="46">
        <f t="shared" si="36"/>
        <v>0.16634404641470202</v>
      </c>
      <c r="Q398" s="66">
        <f t="shared" si="37"/>
        <v>153541395</v>
      </c>
    </row>
    <row r="399" spans="1:17">
      <c r="A399" s="32">
        <v>19</v>
      </c>
      <c r="B399" s="32">
        <v>380</v>
      </c>
      <c r="C399" s="71">
        <v>30</v>
      </c>
      <c r="D399" s="37" t="s">
        <v>1283</v>
      </c>
      <c r="E399" s="37">
        <v>44270</v>
      </c>
      <c r="F399" s="40" t="s">
        <v>282</v>
      </c>
      <c r="G399" s="38" t="s">
        <v>1284</v>
      </c>
      <c r="H399" s="71">
        <v>7</v>
      </c>
      <c r="I399" s="48">
        <v>45475</v>
      </c>
      <c r="J399" s="42">
        <v>19.514671325683594</v>
      </c>
      <c r="K399" s="42">
        <v>19.594291687011719</v>
      </c>
      <c r="L399" s="44">
        <v>214684.5625</v>
      </c>
      <c r="M399" s="44">
        <v>204763.265625</v>
      </c>
      <c r="N399" s="46">
        <f t="shared" si="38"/>
        <v>209723.9140625</v>
      </c>
      <c r="O399" s="46">
        <f t="shared" si="39"/>
        <v>7015.416298477403</v>
      </c>
      <c r="P399" s="46">
        <f t="shared" si="36"/>
        <v>3.345072177313424</v>
      </c>
      <c r="Q399" s="66">
        <f t="shared" si="37"/>
        <v>14680673.984375</v>
      </c>
    </row>
    <row r="400" spans="1:17">
      <c r="A400" s="32">
        <v>19</v>
      </c>
      <c r="B400" s="32">
        <v>390</v>
      </c>
      <c r="C400" s="71">
        <v>31</v>
      </c>
      <c r="D400" s="37" t="s">
        <v>1285</v>
      </c>
      <c r="E400" s="37">
        <v>44305</v>
      </c>
      <c r="F400" s="40" t="s">
        <v>282</v>
      </c>
      <c r="G400" s="38" t="s">
        <v>1286</v>
      </c>
      <c r="H400" s="71">
        <v>5</v>
      </c>
      <c r="I400" s="48">
        <v>45475</v>
      </c>
      <c r="J400" s="42">
        <v>17.756320953369141</v>
      </c>
      <c r="K400" s="42">
        <v>17.804630279541016</v>
      </c>
      <c r="L400" s="44">
        <v>610384.9375</v>
      </c>
      <c r="M400" s="44">
        <v>593110.9375</v>
      </c>
      <c r="N400" s="46">
        <f t="shared" si="38"/>
        <v>601747.9375</v>
      </c>
      <c r="O400" s="46">
        <f t="shared" si="39"/>
        <v>12214.562538216422</v>
      </c>
      <c r="P400" s="46">
        <f t="shared" si="36"/>
        <v>2.0298470135124345</v>
      </c>
      <c r="Q400" s="66">
        <f t="shared" si="37"/>
        <v>42122355.625</v>
      </c>
    </row>
    <row r="401" spans="1:17">
      <c r="A401" s="32">
        <v>19</v>
      </c>
      <c r="B401" s="32">
        <v>400</v>
      </c>
      <c r="C401" s="81">
        <v>29</v>
      </c>
      <c r="D401" s="36" t="s">
        <v>1387</v>
      </c>
      <c r="E401" s="37">
        <v>44341</v>
      </c>
      <c r="F401" s="38" t="s">
        <v>282</v>
      </c>
      <c r="G401" s="40" t="s">
        <v>636</v>
      </c>
      <c r="H401" s="71">
        <v>0</v>
      </c>
      <c r="I401" s="48">
        <v>45461</v>
      </c>
      <c r="J401" s="42">
        <v>19.938877105712891</v>
      </c>
      <c r="K401" s="42">
        <v>21.249818801879883</v>
      </c>
      <c r="L401" s="44">
        <v>91419.015625</v>
      </c>
      <c r="M401" s="44">
        <v>42420.3125</v>
      </c>
      <c r="N401" s="46">
        <f t="shared" si="38"/>
        <v>66919.6640625</v>
      </c>
      <c r="O401" s="46">
        <f t="shared" si="39"/>
        <v>34647.315249033978</v>
      </c>
      <c r="P401" s="46">
        <f t="shared" si="36"/>
        <v>51.7744907037712</v>
      </c>
      <c r="Q401" s="66">
        <f t="shared" si="37"/>
        <v>4684376.484375</v>
      </c>
    </row>
    <row r="402" spans="1:17">
      <c r="A402" s="32">
        <v>19</v>
      </c>
      <c r="B402" s="32">
        <v>410</v>
      </c>
      <c r="C402" s="71">
        <v>32</v>
      </c>
      <c r="D402" s="37" t="s">
        <v>1287</v>
      </c>
      <c r="E402" s="37">
        <v>44375</v>
      </c>
      <c r="F402" s="40" t="s">
        <v>282</v>
      </c>
      <c r="G402" s="38" t="s">
        <v>1288</v>
      </c>
      <c r="H402" s="71">
        <v>0</v>
      </c>
      <c r="I402" s="48">
        <v>45475</v>
      </c>
      <c r="J402" s="42">
        <v>17.339157104492188</v>
      </c>
      <c r="K402" s="42">
        <v>17.487531661987305</v>
      </c>
      <c r="L402" s="44">
        <v>782109.0625</v>
      </c>
      <c r="M402" s="44">
        <v>716100.8125</v>
      </c>
      <c r="N402" s="46">
        <f t="shared" si="38"/>
        <v>749104.9375</v>
      </c>
      <c r="O402" s="46">
        <f t="shared" si="39"/>
        <v>46674.881189256928</v>
      </c>
      <c r="P402" s="46">
        <f t="shared" si="36"/>
        <v>6.2307533768267183</v>
      </c>
      <c r="Q402" s="66">
        <f t="shared" si="37"/>
        <v>52437345.625</v>
      </c>
    </row>
    <row r="403" spans="1:17">
      <c r="A403" s="32">
        <v>19</v>
      </c>
      <c r="B403" s="32">
        <v>420</v>
      </c>
      <c r="C403" s="71">
        <v>33</v>
      </c>
      <c r="D403" s="37" t="s">
        <v>1289</v>
      </c>
      <c r="E403" s="37">
        <v>44410</v>
      </c>
      <c r="F403" s="40" t="s">
        <v>282</v>
      </c>
      <c r="G403" s="38" t="s">
        <v>1290</v>
      </c>
      <c r="H403" s="71">
        <v>0</v>
      </c>
      <c r="I403" s="48">
        <v>45475</v>
      </c>
      <c r="J403" s="42">
        <v>19.388721466064453</v>
      </c>
      <c r="K403" s="42">
        <v>19.531417846679688</v>
      </c>
      <c r="L403" s="44">
        <v>231369.734375</v>
      </c>
      <c r="M403" s="44">
        <v>212558.671875</v>
      </c>
      <c r="N403" s="46">
        <f t="shared" si="38"/>
        <v>221964.203125</v>
      </c>
      <c r="O403" s="46">
        <f t="shared" si="39"/>
        <v>13301.42985507397</v>
      </c>
      <c r="P403" s="46">
        <f t="shared" si="36"/>
        <v>5.9926013599513697</v>
      </c>
      <c r="Q403" s="66">
        <f t="shared" si="37"/>
        <v>15537494.21875</v>
      </c>
    </row>
    <row r="404" spans="1:17">
      <c r="A404" s="32">
        <v>19</v>
      </c>
      <c r="B404" s="32">
        <v>430</v>
      </c>
      <c r="C404" s="71">
        <v>34</v>
      </c>
      <c r="D404" s="37" t="s">
        <v>1291</v>
      </c>
      <c r="E404" s="37">
        <v>44445</v>
      </c>
      <c r="F404" s="40" t="s">
        <v>282</v>
      </c>
      <c r="G404" s="38" t="s">
        <v>1292</v>
      </c>
      <c r="H404" s="71">
        <v>0</v>
      </c>
      <c r="I404" s="48">
        <v>45475</v>
      </c>
      <c r="J404" s="42">
        <v>16.044685363769531</v>
      </c>
      <c r="K404" s="42">
        <v>16.049592971801758</v>
      </c>
      <c r="L404" s="44">
        <v>1687914.375</v>
      </c>
      <c r="M404" s="44">
        <v>1682998.875</v>
      </c>
      <c r="N404" s="46">
        <f t="shared" si="38"/>
        <v>1685456.625</v>
      </c>
      <c r="O404" s="46">
        <f t="shared" si="39"/>
        <v>3475.7833829224742</v>
      </c>
      <c r="P404" s="46">
        <f t="shared" si="36"/>
        <v>0.20622206061947601</v>
      </c>
      <c r="Q404" s="66">
        <f t="shared" si="37"/>
        <v>117981963.75</v>
      </c>
    </row>
    <row r="405" spans="1:17">
      <c r="A405" s="32">
        <v>19</v>
      </c>
      <c r="B405" s="32">
        <v>440</v>
      </c>
      <c r="C405" s="71">
        <v>35</v>
      </c>
      <c r="D405" s="37" t="s">
        <v>1293</v>
      </c>
      <c r="E405" s="37">
        <v>44480</v>
      </c>
      <c r="F405" s="40" t="s">
        <v>282</v>
      </c>
      <c r="G405" s="38" t="s">
        <v>1294</v>
      </c>
      <c r="H405" s="71">
        <v>0</v>
      </c>
      <c r="I405" s="48">
        <v>45475</v>
      </c>
      <c r="J405" s="42">
        <v>15.185512542724609</v>
      </c>
      <c r="K405" s="42">
        <v>15.091724395751953</v>
      </c>
      <c r="L405" s="44">
        <v>2812481</v>
      </c>
      <c r="M405" s="44">
        <v>2973684.25</v>
      </c>
      <c r="N405" s="46">
        <f t="shared" si="38"/>
        <v>2893082.625</v>
      </c>
      <c r="O405" s="46">
        <f t="shared" si="39"/>
        <v>113987.91122431032</v>
      </c>
      <c r="P405" s="46">
        <f t="shared" si="36"/>
        <v>3.940015754797543</v>
      </c>
      <c r="Q405" s="66">
        <f t="shared" si="37"/>
        <v>202515783.75</v>
      </c>
    </row>
    <row r="406" spans="1:17">
      <c r="A406" s="32">
        <v>19</v>
      </c>
      <c r="B406" s="32">
        <v>450</v>
      </c>
      <c r="C406" s="81">
        <v>30</v>
      </c>
      <c r="D406" s="36" t="s">
        <v>1388</v>
      </c>
      <c r="E406" s="37">
        <v>44519</v>
      </c>
      <c r="F406" s="38" t="s">
        <v>282</v>
      </c>
      <c r="G406" s="40" t="s">
        <v>637</v>
      </c>
      <c r="H406" s="71">
        <v>0</v>
      </c>
      <c r="I406" s="48">
        <v>45461</v>
      </c>
      <c r="J406" s="42">
        <v>18.596145629882812</v>
      </c>
      <c r="K406" s="42">
        <v>19.30145263671875</v>
      </c>
      <c r="L406" s="44">
        <v>200717.625</v>
      </c>
      <c r="M406" s="44">
        <v>132793.6875</v>
      </c>
      <c r="N406" s="46">
        <f t="shared" si="38"/>
        <v>166755.65625</v>
      </c>
      <c r="O406" s="46">
        <f t="shared" si="39"/>
        <v>48029.476811141227</v>
      </c>
      <c r="P406" s="46">
        <f t="shared" si="36"/>
        <v>28.802307454648169</v>
      </c>
      <c r="Q406" s="66">
        <f t="shared" si="37"/>
        <v>11672895.9375</v>
      </c>
    </row>
    <row r="407" spans="1:17">
      <c r="A407" s="32">
        <v>19</v>
      </c>
      <c r="B407" s="32">
        <v>460</v>
      </c>
      <c r="C407" s="81">
        <v>21</v>
      </c>
      <c r="D407" s="36" t="s">
        <v>1419</v>
      </c>
      <c r="E407" s="37">
        <v>44550</v>
      </c>
      <c r="F407" s="38" t="s">
        <v>282</v>
      </c>
      <c r="G407" s="40" t="s">
        <v>664</v>
      </c>
      <c r="H407" s="71">
        <v>0</v>
      </c>
      <c r="I407" s="48">
        <v>45461</v>
      </c>
      <c r="J407" s="60">
        <v>18.052642822265625</v>
      </c>
      <c r="K407" s="68">
        <v>0</v>
      </c>
      <c r="L407" s="46">
        <v>296215.25</v>
      </c>
      <c r="M407" s="46">
        <v>0</v>
      </c>
      <c r="N407" s="46">
        <f>L407</f>
        <v>296215.25</v>
      </c>
      <c r="O407" s="46" t="s">
        <v>1473</v>
      </c>
      <c r="P407" s="46" t="e">
        <f t="shared" si="36"/>
        <v>#VALUE!</v>
      </c>
      <c r="Q407" s="66">
        <f t="shared" si="37"/>
        <v>20735067.5</v>
      </c>
    </row>
    <row r="408" spans="1:17">
      <c r="A408" s="32">
        <v>19</v>
      </c>
      <c r="B408" s="32">
        <v>470</v>
      </c>
      <c r="C408" s="81">
        <v>22</v>
      </c>
      <c r="D408" s="36" t="s">
        <v>1420</v>
      </c>
      <c r="E408" s="37">
        <v>44585</v>
      </c>
      <c r="F408" s="38" t="s">
        <v>282</v>
      </c>
      <c r="G408" s="40" t="s">
        <v>665</v>
      </c>
      <c r="H408" s="71">
        <v>0</v>
      </c>
      <c r="I408" s="48">
        <v>45461</v>
      </c>
      <c r="J408" s="60">
        <v>15.271261215209961</v>
      </c>
      <c r="K408" s="60">
        <v>15.20305347442627</v>
      </c>
      <c r="L408" s="46">
        <v>1501179.875</v>
      </c>
      <c r="M408" s="46">
        <v>1562129.875</v>
      </c>
      <c r="N408" s="46">
        <f t="shared" ref="N408:N443" si="40">AVERAGE(L408:M408)</f>
        <v>1531654.875</v>
      </c>
      <c r="O408" s="46">
        <f t="shared" ref="O408:O443" si="41">STDEVA(L408:M408)</f>
        <v>43098.158313320069</v>
      </c>
      <c r="P408" s="46">
        <f t="shared" si="36"/>
        <v>2.8138296046176894</v>
      </c>
      <c r="Q408" s="66">
        <f t="shared" si="37"/>
        <v>107215841.25</v>
      </c>
    </row>
    <row r="409" spans="1:17">
      <c r="A409" s="32">
        <v>19</v>
      </c>
      <c r="B409" s="32">
        <v>480</v>
      </c>
      <c r="C409" s="81">
        <v>23</v>
      </c>
      <c r="D409" s="36" t="s">
        <v>1421</v>
      </c>
      <c r="E409" s="37">
        <v>44620</v>
      </c>
      <c r="F409" s="38" t="s">
        <v>282</v>
      </c>
      <c r="G409" s="40" t="s">
        <v>666</v>
      </c>
      <c r="H409" s="71">
        <v>0</v>
      </c>
      <c r="I409" s="48">
        <v>45461</v>
      </c>
      <c r="J409" s="60">
        <v>15.733530044555664</v>
      </c>
      <c r="K409" s="60">
        <v>15.634946823120117</v>
      </c>
      <c r="L409" s="46">
        <v>1146278</v>
      </c>
      <c r="M409" s="46">
        <v>1214148.375</v>
      </c>
      <c r="N409" s="46">
        <f t="shared" si="40"/>
        <v>1180213.1875</v>
      </c>
      <c r="O409" s="46">
        <f t="shared" si="41"/>
        <v>47991.602404173922</v>
      </c>
      <c r="P409" s="46">
        <f t="shared" si="36"/>
        <v>4.0663502926816699</v>
      </c>
      <c r="Q409" s="66">
        <f t="shared" si="37"/>
        <v>82614923.125</v>
      </c>
    </row>
    <row r="410" spans="1:17">
      <c r="A410" s="32">
        <v>19</v>
      </c>
      <c r="B410" s="32">
        <v>490</v>
      </c>
      <c r="C410" s="81">
        <v>24</v>
      </c>
      <c r="D410" s="36" t="s">
        <v>1422</v>
      </c>
      <c r="E410" s="37">
        <v>44655</v>
      </c>
      <c r="F410" s="38" t="s">
        <v>282</v>
      </c>
      <c r="G410" s="40" t="s">
        <v>667</v>
      </c>
      <c r="H410" s="71">
        <v>0</v>
      </c>
      <c r="I410" s="48">
        <v>45461</v>
      </c>
      <c r="J410" s="60">
        <v>16.941537857055664</v>
      </c>
      <c r="K410" s="60">
        <v>17.134805679321289</v>
      </c>
      <c r="L410" s="46">
        <v>566461.875</v>
      </c>
      <c r="M410" s="46">
        <v>506051.84375</v>
      </c>
      <c r="N410" s="46">
        <f t="shared" si="40"/>
        <v>536256.859375</v>
      </c>
      <c r="O410" s="46">
        <f t="shared" si="41"/>
        <v>42716.342748566247</v>
      </c>
      <c r="P410" s="46">
        <f t="shared" si="36"/>
        <v>7.9656496698898289</v>
      </c>
      <c r="Q410" s="66">
        <f t="shared" si="37"/>
        <v>37537980.15625</v>
      </c>
    </row>
    <row r="411" spans="1:17">
      <c r="A411" s="32">
        <v>19</v>
      </c>
      <c r="B411" s="32">
        <v>500</v>
      </c>
      <c r="C411" s="81">
        <v>25</v>
      </c>
      <c r="D411" s="36" t="s">
        <v>1423</v>
      </c>
      <c r="E411" s="37">
        <v>44697</v>
      </c>
      <c r="F411" s="38" t="s">
        <v>282</v>
      </c>
      <c r="G411" s="40" t="s">
        <v>668</v>
      </c>
      <c r="H411" s="71">
        <v>0</v>
      </c>
      <c r="I411" s="48">
        <v>45461</v>
      </c>
      <c r="J411" s="60">
        <v>16.422399520874023</v>
      </c>
      <c r="K411" s="60">
        <v>16.478199005126953</v>
      </c>
      <c r="L411" s="46">
        <v>766875.125</v>
      </c>
      <c r="M411" s="46">
        <v>742308.8125</v>
      </c>
      <c r="N411" s="46">
        <f t="shared" si="40"/>
        <v>754591.96875</v>
      </c>
      <c r="O411" s="46">
        <f t="shared" si="41"/>
        <v>17371.006157497846</v>
      </c>
      <c r="P411" s="46">
        <f t="shared" si="36"/>
        <v>2.3020396289498475</v>
      </c>
      <c r="Q411" s="66">
        <f t="shared" si="37"/>
        <v>52821437.8125</v>
      </c>
    </row>
    <row r="412" spans="1:17">
      <c r="A412" s="32">
        <v>19</v>
      </c>
      <c r="B412" s="32">
        <v>510</v>
      </c>
      <c r="C412" s="81">
        <v>26</v>
      </c>
      <c r="D412" s="36" t="s">
        <v>1424</v>
      </c>
      <c r="E412" s="37">
        <v>44732</v>
      </c>
      <c r="F412" s="38" t="s">
        <v>282</v>
      </c>
      <c r="G412" s="40" t="s">
        <v>669</v>
      </c>
      <c r="H412" s="71">
        <v>0</v>
      </c>
      <c r="I412" s="48">
        <v>45461</v>
      </c>
      <c r="J412" s="60">
        <v>16.110034942626953</v>
      </c>
      <c r="K412" s="60">
        <v>16.19209098815918</v>
      </c>
      <c r="L412" s="46">
        <v>920196.25</v>
      </c>
      <c r="M412" s="46">
        <v>877176.0625</v>
      </c>
      <c r="N412" s="46">
        <f t="shared" si="40"/>
        <v>898686.15625</v>
      </c>
      <c r="O412" s="46">
        <f t="shared" si="41"/>
        <v>30419.866309166748</v>
      </c>
      <c r="P412" s="46">
        <f t="shared" si="36"/>
        <v>3.3849265505659387</v>
      </c>
      <c r="Q412" s="66">
        <f t="shared" si="37"/>
        <v>62908030.9375</v>
      </c>
    </row>
    <row r="413" spans="1:17">
      <c r="A413" s="32">
        <v>19</v>
      </c>
      <c r="B413" s="32">
        <v>520</v>
      </c>
      <c r="C413" s="81">
        <v>27</v>
      </c>
      <c r="D413" s="36" t="s">
        <v>1425</v>
      </c>
      <c r="E413" s="37">
        <v>44771</v>
      </c>
      <c r="F413" s="38" t="s">
        <v>282</v>
      </c>
      <c r="G413" s="40" t="s">
        <v>670</v>
      </c>
      <c r="H413" s="71">
        <v>0</v>
      </c>
      <c r="I413" s="48">
        <v>45461</v>
      </c>
      <c r="J413" s="42">
        <v>18.046266555786133</v>
      </c>
      <c r="K413" s="42">
        <v>18.184795379638672</v>
      </c>
      <c r="L413" s="44">
        <v>297319.375</v>
      </c>
      <c r="M413" s="44">
        <v>274232.46875</v>
      </c>
      <c r="N413" s="46">
        <f t="shared" si="40"/>
        <v>285775.921875</v>
      </c>
      <c r="O413" s="46">
        <f t="shared" si="41"/>
        <v>16324.907965993087</v>
      </c>
      <c r="P413" s="46">
        <f t="shared" si="36"/>
        <v>5.7124854532474201</v>
      </c>
      <c r="Q413" s="66">
        <f t="shared" si="37"/>
        <v>20004314.53125</v>
      </c>
    </row>
    <row r="414" spans="1:17">
      <c r="A414" s="32">
        <v>19</v>
      </c>
      <c r="B414" s="32">
        <v>530</v>
      </c>
      <c r="C414" s="81">
        <v>28</v>
      </c>
      <c r="D414" s="36" t="s">
        <v>1426</v>
      </c>
      <c r="E414" s="37">
        <v>44802</v>
      </c>
      <c r="F414" s="38" t="s">
        <v>282</v>
      </c>
      <c r="G414" s="40" t="s">
        <v>671</v>
      </c>
      <c r="H414" s="71">
        <v>0</v>
      </c>
      <c r="I414" s="48">
        <v>45461</v>
      </c>
      <c r="J414" s="42">
        <v>14.769052505493164</v>
      </c>
      <c r="K414" s="42">
        <v>19.074489593505859</v>
      </c>
      <c r="L414" s="44">
        <v>2012317.875</v>
      </c>
      <c r="M414" s="44">
        <v>163178.5</v>
      </c>
      <c r="N414" s="46">
        <f t="shared" si="40"/>
        <v>1087748.1875</v>
      </c>
      <c r="O414" s="46">
        <f t="shared" si="41"/>
        <v>1307538.9914215542</v>
      </c>
      <c r="P414" s="46">
        <f t="shared" si="36"/>
        <v>120.20603724715967</v>
      </c>
      <c r="Q414" s="66">
        <f t="shared" si="37"/>
        <v>76142373.125</v>
      </c>
    </row>
    <row r="415" spans="1:17">
      <c r="A415" s="32">
        <v>19</v>
      </c>
      <c r="B415" s="32">
        <v>540</v>
      </c>
      <c r="C415" s="81">
        <v>29</v>
      </c>
      <c r="D415" s="36" t="s">
        <v>1427</v>
      </c>
      <c r="E415" s="37">
        <v>44837</v>
      </c>
      <c r="F415" s="38" t="s">
        <v>282</v>
      </c>
      <c r="G415" s="40" t="s">
        <v>672</v>
      </c>
      <c r="H415" s="71">
        <v>0</v>
      </c>
      <c r="I415" s="48">
        <v>45461</v>
      </c>
      <c r="J415" s="42">
        <v>16.779062271118164</v>
      </c>
      <c r="K415" s="42">
        <v>16.974828720092773</v>
      </c>
      <c r="L415" s="44">
        <v>622792.4375</v>
      </c>
      <c r="M415" s="44">
        <v>555564.5</v>
      </c>
      <c r="N415" s="46">
        <f t="shared" si="40"/>
        <v>589178.46875</v>
      </c>
      <c r="O415" s="46">
        <f t="shared" si="41"/>
        <v>47537.330491435394</v>
      </c>
      <c r="P415" s="46">
        <f t="shared" si="36"/>
        <v>8.0684093212521013</v>
      </c>
      <c r="Q415" s="66">
        <f t="shared" si="37"/>
        <v>41242492.8125</v>
      </c>
    </row>
    <row r="416" spans="1:17">
      <c r="A416" s="32">
        <v>19</v>
      </c>
      <c r="B416" s="32">
        <v>550</v>
      </c>
      <c r="C416" s="81">
        <v>30</v>
      </c>
      <c r="D416" s="36" t="s">
        <v>1428</v>
      </c>
      <c r="E416" s="37" t="s">
        <v>528</v>
      </c>
      <c r="F416" s="38" t="s">
        <v>282</v>
      </c>
      <c r="G416" s="40" t="s">
        <v>673</v>
      </c>
      <c r="H416" s="71">
        <v>0</v>
      </c>
      <c r="I416" s="48">
        <v>45461</v>
      </c>
      <c r="J416" s="42">
        <v>16.222972869873047</v>
      </c>
      <c r="K416" s="42">
        <v>16.294439315795898</v>
      </c>
      <c r="L416" s="44">
        <v>861511.4375</v>
      </c>
      <c r="M416" s="44">
        <v>826324.9375</v>
      </c>
      <c r="N416" s="46">
        <f t="shared" si="40"/>
        <v>843918.1875</v>
      </c>
      <c r="O416" s="46">
        <f t="shared" si="41"/>
        <v>24880.612756220453</v>
      </c>
      <c r="P416" s="46">
        <f t="shared" si="36"/>
        <v>2.9482256840471814</v>
      </c>
      <c r="Q416" s="66">
        <f t="shared" si="37"/>
        <v>59074273.125</v>
      </c>
    </row>
    <row r="417" spans="1:17">
      <c r="A417" s="32">
        <v>19</v>
      </c>
      <c r="B417" s="32">
        <v>560</v>
      </c>
      <c r="C417" s="81">
        <v>17</v>
      </c>
      <c r="D417" s="36" t="s">
        <v>1455</v>
      </c>
      <c r="E417" s="37">
        <v>44550</v>
      </c>
      <c r="F417" s="38" t="s">
        <v>282</v>
      </c>
      <c r="G417" s="40" t="s">
        <v>693</v>
      </c>
      <c r="H417" s="71">
        <v>0</v>
      </c>
      <c r="I417" s="48">
        <v>45461</v>
      </c>
      <c r="J417" s="42">
        <v>17.709386825561523</v>
      </c>
      <c r="K417" s="42">
        <v>18.093330383300781</v>
      </c>
      <c r="L417" s="44">
        <v>468783.1875</v>
      </c>
      <c r="M417" s="44">
        <v>375137.1875</v>
      </c>
      <c r="N417" s="46">
        <f t="shared" si="40"/>
        <v>421960.1875</v>
      </c>
      <c r="O417" s="46">
        <f t="shared" si="41"/>
        <v>66217.721630995424</v>
      </c>
      <c r="P417" s="46">
        <f t="shared" si="36"/>
        <v>15.692883734675899</v>
      </c>
      <c r="Q417" s="66">
        <f t="shared" si="37"/>
        <v>29537213.125</v>
      </c>
    </row>
    <row r="418" spans="1:17">
      <c r="A418" s="32">
        <v>19</v>
      </c>
      <c r="B418" s="32">
        <v>570</v>
      </c>
      <c r="C418" s="81">
        <v>18</v>
      </c>
      <c r="D418" s="36" t="s">
        <v>1456</v>
      </c>
      <c r="E418" s="37">
        <v>44585</v>
      </c>
      <c r="F418" s="38" t="s">
        <v>282</v>
      </c>
      <c r="G418" s="40" t="s">
        <v>694</v>
      </c>
      <c r="H418" s="71">
        <v>0</v>
      </c>
      <c r="I418" s="48">
        <v>45461</v>
      </c>
      <c r="J418" s="42">
        <v>18.286046981811523</v>
      </c>
      <c r="K418" s="42">
        <v>18.848533630371094</v>
      </c>
      <c r="L418" s="44">
        <v>335437.34375</v>
      </c>
      <c r="M418" s="44">
        <v>242004.5625</v>
      </c>
      <c r="N418" s="46">
        <f t="shared" si="40"/>
        <v>288720.953125</v>
      </c>
      <c r="O418" s="46">
        <f t="shared" si="41"/>
        <v>66066.953206994309</v>
      </c>
      <c r="P418" s="46">
        <f t="shared" si="36"/>
        <v>22.882631998790547</v>
      </c>
      <c r="Q418" s="66">
        <f t="shared" si="37"/>
        <v>20210466.71875</v>
      </c>
    </row>
    <row r="419" spans="1:17">
      <c r="A419" s="32">
        <v>19</v>
      </c>
      <c r="B419" s="32">
        <v>580</v>
      </c>
      <c r="C419" s="81">
        <v>19</v>
      </c>
      <c r="D419" s="36" t="s">
        <v>1457</v>
      </c>
      <c r="E419" s="37">
        <v>45012</v>
      </c>
      <c r="F419" s="38" t="s">
        <v>282</v>
      </c>
      <c r="G419" s="40" t="s">
        <v>695</v>
      </c>
      <c r="H419" s="71">
        <v>0</v>
      </c>
      <c r="I419" s="48">
        <v>45461</v>
      </c>
      <c r="J419" s="42">
        <v>13.469660758972168</v>
      </c>
      <c r="K419" s="42">
        <v>13.993016242980957</v>
      </c>
      <c r="L419" s="44">
        <v>5491535.5</v>
      </c>
      <c r="M419" s="44">
        <v>4052937</v>
      </c>
      <c r="N419" s="46">
        <f t="shared" si="40"/>
        <v>4772236.25</v>
      </c>
      <c r="O419" s="46">
        <f t="shared" si="41"/>
        <v>1017242.7547547955</v>
      </c>
      <c r="P419" s="46">
        <f t="shared" si="36"/>
        <v>21.31585071369414</v>
      </c>
      <c r="Q419" s="66">
        <f t="shared" si="37"/>
        <v>334056537.5</v>
      </c>
    </row>
    <row r="420" spans="1:17">
      <c r="A420" s="32">
        <v>19</v>
      </c>
      <c r="B420" s="32">
        <v>590</v>
      </c>
      <c r="C420" s="81">
        <v>20</v>
      </c>
      <c r="D420" s="36" t="s">
        <v>1458</v>
      </c>
      <c r="E420" s="37">
        <v>45047</v>
      </c>
      <c r="F420" s="38" t="s">
        <v>282</v>
      </c>
      <c r="G420" s="40" t="s">
        <v>696</v>
      </c>
      <c r="H420" s="71">
        <v>0</v>
      </c>
      <c r="I420" s="48">
        <v>45461</v>
      </c>
      <c r="J420" s="42">
        <v>13.346781730651855</v>
      </c>
      <c r="K420" s="42">
        <v>14.024749755859375</v>
      </c>
      <c r="L420" s="44">
        <v>5897505</v>
      </c>
      <c r="M420" s="44">
        <v>3978970</v>
      </c>
      <c r="N420" s="46">
        <f t="shared" si="40"/>
        <v>4938237.5</v>
      </c>
      <c r="O420" s="46">
        <f t="shared" si="41"/>
        <v>1356609.1084437328</v>
      </c>
      <c r="P420" s="46">
        <f t="shared" si="36"/>
        <v>27.471524171199398</v>
      </c>
      <c r="Q420" s="66">
        <f t="shared" si="37"/>
        <v>345676625</v>
      </c>
    </row>
    <row r="421" spans="1:17">
      <c r="A421" s="32">
        <v>19</v>
      </c>
      <c r="B421" s="32">
        <v>600</v>
      </c>
      <c r="C421" s="81">
        <v>21</v>
      </c>
      <c r="D421" s="36" t="s">
        <v>1459</v>
      </c>
      <c r="E421" s="37">
        <v>45089</v>
      </c>
      <c r="F421" s="38" t="s">
        <v>282</v>
      </c>
      <c r="G421" s="40" t="s">
        <v>697</v>
      </c>
      <c r="H421" s="71">
        <v>0</v>
      </c>
      <c r="I421" s="48">
        <v>45461</v>
      </c>
      <c r="J421" s="42">
        <v>11.352286338806152</v>
      </c>
      <c r="K421" s="42">
        <v>11.51414966583252</v>
      </c>
      <c r="L421" s="44">
        <v>18768404</v>
      </c>
      <c r="M421" s="44">
        <v>17085430</v>
      </c>
      <c r="N421" s="46">
        <f t="shared" si="40"/>
        <v>17926917</v>
      </c>
      <c r="O421" s="46">
        <f t="shared" si="41"/>
        <v>1190042.3279606486</v>
      </c>
      <c r="P421" s="46">
        <f t="shared" si="36"/>
        <v>6.6382988662280775</v>
      </c>
      <c r="Q421" s="66">
        <f t="shared" si="37"/>
        <v>1254884190</v>
      </c>
    </row>
    <row r="422" spans="1:17">
      <c r="A422" s="32">
        <v>19</v>
      </c>
      <c r="B422" s="32">
        <v>610</v>
      </c>
      <c r="C422" s="81">
        <v>22</v>
      </c>
      <c r="D422" s="36" t="s">
        <v>1460</v>
      </c>
      <c r="E422" s="37">
        <v>45124</v>
      </c>
      <c r="F422" s="38" t="s">
        <v>282</v>
      </c>
      <c r="G422" s="40" t="s">
        <v>698</v>
      </c>
      <c r="H422" s="71">
        <v>0</v>
      </c>
      <c r="I422" s="48">
        <v>45461</v>
      </c>
      <c r="J422" s="42">
        <v>14.376882553100586</v>
      </c>
      <c r="K422" s="42">
        <v>14.59006404876709</v>
      </c>
      <c r="L422" s="44">
        <v>3243451.5</v>
      </c>
      <c r="M422" s="44">
        <v>2865959.5</v>
      </c>
      <c r="N422" s="46">
        <f t="shared" si="40"/>
        <v>3054705.5</v>
      </c>
      <c r="O422" s="46">
        <f t="shared" si="41"/>
        <v>266927.15304367221</v>
      </c>
      <c r="P422" s="46">
        <f t="shared" si="36"/>
        <v>8.7382287112021828</v>
      </c>
      <c r="Q422" s="66">
        <f t="shared" si="37"/>
        <v>213829385</v>
      </c>
    </row>
    <row r="423" spans="1:17">
      <c r="A423" s="32">
        <v>19</v>
      </c>
      <c r="B423" s="32">
        <v>620</v>
      </c>
      <c r="C423" s="81">
        <v>23</v>
      </c>
      <c r="D423" s="36" t="s">
        <v>1461</v>
      </c>
      <c r="E423" s="37">
        <v>45159</v>
      </c>
      <c r="F423" s="38" t="s">
        <v>282</v>
      </c>
      <c r="G423" s="40" t="s">
        <v>699</v>
      </c>
      <c r="H423" s="71">
        <v>0</v>
      </c>
      <c r="I423" s="48">
        <v>45461</v>
      </c>
      <c r="J423" s="42">
        <v>14.625097274780273</v>
      </c>
      <c r="K423" s="42">
        <v>14.779332160949707</v>
      </c>
      <c r="L423" s="44">
        <v>2808271.5</v>
      </c>
      <c r="M423" s="44">
        <v>2567796.5</v>
      </c>
      <c r="N423" s="46">
        <f t="shared" si="40"/>
        <v>2688034</v>
      </c>
      <c r="O423" s="46">
        <f t="shared" si="41"/>
        <v>170041.503205835</v>
      </c>
      <c r="P423" s="46">
        <f t="shared" si="36"/>
        <v>6.3258687652698962</v>
      </c>
      <c r="Q423" s="66">
        <f t="shared" si="37"/>
        <v>188162380</v>
      </c>
    </row>
    <row r="424" spans="1:17">
      <c r="A424" s="32">
        <v>19</v>
      </c>
      <c r="B424" s="32">
        <v>630</v>
      </c>
      <c r="C424" s="81">
        <v>24</v>
      </c>
      <c r="D424" s="36" t="s">
        <v>1462</v>
      </c>
      <c r="E424" s="37">
        <v>45194</v>
      </c>
      <c r="F424" s="38" t="s">
        <v>282</v>
      </c>
      <c r="G424" s="40" t="s">
        <v>700</v>
      </c>
      <c r="H424" s="71">
        <v>0</v>
      </c>
      <c r="I424" s="48">
        <v>45461</v>
      </c>
      <c r="J424" s="42">
        <v>15.140937805175781</v>
      </c>
      <c r="K424" s="42">
        <v>15.278854370117188</v>
      </c>
      <c r="L424" s="44">
        <v>2081658.375</v>
      </c>
      <c r="M424" s="44">
        <v>1921517.625</v>
      </c>
      <c r="N424" s="46">
        <f t="shared" si="40"/>
        <v>2001588</v>
      </c>
      <c r="O424" s="46">
        <f t="shared" si="41"/>
        <v>113236.61026929961</v>
      </c>
      <c r="P424" s="46">
        <f t="shared" si="36"/>
        <v>5.6573385866271986</v>
      </c>
      <c r="Q424" s="66">
        <f t="shared" si="37"/>
        <v>140111160</v>
      </c>
    </row>
    <row r="425" spans="1:17">
      <c r="A425" s="32">
        <v>20</v>
      </c>
      <c r="B425" s="32">
        <v>10</v>
      </c>
      <c r="C425" s="81">
        <v>31</v>
      </c>
      <c r="D425" s="36" t="s">
        <v>1389</v>
      </c>
      <c r="E425" s="37">
        <v>42779</v>
      </c>
      <c r="F425" s="38" t="s">
        <v>282</v>
      </c>
      <c r="G425" s="40" t="s">
        <v>638</v>
      </c>
      <c r="H425" s="71">
        <v>15</v>
      </c>
      <c r="I425" s="48">
        <v>45461</v>
      </c>
      <c r="J425" s="42">
        <v>14.113364219665527</v>
      </c>
      <c r="K425" s="42">
        <v>14.019353866577148</v>
      </c>
      <c r="L425" s="44">
        <v>2772459.25</v>
      </c>
      <c r="M425" s="44">
        <v>2929398.5</v>
      </c>
      <c r="N425" s="46">
        <f t="shared" si="40"/>
        <v>2850928.875</v>
      </c>
      <c r="O425" s="46">
        <f t="shared" si="41"/>
        <v>110972.80790933088</v>
      </c>
      <c r="P425" s="46">
        <f t="shared" si="36"/>
        <v>3.8925140813739478</v>
      </c>
      <c r="Q425" s="66">
        <f t="shared" si="37"/>
        <v>199565021.25</v>
      </c>
    </row>
    <row r="426" spans="1:17">
      <c r="A426" s="32">
        <v>20</v>
      </c>
      <c r="B426" s="32">
        <v>20</v>
      </c>
      <c r="C426" s="71">
        <v>1</v>
      </c>
      <c r="D426" s="37" t="s">
        <v>1295</v>
      </c>
      <c r="E426" s="37">
        <v>42814</v>
      </c>
      <c r="F426" s="40" t="s">
        <v>282</v>
      </c>
      <c r="G426" s="38" t="s">
        <v>1296</v>
      </c>
      <c r="H426" s="71">
        <v>5</v>
      </c>
      <c r="I426" s="48">
        <v>45477</v>
      </c>
      <c r="J426" s="42">
        <v>12.42359447479248</v>
      </c>
      <c r="K426" s="42">
        <v>12.257045745849609</v>
      </c>
      <c r="L426" s="44">
        <v>17564976</v>
      </c>
      <c r="M426" s="44">
        <v>19308042</v>
      </c>
      <c r="N426" s="46">
        <f t="shared" si="40"/>
        <v>18436509</v>
      </c>
      <c r="O426" s="46">
        <f t="shared" si="41"/>
        <v>1232533.7886557106</v>
      </c>
      <c r="P426" s="46">
        <f t="shared" si="36"/>
        <v>6.6852883518008248</v>
      </c>
      <c r="Q426" s="66">
        <f t="shared" si="37"/>
        <v>1290555630</v>
      </c>
    </row>
    <row r="427" spans="1:17">
      <c r="A427" s="32">
        <v>20</v>
      </c>
      <c r="B427" s="32">
        <v>30</v>
      </c>
      <c r="C427" s="71">
        <v>2</v>
      </c>
      <c r="D427" s="37" t="s">
        <v>1297</v>
      </c>
      <c r="E427" s="37">
        <v>42849</v>
      </c>
      <c r="F427" s="40" t="s">
        <v>282</v>
      </c>
      <c r="G427" s="38" t="s">
        <v>1298</v>
      </c>
      <c r="H427" s="71">
        <v>5</v>
      </c>
      <c r="I427" s="48">
        <v>45477</v>
      </c>
      <c r="J427" s="42">
        <v>15.142287254333496</v>
      </c>
      <c r="K427" s="42">
        <v>14.983687400817871</v>
      </c>
      <c r="L427" s="44">
        <v>3748826.75</v>
      </c>
      <c r="M427" s="44">
        <v>4102276.5</v>
      </c>
      <c r="N427" s="46">
        <f t="shared" si="40"/>
        <v>3925551.625</v>
      </c>
      <c r="O427" s="46">
        <f t="shared" si="41"/>
        <v>249926.71503368992</v>
      </c>
      <c r="P427" s="46">
        <f t="shared" si="36"/>
        <v>6.3666648386948657</v>
      </c>
      <c r="Q427" s="66">
        <f t="shared" si="37"/>
        <v>274788613.75</v>
      </c>
    </row>
    <row r="428" spans="1:17">
      <c r="A428" s="32">
        <v>20</v>
      </c>
      <c r="B428" s="32">
        <v>40</v>
      </c>
      <c r="C428" s="71">
        <v>3</v>
      </c>
      <c r="D428" s="37" t="s">
        <v>1299</v>
      </c>
      <c r="E428" s="37">
        <v>42884</v>
      </c>
      <c r="F428" s="40" t="s">
        <v>282</v>
      </c>
      <c r="G428" s="38" t="s">
        <v>1300</v>
      </c>
      <c r="H428" s="71">
        <v>5</v>
      </c>
      <c r="I428" s="48">
        <v>45477</v>
      </c>
      <c r="J428" s="42">
        <v>18.669519424438477</v>
      </c>
      <c r="K428" s="42">
        <v>18.450241088867188</v>
      </c>
      <c r="L428" s="44">
        <v>505430.5</v>
      </c>
      <c r="M428" s="44">
        <v>572481.5625</v>
      </c>
      <c r="N428" s="46">
        <f t="shared" si="40"/>
        <v>538956.03125</v>
      </c>
      <c r="O428" s="46">
        <f t="shared" si="41"/>
        <v>47412.260979513019</v>
      </c>
      <c r="P428" s="46">
        <f t="shared" si="36"/>
        <v>8.7970554610085401</v>
      </c>
      <c r="Q428" s="66">
        <f t="shared" si="37"/>
        <v>37726922.1875</v>
      </c>
    </row>
    <row r="429" spans="1:17">
      <c r="A429" s="32">
        <v>20</v>
      </c>
      <c r="B429" s="32">
        <v>50</v>
      </c>
      <c r="C429" s="71">
        <v>4</v>
      </c>
      <c r="D429" s="63" t="s">
        <v>1471</v>
      </c>
      <c r="E429" s="63">
        <v>42940</v>
      </c>
      <c r="F429" s="73" t="s">
        <v>282</v>
      </c>
      <c r="G429" s="61" t="s">
        <v>1472</v>
      </c>
      <c r="H429" s="71">
        <v>5</v>
      </c>
      <c r="I429" s="48">
        <v>45477</v>
      </c>
      <c r="J429" s="42">
        <v>15.079471588134766</v>
      </c>
      <c r="K429" s="42">
        <v>14.814271926879883</v>
      </c>
      <c r="L429" s="44">
        <v>3885019.25</v>
      </c>
      <c r="M429" s="44">
        <v>4516717</v>
      </c>
      <c r="N429" s="46">
        <f t="shared" si="40"/>
        <v>4200868.125</v>
      </c>
      <c r="O429" s="46">
        <f t="shared" si="41"/>
        <v>446677.76268528443</v>
      </c>
      <c r="P429" s="46">
        <f t="shared" si="36"/>
        <v>10.632987025396909</v>
      </c>
      <c r="Q429" s="66">
        <f t="shared" si="37"/>
        <v>294060768.75</v>
      </c>
    </row>
    <row r="430" spans="1:17">
      <c r="A430" s="32">
        <v>20</v>
      </c>
      <c r="B430" s="32">
        <v>60</v>
      </c>
      <c r="C430" s="81">
        <v>32</v>
      </c>
      <c r="D430" s="62" t="s">
        <v>1390</v>
      </c>
      <c r="E430" s="63">
        <v>42975</v>
      </c>
      <c r="F430" s="61" t="s">
        <v>282</v>
      </c>
      <c r="G430" s="73" t="s">
        <v>816</v>
      </c>
      <c r="H430" s="71">
        <v>5</v>
      </c>
      <c r="I430" s="48">
        <v>45461</v>
      </c>
      <c r="J430" s="42">
        <v>14.195465087890625</v>
      </c>
      <c r="K430" s="42">
        <v>14.164112091064453</v>
      </c>
      <c r="L430" s="44">
        <v>2642294.75</v>
      </c>
      <c r="M430" s="44">
        <v>2691265</v>
      </c>
      <c r="N430" s="46">
        <f t="shared" si="40"/>
        <v>2666779.875</v>
      </c>
      <c r="O430" s="46">
        <f t="shared" si="41"/>
        <v>34627.195851400531</v>
      </c>
      <c r="P430" s="46">
        <f t="shared" si="36"/>
        <v>1.2984647205424307</v>
      </c>
      <c r="Q430" s="66">
        <f t="shared" si="37"/>
        <v>186674591.25</v>
      </c>
    </row>
    <row r="431" spans="1:17">
      <c r="A431" s="32">
        <v>20</v>
      </c>
      <c r="B431" s="32">
        <v>70</v>
      </c>
      <c r="C431" s="71">
        <v>5</v>
      </c>
      <c r="D431" s="37" t="s">
        <v>1301</v>
      </c>
      <c r="E431" s="37">
        <v>43010</v>
      </c>
      <c r="F431" s="40" t="s">
        <v>282</v>
      </c>
      <c r="G431" s="38" t="s">
        <v>1109</v>
      </c>
      <c r="H431" s="71">
        <v>5</v>
      </c>
      <c r="I431" s="48">
        <v>45477</v>
      </c>
      <c r="J431" s="42">
        <v>14.677768707275391</v>
      </c>
      <c r="K431" s="42">
        <v>14.343128204345703</v>
      </c>
      <c r="L431" s="44">
        <v>4880909.5</v>
      </c>
      <c r="M431" s="44">
        <v>5902864.5</v>
      </c>
      <c r="N431" s="46">
        <f t="shared" si="40"/>
        <v>5391887</v>
      </c>
      <c r="O431" s="46">
        <f t="shared" si="41"/>
        <v>722631.31056749821</v>
      </c>
      <c r="P431" s="46">
        <f t="shared" si="36"/>
        <v>13.402196866653515</v>
      </c>
      <c r="Q431" s="66">
        <f t="shared" si="37"/>
        <v>377432090</v>
      </c>
    </row>
    <row r="432" spans="1:17">
      <c r="A432" s="32">
        <v>20</v>
      </c>
      <c r="B432" s="32">
        <v>80</v>
      </c>
      <c r="C432" s="71">
        <v>6</v>
      </c>
      <c r="D432" s="37" t="s">
        <v>1302</v>
      </c>
      <c r="E432" s="37">
        <v>43045</v>
      </c>
      <c r="F432" s="40" t="s">
        <v>282</v>
      </c>
      <c r="G432" s="38" t="s">
        <v>1111</v>
      </c>
      <c r="H432" s="71">
        <v>10</v>
      </c>
      <c r="I432" s="48">
        <v>45477</v>
      </c>
      <c r="J432" s="42">
        <v>23.201242446899414</v>
      </c>
      <c r="K432" s="42">
        <v>19.044023513793945</v>
      </c>
      <c r="L432" s="44">
        <v>38512.42578125</v>
      </c>
      <c r="M432" s="44">
        <v>408567.96875</v>
      </c>
      <c r="N432" s="46">
        <f t="shared" si="40"/>
        <v>223540.197265625</v>
      </c>
      <c r="O432" s="46">
        <f t="shared" si="41"/>
        <v>261668.78384887293</v>
      </c>
      <c r="P432" s="46">
        <f t="shared" si="36"/>
        <v>117.05670257503668</v>
      </c>
      <c r="Q432" s="66">
        <f t="shared" si="37"/>
        <v>15647813.80859375</v>
      </c>
    </row>
    <row r="433" spans="1:17">
      <c r="A433" s="32">
        <v>20</v>
      </c>
      <c r="B433" s="32">
        <v>90</v>
      </c>
      <c r="C433" s="71">
        <v>7</v>
      </c>
      <c r="D433" s="37" t="s">
        <v>1303</v>
      </c>
      <c r="E433" s="37">
        <v>43080</v>
      </c>
      <c r="F433" s="40" t="s">
        <v>282</v>
      </c>
      <c r="G433" s="38" t="s">
        <v>1113</v>
      </c>
      <c r="H433" s="71">
        <v>10</v>
      </c>
      <c r="I433" s="48">
        <v>45477</v>
      </c>
      <c r="J433" s="42">
        <v>16.187566757202148</v>
      </c>
      <c r="K433" s="42">
        <v>15.987482070922852</v>
      </c>
      <c r="L433" s="44">
        <v>2070167.25</v>
      </c>
      <c r="M433" s="44">
        <v>2319370.25</v>
      </c>
      <c r="N433" s="46">
        <f t="shared" si="40"/>
        <v>2194768.75</v>
      </c>
      <c r="O433" s="46">
        <f t="shared" si="41"/>
        <v>176213.1311920312</v>
      </c>
      <c r="P433" s="46">
        <f t="shared" si="36"/>
        <v>8.0287789404706622</v>
      </c>
      <c r="Q433" s="66">
        <f t="shared" si="37"/>
        <v>153633812.5</v>
      </c>
    </row>
    <row r="434" spans="1:17">
      <c r="A434" s="32">
        <v>20</v>
      </c>
      <c r="B434" s="32">
        <v>100</v>
      </c>
      <c r="C434" s="81">
        <v>33</v>
      </c>
      <c r="D434" s="36" t="s">
        <v>1391</v>
      </c>
      <c r="E434" s="37">
        <v>43136</v>
      </c>
      <c r="F434" s="38" t="s">
        <v>282</v>
      </c>
      <c r="G434" s="40" t="s">
        <v>639</v>
      </c>
      <c r="H434" s="71">
        <v>10</v>
      </c>
      <c r="I434" s="48">
        <v>45461</v>
      </c>
      <c r="J434" s="42">
        <v>13.910245895385742</v>
      </c>
      <c r="K434" s="42">
        <v>14.14698314666748</v>
      </c>
      <c r="L434" s="44">
        <v>3122713.25</v>
      </c>
      <c r="M434" s="44">
        <v>2718401.25</v>
      </c>
      <c r="N434" s="46">
        <f t="shared" si="40"/>
        <v>2920557.25</v>
      </c>
      <c r="O434" s="46">
        <f t="shared" si="41"/>
        <v>285891.75691509538</v>
      </c>
      <c r="P434" s="46">
        <f t="shared" si="36"/>
        <v>9.7889454800139717</v>
      </c>
      <c r="Q434" s="66">
        <f t="shared" si="37"/>
        <v>204439007.5</v>
      </c>
    </row>
    <row r="435" spans="1:17">
      <c r="A435" s="32">
        <v>20</v>
      </c>
      <c r="B435" s="32">
        <v>110</v>
      </c>
      <c r="C435" s="71">
        <v>8</v>
      </c>
      <c r="D435" s="37" t="s">
        <v>1304</v>
      </c>
      <c r="E435" s="37">
        <v>43171</v>
      </c>
      <c r="F435" s="40" t="s">
        <v>282</v>
      </c>
      <c r="G435" s="38" t="s">
        <v>1115</v>
      </c>
      <c r="H435" s="71">
        <v>7</v>
      </c>
      <c r="I435" s="48">
        <v>45477</v>
      </c>
      <c r="J435" s="42">
        <v>16.447620391845703</v>
      </c>
      <c r="K435" s="42">
        <v>16.248842239379883</v>
      </c>
      <c r="L435" s="44">
        <v>1785851.625</v>
      </c>
      <c r="M435" s="44">
        <v>1999344.5</v>
      </c>
      <c r="N435" s="46">
        <f t="shared" si="40"/>
        <v>1892598.0625</v>
      </c>
      <c r="O435" s="46">
        <f t="shared" si="41"/>
        <v>150962.25964751194</v>
      </c>
      <c r="P435" s="46">
        <f t="shared" si="36"/>
        <v>7.9764564192832639</v>
      </c>
      <c r="Q435" s="66">
        <f t="shared" si="37"/>
        <v>132481864.375</v>
      </c>
    </row>
    <row r="436" spans="1:17">
      <c r="A436" s="32">
        <v>20</v>
      </c>
      <c r="B436" s="32">
        <v>120</v>
      </c>
      <c r="C436" s="71">
        <v>9</v>
      </c>
      <c r="D436" s="37" t="s">
        <v>1305</v>
      </c>
      <c r="E436" s="37">
        <v>43206</v>
      </c>
      <c r="F436" s="40" t="s">
        <v>282</v>
      </c>
      <c r="G436" s="38" t="s">
        <v>1117</v>
      </c>
      <c r="H436" s="71">
        <v>10</v>
      </c>
      <c r="I436" s="48">
        <v>45477</v>
      </c>
      <c r="J436" s="42">
        <v>15.496748924255371</v>
      </c>
      <c r="K436" s="42">
        <v>15.383976936340332</v>
      </c>
      <c r="L436" s="44">
        <v>3065089</v>
      </c>
      <c r="M436" s="44">
        <v>3267879.5</v>
      </c>
      <c r="N436" s="46">
        <f t="shared" si="40"/>
        <v>3166484.25</v>
      </c>
      <c r="O436" s="46">
        <f t="shared" si="41"/>
        <v>143394.53771021057</v>
      </c>
      <c r="P436" s="46">
        <f t="shared" si="36"/>
        <v>4.5285094252469618</v>
      </c>
      <c r="Q436" s="66">
        <f t="shared" si="37"/>
        <v>221653897.5</v>
      </c>
    </row>
    <row r="437" spans="1:17">
      <c r="A437" s="32">
        <v>20</v>
      </c>
      <c r="B437" s="32">
        <v>130</v>
      </c>
      <c r="C437" s="71">
        <v>10</v>
      </c>
      <c r="D437" s="37" t="s">
        <v>1306</v>
      </c>
      <c r="E437" s="37">
        <v>43242</v>
      </c>
      <c r="F437" s="40" t="s">
        <v>282</v>
      </c>
      <c r="G437" s="38" t="s">
        <v>1307</v>
      </c>
      <c r="H437" s="71">
        <v>5</v>
      </c>
      <c r="I437" s="48">
        <v>45477</v>
      </c>
      <c r="J437" s="42">
        <v>17.447532653808594</v>
      </c>
      <c r="K437" s="42">
        <v>17.063718795776367</v>
      </c>
      <c r="L437" s="44">
        <v>1011925.0625</v>
      </c>
      <c r="M437" s="44">
        <v>1258468.625</v>
      </c>
      <c r="N437" s="46">
        <f t="shared" si="40"/>
        <v>1135196.84375</v>
      </c>
      <c r="O437" s="46">
        <f t="shared" si="41"/>
        <v>174332.62490163941</v>
      </c>
      <c r="P437" s="46">
        <f t="shared" si="36"/>
        <v>15.357039253716602</v>
      </c>
      <c r="Q437" s="66">
        <f t="shared" si="37"/>
        <v>79463779.0625</v>
      </c>
    </row>
    <row r="438" spans="1:17">
      <c r="A438" s="32">
        <v>20</v>
      </c>
      <c r="B438" s="32">
        <v>140</v>
      </c>
      <c r="C438" s="71">
        <v>11</v>
      </c>
      <c r="D438" s="37" t="s">
        <v>1308</v>
      </c>
      <c r="E438" s="37">
        <v>43276</v>
      </c>
      <c r="F438" s="40" t="s">
        <v>282</v>
      </c>
      <c r="G438" s="38" t="s">
        <v>1309</v>
      </c>
      <c r="H438" s="71">
        <v>15</v>
      </c>
      <c r="I438" s="48">
        <v>45477</v>
      </c>
      <c r="J438" s="42">
        <v>36.561405181884766</v>
      </c>
      <c r="K438" s="42">
        <v>34.950077056884766</v>
      </c>
      <c r="L438" s="44">
        <v>19.471511840820312</v>
      </c>
      <c r="M438" s="44">
        <v>48.634490966796875</v>
      </c>
      <c r="N438" s="46">
        <f t="shared" si="40"/>
        <v>34.053001403808594</v>
      </c>
      <c r="O438" s="46">
        <f t="shared" si="41"/>
        <v>20.621340299579764</v>
      </c>
      <c r="P438" s="46">
        <f t="shared" si="36"/>
        <v>60.556601325818555</v>
      </c>
      <c r="Q438" s="66">
        <f t="shared" si="37"/>
        <v>2383.7100982666016</v>
      </c>
    </row>
    <row r="439" spans="1:17">
      <c r="A439" s="32">
        <v>20</v>
      </c>
      <c r="B439" s="32">
        <v>150</v>
      </c>
      <c r="C439" s="81">
        <v>34</v>
      </c>
      <c r="D439" s="36" t="s">
        <v>1392</v>
      </c>
      <c r="E439" s="37">
        <v>43311</v>
      </c>
      <c r="F439" s="38" t="s">
        <v>282</v>
      </c>
      <c r="G439" s="40" t="s">
        <v>640</v>
      </c>
      <c r="H439" s="71">
        <v>5</v>
      </c>
      <c r="I439" s="48">
        <v>45461</v>
      </c>
      <c r="J439" s="42">
        <v>17.099077224731445</v>
      </c>
      <c r="K439" s="42">
        <v>17.424051284790039</v>
      </c>
      <c r="L439" s="44">
        <v>482384.09375</v>
      </c>
      <c r="M439" s="44">
        <v>398776.65625</v>
      </c>
      <c r="N439" s="46">
        <f t="shared" si="40"/>
        <v>440580.375</v>
      </c>
      <c r="O439" s="46">
        <f t="shared" si="41"/>
        <v>59119.386013880445</v>
      </c>
      <c r="P439" s="46">
        <f t="shared" si="36"/>
        <v>13.418524602663123</v>
      </c>
      <c r="Q439" s="66">
        <f t="shared" si="37"/>
        <v>30840626.25</v>
      </c>
    </row>
    <row r="440" spans="1:17">
      <c r="A440" s="32">
        <v>20</v>
      </c>
      <c r="B440" s="32">
        <v>160</v>
      </c>
      <c r="C440" s="71">
        <v>12</v>
      </c>
      <c r="D440" s="37" t="s">
        <v>1310</v>
      </c>
      <c r="E440" s="37">
        <v>43346</v>
      </c>
      <c r="F440" s="40" t="s">
        <v>282</v>
      </c>
      <c r="G440" s="38" t="s">
        <v>1311</v>
      </c>
      <c r="H440" s="71">
        <v>5</v>
      </c>
      <c r="I440" s="48">
        <v>45477</v>
      </c>
      <c r="J440" s="42">
        <v>15.280220985412598</v>
      </c>
      <c r="K440" s="42">
        <v>15.336395263671875</v>
      </c>
      <c r="L440" s="44">
        <v>3466287.25</v>
      </c>
      <c r="M440" s="44">
        <v>3357417.25</v>
      </c>
      <c r="N440" s="46">
        <f t="shared" si="40"/>
        <v>3411852.25</v>
      </c>
      <c r="O440" s="46">
        <f t="shared" si="41"/>
        <v>76982.715267779422</v>
      </c>
      <c r="P440" s="46">
        <f t="shared" si="36"/>
        <v>2.2563320339495774</v>
      </c>
      <c r="Q440" s="66">
        <f t="shared" si="37"/>
        <v>238829657.5</v>
      </c>
    </row>
    <row r="441" spans="1:17">
      <c r="A441" s="32">
        <v>20</v>
      </c>
      <c r="B441" s="32">
        <v>170</v>
      </c>
      <c r="C441" s="71">
        <v>13</v>
      </c>
      <c r="D441" s="37" t="s">
        <v>1312</v>
      </c>
      <c r="E441" s="37">
        <v>43381</v>
      </c>
      <c r="F441" s="40" t="s">
        <v>282</v>
      </c>
      <c r="G441" s="38" t="s">
        <v>1313</v>
      </c>
      <c r="H441" s="71">
        <v>5</v>
      </c>
      <c r="I441" s="48">
        <v>45477</v>
      </c>
      <c r="J441" s="42">
        <v>15.400856971740723</v>
      </c>
      <c r="K441" s="42">
        <v>15.474693298339844</v>
      </c>
      <c r="L441" s="44">
        <v>3236692.25</v>
      </c>
      <c r="M441" s="44">
        <v>3103734.75</v>
      </c>
      <c r="N441" s="46">
        <f t="shared" si="40"/>
        <v>3170213.5</v>
      </c>
      <c r="O441" s="46">
        <f t="shared" si="41"/>
        <v>94015.149859610392</v>
      </c>
      <c r="P441" s="46">
        <f t="shared" si="36"/>
        <v>2.9655778659579357</v>
      </c>
      <c r="Q441" s="66">
        <f t="shared" si="37"/>
        <v>221914945</v>
      </c>
    </row>
    <row r="442" spans="1:17">
      <c r="A442" s="32">
        <v>20</v>
      </c>
      <c r="B442" s="32">
        <v>180</v>
      </c>
      <c r="C442" s="71">
        <v>14</v>
      </c>
      <c r="D442" s="37" t="s">
        <v>1314</v>
      </c>
      <c r="E442" s="37">
        <v>43416</v>
      </c>
      <c r="F442" s="40" t="s">
        <v>282</v>
      </c>
      <c r="G442" s="38" t="s">
        <v>1315</v>
      </c>
      <c r="H442" s="71">
        <v>5</v>
      </c>
      <c r="I442" s="48">
        <v>45477</v>
      </c>
      <c r="J442" s="42">
        <v>15.906414031982422</v>
      </c>
      <c r="K442" s="42">
        <v>15.811409950256348</v>
      </c>
      <c r="L442" s="44">
        <v>2428684.25</v>
      </c>
      <c r="M442" s="44">
        <v>2563364.25</v>
      </c>
      <c r="N442" s="46">
        <f t="shared" si="40"/>
        <v>2496024.25</v>
      </c>
      <c r="O442" s="46">
        <f t="shared" si="41"/>
        <v>95233.141290204221</v>
      </c>
      <c r="P442" s="46">
        <f t="shared" si="36"/>
        <v>3.81539327152788</v>
      </c>
      <c r="Q442" s="66">
        <f t="shared" si="37"/>
        <v>174721697.5</v>
      </c>
    </row>
    <row r="443" spans="1:17">
      <c r="A443" s="32">
        <v>20</v>
      </c>
      <c r="B443" s="32">
        <v>190</v>
      </c>
      <c r="C443" s="71">
        <v>15</v>
      </c>
      <c r="D443" s="37" t="s">
        <v>1316</v>
      </c>
      <c r="E443" s="37">
        <v>43451</v>
      </c>
      <c r="F443" s="40" t="s">
        <v>282</v>
      </c>
      <c r="G443" s="38" t="s">
        <v>1317</v>
      </c>
      <c r="H443" s="71">
        <v>5</v>
      </c>
      <c r="I443" s="48">
        <v>45477</v>
      </c>
      <c r="J443" s="42">
        <v>17.241138458251953</v>
      </c>
      <c r="K443" s="42">
        <v>17.018253326416016</v>
      </c>
      <c r="L443" s="44">
        <v>1137809.75</v>
      </c>
      <c r="M443" s="44">
        <v>1291396.375</v>
      </c>
      <c r="N443" s="46">
        <f t="shared" si="40"/>
        <v>1214603.0625</v>
      </c>
      <c r="O443" s="46">
        <f t="shared" si="41"/>
        <v>108602.14403705533</v>
      </c>
      <c r="P443" s="46">
        <f t="shared" si="36"/>
        <v>8.9413691921310576</v>
      </c>
      <c r="Q443" s="66">
        <f t="shared" si="37"/>
        <v>85022214.375</v>
      </c>
    </row>
    <row r="444" spans="1:17">
      <c r="A444" s="32">
        <v>20</v>
      </c>
      <c r="B444" s="32">
        <v>200</v>
      </c>
      <c r="C444" s="81">
        <v>35</v>
      </c>
      <c r="D444" s="36" t="s">
        <v>1393</v>
      </c>
      <c r="E444" s="37">
        <v>43549</v>
      </c>
      <c r="F444" s="38" t="s">
        <v>282</v>
      </c>
      <c r="G444" s="40" t="s">
        <v>641</v>
      </c>
      <c r="H444" s="71">
        <v>5</v>
      </c>
      <c r="I444" s="48">
        <v>45461</v>
      </c>
      <c r="J444" s="67">
        <v>38.348995208740234</v>
      </c>
      <c r="K444" s="42">
        <v>14.894009590148926</v>
      </c>
      <c r="L444" s="44">
        <v>1.897042989730835</v>
      </c>
      <c r="M444" s="44">
        <v>1755065.5</v>
      </c>
      <c r="N444" s="46">
        <f>M444</f>
        <v>1755065.5</v>
      </c>
      <c r="O444" s="46" t="s">
        <v>1473</v>
      </c>
      <c r="P444" s="46" t="e">
        <f t="shared" si="36"/>
        <v>#VALUE!</v>
      </c>
      <c r="Q444" s="66">
        <f t="shared" si="37"/>
        <v>122854585</v>
      </c>
    </row>
    <row r="445" spans="1:17">
      <c r="A445" s="32">
        <v>20</v>
      </c>
      <c r="B445" s="32">
        <v>210</v>
      </c>
      <c r="C445" s="71">
        <v>16</v>
      </c>
      <c r="D445" s="37" t="s">
        <v>1318</v>
      </c>
      <c r="E445" s="37">
        <v>43584</v>
      </c>
      <c r="F445" s="40" t="s">
        <v>282</v>
      </c>
      <c r="G445" s="38" t="s">
        <v>1319</v>
      </c>
      <c r="H445" s="71">
        <v>5</v>
      </c>
      <c r="I445" s="48">
        <v>45477</v>
      </c>
      <c r="J445" s="42">
        <v>17.285669326782227</v>
      </c>
      <c r="K445" s="42">
        <v>17.27655029296875</v>
      </c>
      <c r="L445" s="44">
        <v>1109387</v>
      </c>
      <c r="M445" s="44">
        <v>1115149</v>
      </c>
      <c r="N445" s="46">
        <f t="shared" ref="N445:N466" si="42">AVERAGE(L445:M445)</f>
        <v>1112268</v>
      </c>
      <c r="O445" s="46">
        <f t="shared" ref="O445:O466" si="43">STDEVA(L445:M445)</f>
        <v>4074.3492731968868</v>
      </c>
      <c r="P445" s="46">
        <f t="shared" si="36"/>
        <v>0.36631003258179562</v>
      </c>
      <c r="Q445" s="66">
        <f t="shared" si="37"/>
        <v>77858760</v>
      </c>
    </row>
    <row r="446" spans="1:17">
      <c r="A446" s="32">
        <v>20</v>
      </c>
      <c r="B446" s="32">
        <v>220</v>
      </c>
      <c r="C446" s="71">
        <v>17</v>
      </c>
      <c r="D446" s="37" t="s">
        <v>1320</v>
      </c>
      <c r="E446" s="37">
        <v>43619</v>
      </c>
      <c r="F446" s="40" t="s">
        <v>282</v>
      </c>
      <c r="G446" s="38" t="s">
        <v>1321</v>
      </c>
      <c r="H446" s="71">
        <v>5</v>
      </c>
      <c r="I446" s="48">
        <v>45477</v>
      </c>
      <c r="J446" s="42">
        <v>16.858663558959961</v>
      </c>
      <c r="K446" s="42">
        <v>17.079536437988281</v>
      </c>
      <c r="L446" s="44">
        <v>1413947.75</v>
      </c>
      <c r="M446" s="44">
        <v>1247210.875</v>
      </c>
      <c r="N446" s="46">
        <f t="shared" si="42"/>
        <v>1330579.3125</v>
      </c>
      <c r="O446" s="46">
        <f t="shared" si="43"/>
        <v>117900.77498635373</v>
      </c>
      <c r="P446" s="46">
        <f t="shared" si="36"/>
        <v>8.8608603695207186</v>
      </c>
      <c r="Q446" s="66">
        <f t="shared" si="37"/>
        <v>93140551.875</v>
      </c>
    </row>
    <row r="447" spans="1:17">
      <c r="A447" s="32">
        <v>20</v>
      </c>
      <c r="B447" s="32">
        <v>230</v>
      </c>
      <c r="C447" s="71">
        <v>18</v>
      </c>
      <c r="D447" s="37" t="s">
        <v>1322</v>
      </c>
      <c r="E447" s="37">
        <v>43661</v>
      </c>
      <c r="F447" s="40" t="s">
        <v>282</v>
      </c>
      <c r="G447" s="38" t="s">
        <v>1323</v>
      </c>
      <c r="H447" s="71">
        <v>5</v>
      </c>
      <c r="I447" s="48">
        <v>45477</v>
      </c>
      <c r="J447" s="42">
        <v>15.095354080200195</v>
      </c>
      <c r="K447" s="42">
        <v>15.598018646240234</v>
      </c>
      <c r="L447" s="44">
        <v>3850123.5</v>
      </c>
      <c r="M447" s="44">
        <v>2893729.5</v>
      </c>
      <c r="N447" s="46">
        <f t="shared" si="42"/>
        <v>3371926.5</v>
      </c>
      <c r="O447" s="46">
        <f t="shared" si="43"/>
        <v>676272.68288612692</v>
      </c>
      <c r="P447" s="46">
        <f t="shared" si="36"/>
        <v>20.055973429021272</v>
      </c>
      <c r="Q447" s="66">
        <f t="shared" si="37"/>
        <v>236034855</v>
      </c>
    </row>
    <row r="448" spans="1:17">
      <c r="A448" s="32">
        <v>20</v>
      </c>
      <c r="B448" s="32">
        <v>240</v>
      </c>
      <c r="C448" s="71">
        <v>19</v>
      </c>
      <c r="D448" s="37" t="s">
        <v>1324</v>
      </c>
      <c r="E448" s="37">
        <v>43696</v>
      </c>
      <c r="F448" s="40" t="s">
        <v>282</v>
      </c>
      <c r="G448" s="38" t="s">
        <v>1325</v>
      </c>
      <c r="H448" s="71">
        <v>5</v>
      </c>
      <c r="I448" s="48">
        <v>45477</v>
      </c>
      <c r="J448" s="42">
        <v>14.471602439880371</v>
      </c>
      <c r="K448" s="42">
        <v>14.758505821228027</v>
      </c>
      <c r="L448" s="44">
        <v>5487390</v>
      </c>
      <c r="M448" s="44">
        <v>4662098</v>
      </c>
      <c r="N448" s="46">
        <f t="shared" si="42"/>
        <v>5074744</v>
      </c>
      <c r="O448" s="46">
        <f t="shared" si="43"/>
        <v>583569.56965900818</v>
      </c>
      <c r="P448" s="46">
        <f t="shared" si="36"/>
        <v>11.499487849219747</v>
      </c>
      <c r="Q448" s="66">
        <f t="shared" si="37"/>
        <v>355232080</v>
      </c>
    </row>
    <row r="449" spans="1:17">
      <c r="A449" s="32">
        <v>20</v>
      </c>
      <c r="B449" s="32">
        <v>250</v>
      </c>
      <c r="C449" s="81">
        <v>36</v>
      </c>
      <c r="D449" s="36" t="s">
        <v>1394</v>
      </c>
      <c r="E449" s="37">
        <v>43731</v>
      </c>
      <c r="F449" s="38" t="s">
        <v>282</v>
      </c>
      <c r="G449" s="40" t="s">
        <v>642</v>
      </c>
      <c r="H449" s="71">
        <v>10</v>
      </c>
      <c r="I449" s="48">
        <v>45461</v>
      </c>
      <c r="J449" s="42">
        <v>16.943021774291992</v>
      </c>
      <c r="K449" s="42">
        <v>16.603481292724609</v>
      </c>
      <c r="L449" s="44">
        <v>528553.0625</v>
      </c>
      <c r="M449" s="44">
        <v>644847.625</v>
      </c>
      <c r="N449" s="46">
        <f t="shared" si="42"/>
        <v>586700.34375</v>
      </c>
      <c r="O449" s="46">
        <f t="shared" si="43"/>
        <v>82232.67375887277</v>
      </c>
      <c r="P449" s="46">
        <f t="shared" si="36"/>
        <v>14.016128443571031</v>
      </c>
      <c r="Q449" s="66">
        <f t="shared" si="37"/>
        <v>41069024.0625</v>
      </c>
    </row>
    <row r="450" spans="1:17">
      <c r="A450" s="32">
        <v>20</v>
      </c>
      <c r="B450" s="32">
        <v>260</v>
      </c>
      <c r="C450" s="71">
        <v>20</v>
      </c>
      <c r="D450" s="37" t="s">
        <v>1326</v>
      </c>
      <c r="E450" s="37">
        <v>43766</v>
      </c>
      <c r="F450" s="40" t="s">
        <v>282</v>
      </c>
      <c r="G450" s="38" t="s">
        <v>1327</v>
      </c>
      <c r="H450" s="71">
        <v>5</v>
      </c>
      <c r="I450" s="48">
        <v>45477</v>
      </c>
      <c r="J450" s="42">
        <v>18.392053604125977</v>
      </c>
      <c r="K450" s="42">
        <v>19.825571060180664</v>
      </c>
      <c r="L450" s="44">
        <v>591721.625</v>
      </c>
      <c r="M450" s="44">
        <v>262084.875</v>
      </c>
      <c r="N450" s="46">
        <f t="shared" si="42"/>
        <v>426903.25</v>
      </c>
      <c r="O450" s="46">
        <f t="shared" si="43"/>
        <v>233088.38125329468</v>
      </c>
      <c r="P450" s="46">
        <f t="shared" si="36"/>
        <v>54.599814185835946</v>
      </c>
      <c r="Q450" s="66">
        <f t="shared" si="37"/>
        <v>29883227.5</v>
      </c>
    </row>
    <row r="451" spans="1:17">
      <c r="A451" s="32">
        <v>20</v>
      </c>
      <c r="B451" s="32">
        <v>270</v>
      </c>
      <c r="C451" s="71">
        <v>21</v>
      </c>
      <c r="D451" s="37" t="s">
        <v>1328</v>
      </c>
      <c r="E451" s="37">
        <v>43801</v>
      </c>
      <c r="F451" s="40" t="s">
        <v>282</v>
      </c>
      <c r="G451" s="38" t="s">
        <v>1329</v>
      </c>
      <c r="H451" s="71">
        <v>5</v>
      </c>
      <c r="I451" s="48">
        <v>45477</v>
      </c>
      <c r="J451" s="42">
        <v>18.548610687255859</v>
      </c>
      <c r="K451" s="42">
        <v>18.620878219604492</v>
      </c>
      <c r="L451" s="44">
        <v>541367.125</v>
      </c>
      <c r="M451" s="44">
        <v>519591.625</v>
      </c>
      <c r="N451" s="46">
        <f t="shared" si="42"/>
        <v>530479.375</v>
      </c>
      <c r="O451" s="46">
        <f t="shared" si="43"/>
        <v>15397.603713727665</v>
      </c>
      <c r="P451" s="46">
        <f t="shared" ref="P451:P487" si="44">O451*100/N451</f>
        <v>2.9025829163909842</v>
      </c>
      <c r="Q451" s="66">
        <f t="shared" ref="Q451:Q487" si="45">N451*70</f>
        <v>37133556.25</v>
      </c>
    </row>
    <row r="452" spans="1:17">
      <c r="A452" s="32">
        <v>20</v>
      </c>
      <c r="B452" s="32">
        <v>280</v>
      </c>
      <c r="C452" s="71">
        <v>22</v>
      </c>
      <c r="D452" s="37" t="s">
        <v>1330</v>
      </c>
      <c r="E452" s="37">
        <v>43836</v>
      </c>
      <c r="F452" s="40" t="s">
        <v>282</v>
      </c>
      <c r="G452" s="38" t="s">
        <v>1331</v>
      </c>
      <c r="H452" s="71">
        <v>5</v>
      </c>
      <c r="I452" s="48">
        <v>45477</v>
      </c>
      <c r="J452" s="42">
        <v>18.286520004272461</v>
      </c>
      <c r="K452" s="42">
        <v>18.723855972290039</v>
      </c>
      <c r="L452" s="44">
        <v>628281.875</v>
      </c>
      <c r="M452" s="44">
        <v>490067.15625</v>
      </c>
      <c r="N452" s="46">
        <f t="shared" si="42"/>
        <v>559174.515625</v>
      </c>
      <c r="O452" s="46">
        <f t="shared" si="43"/>
        <v>97732.564887916451</v>
      </c>
      <c r="P452" s="46">
        <f t="shared" si="44"/>
        <v>17.478007698308442</v>
      </c>
      <c r="Q452" s="66">
        <f t="shared" si="45"/>
        <v>39142216.09375</v>
      </c>
    </row>
    <row r="453" spans="1:17">
      <c r="A453" s="32">
        <v>20</v>
      </c>
      <c r="B453" s="32">
        <v>290</v>
      </c>
      <c r="C453" s="71">
        <v>23</v>
      </c>
      <c r="D453" s="37" t="s">
        <v>1332</v>
      </c>
      <c r="E453" s="37">
        <v>43878</v>
      </c>
      <c r="F453" s="40" t="s">
        <v>282</v>
      </c>
      <c r="G453" s="38" t="s">
        <v>1333</v>
      </c>
      <c r="H453" s="71">
        <v>5</v>
      </c>
      <c r="I453" s="48">
        <v>45477</v>
      </c>
      <c r="J453" s="42">
        <v>16.915546417236328</v>
      </c>
      <c r="K453" s="42">
        <v>16.980197906494141</v>
      </c>
      <c r="L453" s="44">
        <v>1368986.875</v>
      </c>
      <c r="M453" s="44">
        <v>1319619</v>
      </c>
      <c r="N453" s="46">
        <f t="shared" si="42"/>
        <v>1344302.9375</v>
      </c>
      <c r="O453" s="46">
        <f t="shared" si="43"/>
        <v>34908.35918526983</v>
      </c>
      <c r="P453" s="46">
        <f t="shared" si="44"/>
        <v>2.5967628435141932</v>
      </c>
      <c r="Q453" s="66">
        <f t="shared" si="45"/>
        <v>94101205.625</v>
      </c>
    </row>
    <row r="454" spans="1:17">
      <c r="A454" s="32">
        <v>20</v>
      </c>
      <c r="B454" s="32">
        <v>300</v>
      </c>
      <c r="C454" s="81">
        <v>37</v>
      </c>
      <c r="D454" s="36" t="s">
        <v>1395</v>
      </c>
      <c r="E454" s="37">
        <v>43913</v>
      </c>
      <c r="F454" s="38" t="s">
        <v>282</v>
      </c>
      <c r="G454" s="40" t="s">
        <v>643</v>
      </c>
      <c r="H454" s="71">
        <v>5</v>
      </c>
      <c r="I454" s="48">
        <v>45461</v>
      </c>
      <c r="J454" s="42">
        <v>15.564791679382324</v>
      </c>
      <c r="K454" s="42">
        <v>15.482059478759766</v>
      </c>
      <c r="L454" s="44">
        <v>1184860.75</v>
      </c>
      <c r="M454" s="44">
        <v>1243689</v>
      </c>
      <c r="N454" s="46">
        <f t="shared" si="42"/>
        <v>1214274.875</v>
      </c>
      <c r="O454" s="46">
        <f t="shared" si="43"/>
        <v>41597.854500337511</v>
      </c>
      <c r="P454" s="46">
        <f t="shared" si="44"/>
        <v>3.4257362444675068</v>
      </c>
      <c r="Q454" s="66">
        <f t="shared" si="45"/>
        <v>84999241.25</v>
      </c>
    </row>
    <row r="455" spans="1:17">
      <c r="A455" s="32">
        <v>20</v>
      </c>
      <c r="B455" s="32">
        <v>310</v>
      </c>
      <c r="C455" s="71">
        <v>24</v>
      </c>
      <c r="D455" s="37" t="s">
        <v>1334</v>
      </c>
      <c r="E455" s="37">
        <v>44025</v>
      </c>
      <c r="F455" s="40" t="s">
        <v>282</v>
      </c>
      <c r="G455" s="38" t="s">
        <v>1335</v>
      </c>
      <c r="H455" s="71">
        <v>5</v>
      </c>
      <c r="I455" s="48">
        <v>45477</v>
      </c>
      <c r="J455" s="42">
        <v>15.67884635925293</v>
      </c>
      <c r="K455" s="42">
        <v>15.586644172668457</v>
      </c>
      <c r="L455" s="44">
        <v>2763861.25</v>
      </c>
      <c r="M455" s="44">
        <v>2912488.75</v>
      </c>
      <c r="N455" s="46">
        <f t="shared" si="42"/>
        <v>2838175</v>
      </c>
      <c r="O455" s="46">
        <f t="shared" si="43"/>
        <v>105095.51312080359</v>
      </c>
      <c r="P455" s="46">
        <f t="shared" si="44"/>
        <v>3.7029257576014021</v>
      </c>
      <c r="Q455" s="66">
        <f t="shared" si="45"/>
        <v>198672250</v>
      </c>
    </row>
    <row r="456" spans="1:17">
      <c r="A456" s="32">
        <v>20</v>
      </c>
      <c r="B456" s="32">
        <v>320</v>
      </c>
      <c r="C456" s="71">
        <v>25</v>
      </c>
      <c r="D456" s="37" t="s">
        <v>1336</v>
      </c>
      <c r="E456" s="37">
        <v>44060</v>
      </c>
      <c r="F456" s="40" t="s">
        <v>282</v>
      </c>
      <c r="G456" s="38" t="s">
        <v>1337</v>
      </c>
      <c r="H456" s="71">
        <v>5</v>
      </c>
      <c r="I456" s="48">
        <v>45477</v>
      </c>
      <c r="J456" s="42">
        <v>14.558259010314941</v>
      </c>
      <c r="K456" s="42">
        <v>14.75369930267334</v>
      </c>
      <c r="L456" s="44">
        <v>5223794</v>
      </c>
      <c r="M456" s="44">
        <v>4674845.5</v>
      </c>
      <c r="N456" s="46">
        <f t="shared" si="42"/>
        <v>4949319.75</v>
      </c>
      <c r="O456" s="46">
        <f t="shared" si="43"/>
        <v>388165.20687218348</v>
      </c>
      <c r="P456" s="46">
        <f t="shared" si="44"/>
        <v>7.8427991416837326</v>
      </c>
      <c r="Q456" s="66">
        <f t="shared" si="45"/>
        <v>346452382.5</v>
      </c>
    </row>
    <row r="457" spans="1:17">
      <c r="A457" s="32">
        <v>20</v>
      </c>
      <c r="B457" s="32">
        <v>330</v>
      </c>
      <c r="C457" s="71">
        <v>26</v>
      </c>
      <c r="D457" s="37" t="s">
        <v>1338</v>
      </c>
      <c r="E457" s="37">
        <v>44095</v>
      </c>
      <c r="F457" s="40" t="s">
        <v>282</v>
      </c>
      <c r="G457" s="38" t="s">
        <v>1339</v>
      </c>
      <c r="H457" s="71">
        <v>5</v>
      </c>
      <c r="I457" s="48">
        <v>45477</v>
      </c>
      <c r="J457" s="42">
        <v>19.932897567749023</v>
      </c>
      <c r="K457" s="42">
        <v>20.223718643188477</v>
      </c>
      <c r="L457" s="44">
        <v>246582.640625</v>
      </c>
      <c r="M457" s="44">
        <v>209031.390625</v>
      </c>
      <c r="N457" s="46">
        <f t="shared" si="42"/>
        <v>227807.015625</v>
      </c>
      <c r="O457" s="46">
        <f t="shared" si="43"/>
        <v>26552.743517031344</v>
      </c>
      <c r="P457" s="46">
        <f t="shared" si="44"/>
        <v>11.655805877699841</v>
      </c>
      <c r="Q457" s="66">
        <f t="shared" si="45"/>
        <v>15946491.09375</v>
      </c>
    </row>
    <row r="458" spans="1:17">
      <c r="A458" s="32">
        <v>20</v>
      </c>
      <c r="B458" s="32">
        <v>340</v>
      </c>
      <c r="C458" s="71">
        <v>27</v>
      </c>
      <c r="D458" s="37" t="s">
        <v>1340</v>
      </c>
      <c r="E458" s="37">
        <v>44130</v>
      </c>
      <c r="F458" s="40" t="s">
        <v>282</v>
      </c>
      <c r="G458" s="38" t="s">
        <v>1341</v>
      </c>
      <c r="H458" s="71">
        <v>5</v>
      </c>
      <c r="I458" s="48">
        <v>45477</v>
      </c>
      <c r="J458" s="42">
        <v>17.438869476318359</v>
      </c>
      <c r="K458" s="42">
        <v>17.693382263183594</v>
      </c>
      <c r="L458" s="44">
        <v>1016917.5</v>
      </c>
      <c r="M458" s="44">
        <v>880020.3125</v>
      </c>
      <c r="N458" s="46">
        <f t="shared" si="42"/>
        <v>948468.90625</v>
      </c>
      <c r="O458" s="46">
        <f t="shared" si="43"/>
        <v>96800.929606616264</v>
      </c>
      <c r="P458" s="46">
        <f t="shared" si="44"/>
        <v>10.206020352247712</v>
      </c>
      <c r="Q458" s="66">
        <f t="shared" si="45"/>
        <v>66392823.4375</v>
      </c>
    </row>
    <row r="459" spans="1:17">
      <c r="A459" s="32">
        <v>20</v>
      </c>
      <c r="B459" s="32">
        <v>350</v>
      </c>
      <c r="C459" s="81">
        <v>38</v>
      </c>
      <c r="D459" s="36" t="s">
        <v>1396</v>
      </c>
      <c r="E459" s="37">
        <v>44165</v>
      </c>
      <c r="F459" s="38" t="s">
        <v>282</v>
      </c>
      <c r="G459" s="40" t="s">
        <v>644</v>
      </c>
      <c r="H459" s="71">
        <v>5</v>
      </c>
      <c r="I459" s="48">
        <v>45461</v>
      </c>
      <c r="J459" s="42">
        <v>15.192327499389648</v>
      </c>
      <c r="K459" s="42">
        <v>15.148604393005371</v>
      </c>
      <c r="L459" s="44">
        <v>1473705.125</v>
      </c>
      <c r="M459" s="44">
        <v>1511932.375</v>
      </c>
      <c r="N459" s="46">
        <f t="shared" si="42"/>
        <v>1492818.75</v>
      </c>
      <c r="O459" s="46">
        <f t="shared" si="43"/>
        <v>27030.747701113451</v>
      </c>
      <c r="P459" s="46">
        <f t="shared" si="44"/>
        <v>1.8107186623368343</v>
      </c>
      <c r="Q459" s="66">
        <f t="shared" si="45"/>
        <v>104497312.5</v>
      </c>
    </row>
    <row r="460" spans="1:17">
      <c r="A460" s="32">
        <v>20</v>
      </c>
      <c r="B460" s="32">
        <v>360</v>
      </c>
      <c r="C460" s="71">
        <v>28</v>
      </c>
      <c r="D460" s="37" t="s">
        <v>1342</v>
      </c>
      <c r="E460" s="37">
        <v>44200</v>
      </c>
      <c r="F460" s="40" t="s">
        <v>282</v>
      </c>
      <c r="G460" s="38" t="s">
        <v>1343</v>
      </c>
      <c r="H460" s="71">
        <v>15</v>
      </c>
      <c r="I460" s="48">
        <v>45477</v>
      </c>
      <c r="J460" s="42">
        <v>19.613428115844727</v>
      </c>
      <c r="K460" s="42">
        <v>19.729446411132812</v>
      </c>
      <c r="L460" s="44">
        <v>295652.5</v>
      </c>
      <c r="M460" s="44">
        <v>276794.65625</v>
      </c>
      <c r="N460" s="46">
        <f t="shared" si="42"/>
        <v>286223.578125</v>
      </c>
      <c r="O460" s="46">
        <f t="shared" si="43"/>
        <v>13334.509194181353</v>
      </c>
      <c r="P460" s="46">
        <f t="shared" si="44"/>
        <v>4.6587738443958262</v>
      </c>
      <c r="Q460" s="66">
        <f t="shared" si="45"/>
        <v>20035650.46875</v>
      </c>
    </row>
    <row r="461" spans="1:17">
      <c r="A461" s="32">
        <v>20</v>
      </c>
      <c r="B461" s="32">
        <v>370</v>
      </c>
      <c r="C461" s="71">
        <v>29</v>
      </c>
      <c r="D461" s="37" t="s">
        <v>1344</v>
      </c>
      <c r="E461" s="37">
        <v>44235</v>
      </c>
      <c r="F461" s="40" t="s">
        <v>282</v>
      </c>
      <c r="G461" s="38" t="s">
        <v>1345</v>
      </c>
      <c r="H461" s="71">
        <v>7</v>
      </c>
      <c r="I461" s="48">
        <v>45477</v>
      </c>
      <c r="J461" s="42">
        <v>18.090900421142578</v>
      </c>
      <c r="K461" s="42">
        <v>18.49882698059082</v>
      </c>
      <c r="L461" s="44">
        <v>702130</v>
      </c>
      <c r="M461" s="44">
        <v>556896.4375</v>
      </c>
      <c r="N461" s="46">
        <f t="shared" si="42"/>
        <v>629513.21875</v>
      </c>
      <c r="O461" s="46">
        <f t="shared" si="43"/>
        <v>102695.63689963028</v>
      </c>
      <c r="P461" s="46">
        <f t="shared" si="44"/>
        <v>16.313499675757249</v>
      </c>
      <c r="Q461" s="66">
        <f t="shared" si="45"/>
        <v>44065925.3125</v>
      </c>
    </row>
    <row r="462" spans="1:17">
      <c r="A462" s="32">
        <v>20</v>
      </c>
      <c r="B462" s="32">
        <v>380</v>
      </c>
      <c r="C462" s="71">
        <v>30</v>
      </c>
      <c r="D462" s="37" t="s">
        <v>1346</v>
      </c>
      <c r="E462" s="37">
        <v>44270</v>
      </c>
      <c r="F462" s="40" t="s">
        <v>282</v>
      </c>
      <c r="G462" s="38" t="s">
        <v>1347</v>
      </c>
      <c r="H462" s="71">
        <v>7</v>
      </c>
      <c r="I462" s="48">
        <v>45477</v>
      </c>
      <c r="J462" s="42">
        <v>18.367469787597656</v>
      </c>
      <c r="K462" s="42">
        <v>18.664186477661133</v>
      </c>
      <c r="L462" s="44">
        <v>600043.5</v>
      </c>
      <c r="M462" s="44">
        <v>506964.0625</v>
      </c>
      <c r="N462" s="46">
        <f t="shared" si="42"/>
        <v>553503.78125</v>
      </c>
      <c r="O462" s="46">
        <f t="shared" si="43"/>
        <v>65817.101445279433</v>
      </c>
      <c r="P462" s="46">
        <f t="shared" si="44"/>
        <v>11.890994004890448</v>
      </c>
      <c r="Q462" s="66">
        <f t="shared" si="45"/>
        <v>38745264.6875</v>
      </c>
    </row>
    <row r="463" spans="1:17">
      <c r="A463" s="32">
        <v>20</v>
      </c>
      <c r="B463" s="32">
        <v>390</v>
      </c>
      <c r="C463" s="71">
        <v>31</v>
      </c>
      <c r="D463" s="37" t="s">
        <v>1348</v>
      </c>
      <c r="E463" s="37">
        <v>44305</v>
      </c>
      <c r="F463" s="40" t="s">
        <v>282</v>
      </c>
      <c r="G463" s="38" t="s">
        <v>1349</v>
      </c>
      <c r="H463" s="71">
        <v>10</v>
      </c>
      <c r="I463" s="48">
        <v>45477</v>
      </c>
      <c r="J463" s="42">
        <v>17.946615219116211</v>
      </c>
      <c r="K463" s="42">
        <v>17.97816276550293</v>
      </c>
      <c r="L463" s="44">
        <v>762106</v>
      </c>
      <c r="M463" s="44">
        <v>748569.3125</v>
      </c>
      <c r="N463" s="46">
        <f t="shared" si="42"/>
        <v>755337.65625</v>
      </c>
      <c r="O463" s="46">
        <f t="shared" si="43"/>
        <v>9571.8835260531723</v>
      </c>
      <c r="P463" s="46">
        <f t="shared" si="44"/>
        <v>1.2672324022046495</v>
      </c>
      <c r="Q463" s="66">
        <f t="shared" si="45"/>
        <v>52873635.9375</v>
      </c>
    </row>
    <row r="464" spans="1:17">
      <c r="A464" s="32">
        <v>20</v>
      </c>
      <c r="B464" s="32">
        <v>400</v>
      </c>
      <c r="C464" s="81">
        <v>39</v>
      </c>
      <c r="D464" s="36" t="s">
        <v>1397</v>
      </c>
      <c r="E464" s="37">
        <v>44341</v>
      </c>
      <c r="F464" s="38" t="s">
        <v>282</v>
      </c>
      <c r="G464" s="40" t="s">
        <v>645</v>
      </c>
      <c r="H464" s="71">
        <v>0</v>
      </c>
      <c r="I464" s="48">
        <v>45461</v>
      </c>
      <c r="J464" s="42">
        <v>27.634614944458008</v>
      </c>
      <c r="K464" s="42">
        <v>28.385580062866211</v>
      </c>
      <c r="L464" s="44">
        <v>1008.047607421875</v>
      </c>
      <c r="M464" s="44">
        <v>649.32025146484375</v>
      </c>
      <c r="N464" s="46">
        <f t="shared" si="42"/>
        <v>828.68392944335938</v>
      </c>
      <c r="O464" s="46">
        <f t="shared" si="43"/>
        <v>253.65854599433723</v>
      </c>
      <c r="P464" s="46">
        <f t="shared" si="44"/>
        <v>30.609806342536874</v>
      </c>
      <c r="Q464" s="66">
        <f t="shared" si="45"/>
        <v>58007.875061035156</v>
      </c>
    </row>
    <row r="465" spans="1:17">
      <c r="A465" s="32">
        <v>20</v>
      </c>
      <c r="B465" s="32">
        <v>410</v>
      </c>
      <c r="C465" s="71">
        <v>32</v>
      </c>
      <c r="D465" s="37" t="s">
        <v>1350</v>
      </c>
      <c r="E465" s="37">
        <v>44375</v>
      </c>
      <c r="F465" s="40" t="s">
        <v>282</v>
      </c>
      <c r="G465" s="38" t="s">
        <v>645</v>
      </c>
      <c r="H465" s="71">
        <v>5</v>
      </c>
      <c r="I465" s="48">
        <v>45477</v>
      </c>
      <c r="J465" s="42">
        <v>17.291488647460938</v>
      </c>
      <c r="K465" s="42">
        <v>17.210222244262695</v>
      </c>
      <c r="L465" s="44">
        <v>1105725.5</v>
      </c>
      <c r="M465" s="44">
        <v>1157969.875</v>
      </c>
      <c r="N465" s="46">
        <f t="shared" si="42"/>
        <v>1131847.6875</v>
      </c>
      <c r="O465" s="46">
        <f t="shared" si="43"/>
        <v>36942.351841352931</v>
      </c>
      <c r="P465" s="46">
        <f t="shared" si="44"/>
        <v>3.2638978061571495</v>
      </c>
      <c r="Q465" s="66">
        <f t="shared" si="45"/>
        <v>79229338.125</v>
      </c>
    </row>
    <row r="466" spans="1:17">
      <c r="A466" s="32">
        <v>20</v>
      </c>
      <c r="B466" s="32">
        <v>420</v>
      </c>
      <c r="C466" s="71">
        <v>33</v>
      </c>
      <c r="D466" s="37" t="s">
        <v>1351</v>
      </c>
      <c r="E466" s="37">
        <v>44410</v>
      </c>
      <c r="F466" s="40" t="s">
        <v>282</v>
      </c>
      <c r="G466" s="38" t="s">
        <v>1352</v>
      </c>
      <c r="H466" s="71">
        <v>5</v>
      </c>
      <c r="I466" s="48">
        <v>45477</v>
      </c>
      <c r="J466" s="42">
        <v>16.591056823730469</v>
      </c>
      <c r="K466" s="42">
        <v>16.966634750366211</v>
      </c>
      <c r="L466" s="44">
        <v>1646102.625</v>
      </c>
      <c r="M466" s="44">
        <v>1329826.125</v>
      </c>
      <c r="N466" s="46">
        <f t="shared" si="42"/>
        <v>1487964.375</v>
      </c>
      <c r="O466" s="46">
        <f t="shared" si="43"/>
        <v>223641.25787994711</v>
      </c>
      <c r="P466" s="46">
        <f t="shared" si="44"/>
        <v>15.030014268987262</v>
      </c>
      <c r="Q466" s="66">
        <f t="shared" si="45"/>
        <v>104157506.25</v>
      </c>
    </row>
    <row r="467" spans="1:17">
      <c r="A467" s="32">
        <v>20</v>
      </c>
      <c r="B467" s="32">
        <v>430</v>
      </c>
      <c r="C467" s="71">
        <v>34</v>
      </c>
      <c r="D467" s="37" t="s">
        <v>1353</v>
      </c>
      <c r="E467" s="37">
        <v>44445</v>
      </c>
      <c r="F467" s="40" t="s">
        <v>282</v>
      </c>
      <c r="G467" s="38" t="s">
        <v>1354</v>
      </c>
      <c r="H467" s="71">
        <v>0</v>
      </c>
      <c r="I467" s="48">
        <v>45477</v>
      </c>
      <c r="J467" s="42">
        <v>20.316265106201172</v>
      </c>
      <c r="K467" s="42">
        <v>0</v>
      </c>
      <c r="L467" s="44">
        <v>198325.515625</v>
      </c>
      <c r="M467" s="46">
        <v>0</v>
      </c>
      <c r="N467" s="46">
        <f>AVERAGE(L467)</f>
        <v>198325.515625</v>
      </c>
      <c r="O467" s="46" t="s">
        <v>1473</v>
      </c>
      <c r="P467" s="46" t="e">
        <f t="shared" si="44"/>
        <v>#VALUE!</v>
      </c>
      <c r="Q467" s="66">
        <f t="shared" si="45"/>
        <v>13882786.09375</v>
      </c>
    </row>
    <row r="468" spans="1:17">
      <c r="A468" s="32">
        <v>20</v>
      </c>
      <c r="B468" s="32">
        <v>440</v>
      </c>
      <c r="C468" s="71">
        <v>35</v>
      </c>
      <c r="D468" s="37" t="s">
        <v>1355</v>
      </c>
      <c r="E468" s="37">
        <v>44480</v>
      </c>
      <c r="F468" s="40" t="s">
        <v>282</v>
      </c>
      <c r="G468" s="38" t="s">
        <v>1356</v>
      </c>
      <c r="H468" s="71">
        <v>0</v>
      </c>
      <c r="I468" s="48">
        <v>45477</v>
      </c>
      <c r="J468" s="42">
        <v>17.330739974975586</v>
      </c>
      <c r="K468" s="42">
        <v>16.626688003540039</v>
      </c>
      <c r="L468" s="44">
        <v>1081342.5</v>
      </c>
      <c r="M468" s="44">
        <v>1613117.625</v>
      </c>
      <c r="N468" s="46">
        <f t="shared" ref="N468:N487" si="46">AVERAGE(L468:M468)</f>
        <v>1347230.0625</v>
      </c>
      <c r="O468" s="46">
        <f t="shared" ref="O468:O487" si="47">STDEVA(L468:M468)</f>
        <v>376021.79695382394</v>
      </c>
      <c r="P468" s="46">
        <f t="shared" si="44"/>
        <v>27.910733839776082</v>
      </c>
      <c r="Q468" s="66">
        <f t="shared" si="45"/>
        <v>94306104.375</v>
      </c>
    </row>
    <row r="469" spans="1:17">
      <c r="A469" s="32">
        <v>20</v>
      </c>
      <c r="B469" s="32">
        <v>450</v>
      </c>
      <c r="C469" s="81">
        <v>40</v>
      </c>
      <c r="D469" s="36" t="s">
        <v>1398</v>
      </c>
      <c r="E469" s="37">
        <v>44515</v>
      </c>
      <c r="F469" s="38" t="s">
        <v>282</v>
      </c>
      <c r="G469" s="40" t="s">
        <v>646</v>
      </c>
      <c r="H469" s="71">
        <v>0</v>
      </c>
      <c r="I469" s="48">
        <v>45461</v>
      </c>
      <c r="J469" s="42">
        <v>18.004142761230469</v>
      </c>
      <c r="K469" s="42">
        <v>19.313070297241211</v>
      </c>
      <c r="L469" s="44">
        <v>283904.6875</v>
      </c>
      <c r="M469" s="44">
        <v>131893.15625</v>
      </c>
      <c r="N469" s="46">
        <f t="shared" si="46"/>
        <v>207898.921875</v>
      </c>
      <c r="O469" s="46">
        <f t="shared" si="47"/>
        <v>107488.38456542577</v>
      </c>
      <c r="P469" s="46">
        <f t="shared" si="44"/>
        <v>51.702232794672</v>
      </c>
      <c r="Q469" s="66">
        <f t="shared" si="45"/>
        <v>14552924.53125</v>
      </c>
    </row>
    <row r="470" spans="1:17">
      <c r="A470" s="32">
        <v>20</v>
      </c>
      <c r="B470" s="32">
        <v>460</v>
      </c>
      <c r="C470" s="81">
        <v>31</v>
      </c>
      <c r="D470" s="36" t="s">
        <v>1429</v>
      </c>
      <c r="E470" s="37">
        <v>44550</v>
      </c>
      <c r="F470" s="38" t="s">
        <v>282</v>
      </c>
      <c r="G470" s="40" t="s">
        <v>674</v>
      </c>
      <c r="H470" s="71">
        <v>0</v>
      </c>
      <c r="I470" s="48">
        <v>45461</v>
      </c>
      <c r="J470" s="42">
        <v>15.949601173400879</v>
      </c>
      <c r="K470" s="42">
        <v>15.95578670501709</v>
      </c>
      <c r="L470" s="44">
        <v>1010498.5625</v>
      </c>
      <c r="M470" s="44">
        <v>1006858.0625</v>
      </c>
      <c r="N470" s="46">
        <f t="shared" si="46"/>
        <v>1008678.3125</v>
      </c>
      <c r="O470" s="46">
        <f t="shared" si="47"/>
        <v>2574.2222369096262</v>
      </c>
      <c r="P470" s="46">
        <f t="shared" si="44"/>
        <v>0.25520745365580827</v>
      </c>
      <c r="Q470" s="66">
        <f t="shared" si="45"/>
        <v>70607481.875</v>
      </c>
    </row>
    <row r="471" spans="1:17">
      <c r="A471" s="32">
        <v>20</v>
      </c>
      <c r="B471" s="32">
        <v>470</v>
      </c>
      <c r="C471" s="81">
        <v>32</v>
      </c>
      <c r="D471" s="36" t="s">
        <v>1430</v>
      </c>
      <c r="E471" s="37">
        <v>44585</v>
      </c>
      <c r="F471" s="38" t="s">
        <v>282</v>
      </c>
      <c r="G471" s="40" t="s">
        <v>675</v>
      </c>
      <c r="H471" s="71">
        <v>0</v>
      </c>
      <c r="I471" s="48">
        <v>45461</v>
      </c>
      <c r="J471" s="42">
        <v>15.4246826171875</v>
      </c>
      <c r="K471" s="42">
        <v>14.980828285217285</v>
      </c>
      <c r="L471" s="44">
        <v>1372633</v>
      </c>
      <c r="M471" s="44">
        <v>1778405.75</v>
      </c>
      <c r="N471" s="46">
        <f t="shared" si="46"/>
        <v>1575519.375</v>
      </c>
      <c r="O471" s="46">
        <f t="shared" si="47"/>
        <v>286924.66314571362</v>
      </c>
      <c r="P471" s="46">
        <f t="shared" si="44"/>
        <v>18.211433492889519</v>
      </c>
      <c r="Q471" s="66">
        <f t="shared" si="45"/>
        <v>110286356.25</v>
      </c>
    </row>
    <row r="472" spans="1:17">
      <c r="A472" s="32">
        <v>20</v>
      </c>
      <c r="B472" s="32">
        <v>480</v>
      </c>
      <c r="C472" s="81">
        <v>33</v>
      </c>
      <c r="D472" s="36" t="s">
        <v>1431</v>
      </c>
      <c r="E472" s="37">
        <v>44620</v>
      </c>
      <c r="F472" s="38" t="s">
        <v>282</v>
      </c>
      <c r="G472" s="40" t="s">
        <v>676</v>
      </c>
      <c r="H472" s="71">
        <v>0</v>
      </c>
      <c r="I472" s="48">
        <v>45461</v>
      </c>
      <c r="J472" s="42">
        <v>15.661433219909668</v>
      </c>
      <c r="K472" s="42">
        <v>15.925335884094238</v>
      </c>
      <c r="L472" s="44">
        <v>1195528.375</v>
      </c>
      <c r="M472" s="44">
        <v>1024907.6875</v>
      </c>
      <c r="N472" s="46">
        <f t="shared" si="46"/>
        <v>1110218.03125</v>
      </c>
      <c r="O472" s="46">
        <f t="shared" si="47"/>
        <v>120647.0451419608</v>
      </c>
      <c r="P472" s="46">
        <f t="shared" si="44"/>
        <v>10.866968626524979</v>
      </c>
      <c r="Q472" s="66">
        <f t="shared" si="45"/>
        <v>77715262.1875</v>
      </c>
    </row>
    <row r="473" spans="1:17">
      <c r="A473" s="32">
        <v>20</v>
      </c>
      <c r="B473" s="32">
        <v>490</v>
      </c>
      <c r="C473" s="81">
        <v>34</v>
      </c>
      <c r="D473" s="36" t="s">
        <v>1432</v>
      </c>
      <c r="E473" s="37">
        <v>44655</v>
      </c>
      <c r="F473" s="38" t="s">
        <v>282</v>
      </c>
      <c r="G473" s="40" t="s">
        <v>667</v>
      </c>
      <c r="H473" s="71">
        <v>0</v>
      </c>
      <c r="I473" s="48">
        <v>45461</v>
      </c>
      <c r="J473" s="42">
        <v>15.073140144348145</v>
      </c>
      <c r="K473" s="42">
        <v>15.156747817993164</v>
      </c>
      <c r="L473" s="44">
        <v>1685148.75</v>
      </c>
      <c r="M473" s="44">
        <v>1604912.5</v>
      </c>
      <c r="N473" s="46">
        <f t="shared" si="46"/>
        <v>1645030.625</v>
      </c>
      <c r="O473" s="46">
        <f t="shared" si="47"/>
        <v>56735.596471979123</v>
      </c>
      <c r="P473" s="46">
        <f t="shared" si="44"/>
        <v>3.4489082215098046</v>
      </c>
      <c r="Q473" s="66">
        <f t="shared" si="45"/>
        <v>115152143.75</v>
      </c>
    </row>
    <row r="474" spans="1:17">
      <c r="A474" s="32">
        <v>20</v>
      </c>
      <c r="B474" s="32">
        <v>500</v>
      </c>
      <c r="C474" s="81">
        <v>35</v>
      </c>
      <c r="D474" s="36" t="s">
        <v>1433</v>
      </c>
      <c r="E474" s="37">
        <v>44697</v>
      </c>
      <c r="F474" s="38" t="s">
        <v>282</v>
      </c>
      <c r="G474" s="40" t="s">
        <v>668</v>
      </c>
      <c r="H474" s="71">
        <v>0</v>
      </c>
      <c r="I474" s="48">
        <v>45461</v>
      </c>
      <c r="J474" s="42">
        <v>14.429502487182617</v>
      </c>
      <c r="K474" s="42">
        <v>15.003958702087402</v>
      </c>
      <c r="L474" s="44">
        <v>2453247.75</v>
      </c>
      <c r="M474" s="44">
        <v>1754564.75</v>
      </c>
      <c r="N474" s="46">
        <f t="shared" si="46"/>
        <v>2103906.25</v>
      </c>
      <c r="O474" s="46">
        <f t="shared" si="47"/>
        <v>494043.48719976057</v>
      </c>
      <c r="P474" s="46">
        <f t="shared" si="44"/>
        <v>23.482200654128984</v>
      </c>
      <c r="Q474" s="66">
        <f t="shared" si="45"/>
        <v>147273437.5</v>
      </c>
    </row>
    <row r="475" spans="1:17">
      <c r="A475" s="32">
        <v>20</v>
      </c>
      <c r="B475" s="32">
        <v>510</v>
      </c>
      <c r="C475" s="81">
        <v>36</v>
      </c>
      <c r="D475" s="36" t="s">
        <v>1434</v>
      </c>
      <c r="E475" s="37">
        <v>44732</v>
      </c>
      <c r="F475" s="38" t="s">
        <v>282</v>
      </c>
      <c r="G475" s="40" t="s">
        <v>669</v>
      </c>
      <c r="H475" s="71">
        <v>0</v>
      </c>
      <c r="I475" s="48">
        <v>45461</v>
      </c>
      <c r="J475" s="42">
        <v>13.774394035339355</v>
      </c>
      <c r="K475" s="42">
        <v>13.535223960876465</v>
      </c>
      <c r="L475" s="44">
        <v>3595434.25</v>
      </c>
      <c r="M475" s="44">
        <v>4133891.25</v>
      </c>
      <c r="N475" s="46">
        <f t="shared" si="46"/>
        <v>3864662.75</v>
      </c>
      <c r="O475" s="46">
        <f t="shared" si="47"/>
        <v>380746.59607736481</v>
      </c>
      <c r="P475" s="46">
        <f t="shared" si="44"/>
        <v>9.8520005678985783</v>
      </c>
      <c r="Q475" s="66">
        <f t="shared" si="45"/>
        <v>270526392.5</v>
      </c>
    </row>
    <row r="476" spans="1:17">
      <c r="A476" s="32">
        <v>20</v>
      </c>
      <c r="B476" s="32">
        <v>520</v>
      </c>
      <c r="C476" s="81">
        <v>37</v>
      </c>
      <c r="D476" s="36" t="s">
        <v>1435</v>
      </c>
      <c r="E476" s="37">
        <v>44771</v>
      </c>
      <c r="F476" s="38" t="s">
        <v>282</v>
      </c>
      <c r="G476" s="40" t="s">
        <v>677</v>
      </c>
      <c r="H476" s="71">
        <v>10</v>
      </c>
      <c r="I476" s="48">
        <v>45461</v>
      </c>
      <c r="J476" s="42">
        <v>20.375577926635742</v>
      </c>
      <c r="K476" s="42">
        <v>20.777254104614258</v>
      </c>
      <c r="L476" s="44">
        <v>76375.890625</v>
      </c>
      <c r="M476" s="44">
        <v>60418.2578125</v>
      </c>
      <c r="N476" s="46">
        <f t="shared" si="46"/>
        <v>68397.07421875</v>
      </c>
      <c r="O476" s="46">
        <f t="shared" si="47"/>
        <v>11283.750373403709</v>
      </c>
      <c r="P476" s="46">
        <f t="shared" si="44"/>
        <v>16.497416742294575</v>
      </c>
      <c r="Q476" s="66">
        <f t="shared" si="45"/>
        <v>4787795.1953125</v>
      </c>
    </row>
    <row r="477" spans="1:17">
      <c r="A477" s="32">
        <v>20</v>
      </c>
      <c r="B477" s="32">
        <v>530</v>
      </c>
      <c r="C477" s="81">
        <v>38</v>
      </c>
      <c r="D477" s="36" t="s">
        <v>1436</v>
      </c>
      <c r="E477" s="37">
        <v>44802</v>
      </c>
      <c r="F477" s="38" t="s">
        <v>282</v>
      </c>
      <c r="G477" s="40" t="s">
        <v>678</v>
      </c>
      <c r="H477" s="71">
        <v>0</v>
      </c>
      <c r="I477" s="48">
        <v>45461</v>
      </c>
      <c r="J477" s="42">
        <v>16.26176643371582</v>
      </c>
      <c r="K477" s="42">
        <v>16.033349990844727</v>
      </c>
      <c r="L477" s="44">
        <v>842229.4375</v>
      </c>
      <c r="M477" s="44">
        <v>962305.6875</v>
      </c>
      <c r="N477" s="46">
        <f t="shared" si="46"/>
        <v>902267.5625</v>
      </c>
      <c r="O477" s="46">
        <f t="shared" si="47"/>
        <v>84906.730634451174</v>
      </c>
      <c r="P477" s="46">
        <f t="shared" si="44"/>
        <v>9.410371619610471</v>
      </c>
      <c r="Q477" s="66">
        <f t="shared" si="45"/>
        <v>63158729.375</v>
      </c>
    </row>
    <row r="478" spans="1:17">
      <c r="A478" s="32">
        <v>20</v>
      </c>
      <c r="B478" s="32">
        <v>540</v>
      </c>
      <c r="C478" s="81">
        <v>39</v>
      </c>
      <c r="D478" s="36" t="s">
        <v>1437</v>
      </c>
      <c r="E478" s="37">
        <v>44837</v>
      </c>
      <c r="F478" s="38" t="s">
        <v>282</v>
      </c>
      <c r="G478" s="40" t="s">
        <v>679</v>
      </c>
      <c r="H478" s="71">
        <v>0</v>
      </c>
      <c r="I478" s="48">
        <v>45461</v>
      </c>
      <c r="J478" s="42">
        <v>18.306865692138672</v>
      </c>
      <c r="K478" s="42">
        <v>18.373462677001953</v>
      </c>
      <c r="L478" s="44">
        <v>255379.015625</v>
      </c>
      <c r="M478" s="44">
        <v>245645.59375</v>
      </c>
      <c r="N478" s="46">
        <f t="shared" si="46"/>
        <v>250512.3046875</v>
      </c>
      <c r="O478" s="46">
        <f t="shared" si="47"/>
        <v>6882.5686119619804</v>
      </c>
      <c r="P478" s="46">
        <f t="shared" si="44"/>
        <v>2.7473974264647789</v>
      </c>
      <c r="Q478" s="66">
        <f t="shared" si="45"/>
        <v>17535861.328125</v>
      </c>
    </row>
    <row r="479" spans="1:17">
      <c r="A479" s="32">
        <v>20</v>
      </c>
      <c r="B479" s="32">
        <v>550</v>
      </c>
      <c r="C479" s="81">
        <v>40</v>
      </c>
      <c r="D479" s="36" t="s">
        <v>1438</v>
      </c>
      <c r="E479" s="37" t="s">
        <v>528</v>
      </c>
      <c r="F479" s="38" t="s">
        <v>282</v>
      </c>
      <c r="G479" s="40" t="s">
        <v>680</v>
      </c>
      <c r="H479" s="71">
        <v>0</v>
      </c>
      <c r="I479" s="48">
        <v>45461</v>
      </c>
      <c r="J479" s="42">
        <v>18.960411071777344</v>
      </c>
      <c r="K479" s="42">
        <v>18.76902961730957</v>
      </c>
      <c r="L479" s="44">
        <v>174410</v>
      </c>
      <c r="M479" s="44">
        <v>195015.453125</v>
      </c>
      <c r="N479" s="46">
        <f t="shared" si="46"/>
        <v>184712.7265625</v>
      </c>
      <c r="O479" s="46">
        <f t="shared" si="47"/>
        <v>14570.255634109037</v>
      </c>
      <c r="P479" s="46">
        <f t="shared" si="44"/>
        <v>7.8880626718370683</v>
      </c>
      <c r="Q479" s="66">
        <f t="shared" si="45"/>
        <v>12929890.859375</v>
      </c>
    </row>
    <row r="480" spans="1:17">
      <c r="A480" s="32">
        <v>20</v>
      </c>
      <c r="B480" s="32">
        <v>560</v>
      </c>
      <c r="C480" s="81">
        <v>25</v>
      </c>
      <c r="D480" s="36" t="s">
        <v>1463</v>
      </c>
      <c r="E480" s="37">
        <v>44550</v>
      </c>
      <c r="F480" s="38" t="s">
        <v>282</v>
      </c>
      <c r="G480" s="40" t="s">
        <v>594</v>
      </c>
      <c r="H480" s="71">
        <v>10</v>
      </c>
      <c r="I480" s="48">
        <v>45461</v>
      </c>
      <c r="J480" s="42">
        <v>19.870803833007812</v>
      </c>
      <c r="K480" s="42">
        <v>20.650186538696289</v>
      </c>
      <c r="L480" s="44">
        <v>133701.578125</v>
      </c>
      <c r="M480" s="44">
        <v>85050.125</v>
      </c>
      <c r="N480" s="46">
        <f t="shared" si="46"/>
        <v>109375.8515625</v>
      </c>
      <c r="O480" s="46">
        <f t="shared" si="47"/>
        <v>34401.772419266948</v>
      </c>
      <c r="P480" s="46">
        <f t="shared" si="44"/>
        <v>31.452804186497186</v>
      </c>
      <c r="Q480" s="66">
        <f t="shared" si="45"/>
        <v>7656309.609375</v>
      </c>
    </row>
    <row r="481" spans="1:17">
      <c r="A481" s="32">
        <v>20</v>
      </c>
      <c r="B481" s="32">
        <v>570</v>
      </c>
      <c r="C481" s="81">
        <v>26</v>
      </c>
      <c r="D481" s="36" t="s">
        <v>1464</v>
      </c>
      <c r="E481" s="37">
        <v>44585</v>
      </c>
      <c r="F481" s="38" t="s">
        <v>282</v>
      </c>
      <c r="G481" s="40" t="s">
        <v>701</v>
      </c>
      <c r="H481" s="71">
        <v>10</v>
      </c>
      <c r="I481" s="48">
        <v>45461</v>
      </c>
      <c r="J481" s="42">
        <v>19.840950012207031</v>
      </c>
      <c r="K481" s="42">
        <v>20.38615608215332</v>
      </c>
      <c r="L481" s="44">
        <v>136038.515625</v>
      </c>
      <c r="M481" s="44">
        <v>99135.671875</v>
      </c>
      <c r="N481" s="46">
        <f t="shared" si="46"/>
        <v>117587.09375</v>
      </c>
      <c r="O481" s="46">
        <f t="shared" si="47"/>
        <v>26094.251060692604</v>
      </c>
      <c r="P481" s="46">
        <f t="shared" si="44"/>
        <v>22.191424439973968</v>
      </c>
      <c r="Q481" s="66">
        <f t="shared" si="45"/>
        <v>8231096.5625</v>
      </c>
    </row>
    <row r="482" spans="1:17">
      <c r="A482" s="32">
        <v>20</v>
      </c>
      <c r="B482" s="32">
        <v>580</v>
      </c>
      <c r="C482" s="81">
        <v>27</v>
      </c>
      <c r="D482" s="36" t="s">
        <v>1465</v>
      </c>
      <c r="E482" s="37">
        <v>45012</v>
      </c>
      <c r="F482" s="38" t="s">
        <v>282</v>
      </c>
      <c r="G482" s="40" t="s">
        <v>702</v>
      </c>
      <c r="H482" s="71">
        <v>0</v>
      </c>
      <c r="I482" s="48">
        <v>45461</v>
      </c>
      <c r="J482" s="42">
        <v>12.638406753540039</v>
      </c>
      <c r="K482" s="42">
        <v>12.968679428100586</v>
      </c>
      <c r="L482" s="44">
        <v>8896737</v>
      </c>
      <c r="M482" s="44">
        <v>7344763.5</v>
      </c>
      <c r="N482" s="46">
        <f t="shared" si="46"/>
        <v>8120750.25</v>
      </c>
      <c r="O482" s="46">
        <f t="shared" si="47"/>
        <v>1097410.9860718204</v>
      </c>
      <c r="P482" s="46">
        <f t="shared" si="44"/>
        <v>13.513665022167384</v>
      </c>
      <c r="Q482" s="66">
        <f t="shared" si="45"/>
        <v>568452517.5</v>
      </c>
    </row>
    <row r="483" spans="1:17">
      <c r="A483" s="32">
        <v>20</v>
      </c>
      <c r="B483" s="32">
        <v>590</v>
      </c>
      <c r="C483" s="81">
        <v>28</v>
      </c>
      <c r="D483" s="36" t="s">
        <v>1466</v>
      </c>
      <c r="E483" s="37">
        <v>45047</v>
      </c>
      <c r="F483" s="38" t="s">
        <v>282</v>
      </c>
      <c r="G483" s="40" t="s">
        <v>703</v>
      </c>
      <c r="H483" s="71">
        <v>0</v>
      </c>
      <c r="I483" s="48">
        <v>45461</v>
      </c>
      <c r="J483" s="42">
        <v>14.377800941467285</v>
      </c>
      <c r="K483" s="42">
        <v>14.993513107299805</v>
      </c>
      <c r="L483" s="44">
        <v>3241723</v>
      </c>
      <c r="M483" s="44">
        <v>2267625.25</v>
      </c>
      <c r="N483" s="46">
        <f t="shared" si="46"/>
        <v>2754674.125</v>
      </c>
      <c r="O483" s="46">
        <f t="shared" si="47"/>
        <v>688791.12456355826</v>
      </c>
      <c r="P483" s="46">
        <f t="shared" si="44"/>
        <v>25.004450374454301</v>
      </c>
      <c r="Q483" s="66">
        <f t="shared" si="45"/>
        <v>192827188.75</v>
      </c>
    </row>
    <row r="484" spans="1:17">
      <c r="A484" s="32">
        <v>20</v>
      </c>
      <c r="B484" s="32">
        <v>600</v>
      </c>
      <c r="C484" s="81">
        <v>29</v>
      </c>
      <c r="D484" s="36" t="s">
        <v>1467</v>
      </c>
      <c r="E484" s="37">
        <v>45089</v>
      </c>
      <c r="F484" s="38" t="s">
        <v>282</v>
      </c>
      <c r="G484" s="40" t="s">
        <v>704</v>
      </c>
      <c r="H484" s="71">
        <v>0</v>
      </c>
      <c r="I484" s="48">
        <v>45461</v>
      </c>
      <c r="J484" s="42">
        <v>14.87769889831543</v>
      </c>
      <c r="K484" s="42">
        <v>15.598209381103516</v>
      </c>
      <c r="L484" s="44">
        <v>2425297.25</v>
      </c>
      <c r="M484" s="44">
        <v>1596406.625</v>
      </c>
      <c r="N484" s="46">
        <f t="shared" si="46"/>
        <v>2010851.9375</v>
      </c>
      <c r="O484" s="46">
        <f t="shared" si="47"/>
        <v>586114.18179945566</v>
      </c>
      <c r="P484" s="46">
        <f t="shared" si="44"/>
        <v>29.147555365421113</v>
      </c>
      <c r="Q484" s="66">
        <f t="shared" si="45"/>
        <v>140759635.625</v>
      </c>
    </row>
    <row r="485" spans="1:17">
      <c r="A485" s="32">
        <v>20</v>
      </c>
      <c r="B485" s="32">
        <v>610</v>
      </c>
      <c r="C485" s="81">
        <v>30</v>
      </c>
      <c r="D485" s="36" t="s">
        <v>1468</v>
      </c>
      <c r="E485" s="37">
        <v>45124</v>
      </c>
      <c r="F485" s="38" t="s">
        <v>282</v>
      </c>
      <c r="G485" s="40" t="s">
        <v>705</v>
      </c>
      <c r="H485" s="71">
        <v>0</v>
      </c>
      <c r="I485" s="48">
        <v>45461</v>
      </c>
      <c r="J485" s="42">
        <v>17.156801223754883</v>
      </c>
      <c r="K485" s="42">
        <v>17.438993453979492</v>
      </c>
      <c r="L485" s="44">
        <v>646047</v>
      </c>
      <c r="M485" s="44">
        <v>548442.375</v>
      </c>
      <c r="N485" s="46">
        <f>AVERAGE(L485:M485)</f>
        <v>597244.6875</v>
      </c>
      <c r="O485" s="46">
        <f t="shared" si="47"/>
        <v>69016.89221267002</v>
      </c>
      <c r="P485" s="46">
        <f>O485*100/N485</f>
        <v>11.555882146322149</v>
      </c>
      <c r="Q485" s="66">
        <f t="shared" si="45"/>
        <v>41807128.125</v>
      </c>
    </row>
    <row r="486" spans="1:17">
      <c r="A486" s="32">
        <v>20</v>
      </c>
      <c r="B486" s="32">
        <v>620</v>
      </c>
      <c r="C486" s="81">
        <v>31</v>
      </c>
      <c r="D486" s="36" t="s">
        <v>1469</v>
      </c>
      <c r="E486" s="37">
        <v>45159</v>
      </c>
      <c r="F486" s="38" t="s">
        <v>282</v>
      </c>
      <c r="G486" s="40" t="s">
        <v>706</v>
      </c>
      <c r="H486" s="71">
        <v>0</v>
      </c>
      <c r="I486" s="48">
        <v>45461</v>
      </c>
      <c r="J486" s="42">
        <v>14.719022750854492</v>
      </c>
      <c r="K486" s="42">
        <v>14.959871292114258</v>
      </c>
      <c r="L486" s="44">
        <v>2659273.5</v>
      </c>
      <c r="M486" s="44">
        <v>2312339</v>
      </c>
      <c r="N486" s="46">
        <f t="shared" si="46"/>
        <v>2485806.25</v>
      </c>
      <c r="O486" s="46">
        <f t="shared" si="47"/>
        <v>245319.73757756426</v>
      </c>
      <c r="P486" s="46">
        <f t="shared" si="44"/>
        <v>9.8688197271031992</v>
      </c>
      <c r="Q486" s="66">
        <f>N486*70</f>
        <v>174006437.5</v>
      </c>
    </row>
    <row r="487" spans="1:17">
      <c r="A487" s="32">
        <v>20</v>
      </c>
      <c r="B487" s="32">
        <v>630</v>
      </c>
      <c r="C487" s="81">
        <v>32</v>
      </c>
      <c r="D487" s="36" t="s">
        <v>1470</v>
      </c>
      <c r="E487" s="37">
        <v>45194</v>
      </c>
      <c r="F487" s="38" t="s">
        <v>282</v>
      </c>
      <c r="G487" s="40" t="s">
        <v>707</v>
      </c>
      <c r="H487" s="71">
        <v>0</v>
      </c>
      <c r="I487" s="48">
        <v>45461</v>
      </c>
      <c r="J487" s="42">
        <v>15.571932792663574</v>
      </c>
      <c r="K487" s="42">
        <v>15.730175971984863</v>
      </c>
      <c r="L487" s="44">
        <v>1620940.75</v>
      </c>
      <c r="M487" s="44">
        <v>1478693.875</v>
      </c>
      <c r="N487" s="46">
        <f t="shared" si="46"/>
        <v>1549817.3125</v>
      </c>
      <c r="O487" s="46">
        <f t="shared" si="47"/>
        <v>100583.72991509517</v>
      </c>
      <c r="P487" s="46">
        <f t="shared" si="44"/>
        <v>6.4900378324490537</v>
      </c>
      <c r="Q487" s="66">
        <f t="shared" si="45"/>
        <v>108487211.875</v>
      </c>
    </row>
    <row r="488" spans="1:17">
      <c r="A488" s="32">
        <v>13</v>
      </c>
      <c r="B488" s="32">
        <v>580</v>
      </c>
      <c r="C488" s="81">
        <v>1</v>
      </c>
      <c r="D488" s="36" t="s">
        <v>1477</v>
      </c>
      <c r="E488" s="37">
        <v>45012</v>
      </c>
      <c r="F488" s="38" t="s">
        <v>1495</v>
      </c>
      <c r="G488" s="39" t="s">
        <v>1497</v>
      </c>
      <c r="H488" s="36" t="s">
        <v>1520</v>
      </c>
      <c r="I488" s="48">
        <v>45623</v>
      </c>
      <c r="J488" s="42">
        <v>11.884621620178223</v>
      </c>
      <c r="K488" s="42">
        <v>12.008693695068359</v>
      </c>
      <c r="L488" s="44">
        <v>236293536</v>
      </c>
      <c r="M488" s="44">
        <v>217699920</v>
      </c>
      <c r="N488" s="46">
        <f t="shared" ref="N488:N511" si="48">AVERAGE(L488:M488)</f>
        <v>226996728</v>
      </c>
      <c r="O488" s="46">
        <f t="shared" ref="O488:O511" si="49">STDEVA(L488:M488)</f>
        <v>13147671.96037869</v>
      </c>
      <c r="P488" s="46">
        <f t="shared" ref="P488:P511" si="50">O488*100/N488</f>
        <v>5.7920094603208065</v>
      </c>
      <c r="Q488" s="66">
        <f t="shared" ref="Q488:Q511" si="51">N488*70</f>
        <v>15889770960</v>
      </c>
    </row>
    <row r="489" spans="1:17">
      <c r="A489" s="32">
        <v>13</v>
      </c>
      <c r="B489" s="32">
        <v>590</v>
      </c>
      <c r="C489" s="81">
        <v>2</v>
      </c>
      <c r="D489" s="36" t="s">
        <v>1478</v>
      </c>
      <c r="E489" s="37">
        <v>45047</v>
      </c>
      <c r="F489" s="38" t="s">
        <v>1495</v>
      </c>
      <c r="G489" s="39" t="s">
        <v>1496</v>
      </c>
      <c r="H489" s="36" t="s">
        <v>1520</v>
      </c>
      <c r="I489" s="48">
        <v>45623</v>
      </c>
      <c r="J489" s="42">
        <v>11.96995735168457</v>
      </c>
      <c r="K489" s="42">
        <v>12.17036247253418</v>
      </c>
      <c r="L489" s="44">
        <v>223342240</v>
      </c>
      <c r="M489" s="44">
        <v>195649616</v>
      </c>
      <c r="N489" s="46">
        <f t="shared" si="48"/>
        <v>209495928</v>
      </c>
      <c r="O489" s="46">
        <f t="shared" si="49"/>
        <v>19581642.219249334</v>
      </c>
      <c r="P489" s="46">
        <f t="shared" si="50"/>
        <v>9.3470276039204609</v>
      </c>
      <c r="Q489" s="66">
        <f t="shared" si="51"/>
        <v>14664714960</v>
      </c>
    </row>
    <row r="490" spans="1:17">
      <c r="A490" s="32">
        <v>13</v>
      </c>
      <c r="B490" s="32">
        <v>600</v>
      </c>
      <c r="C490" s="81">
        <v>3</v>
      </c>
      <c r="D490" s="36" t="s">
        <v>1479</v>
      </c>
      <c r="E490" s="37">
        <v>45089</v>
      </c>
      <c r="F490" s="38" t="s">
        <v>1495</v>
      </c>
      <c r="G490" s="39" t="s">
        <v>1498</v>
      </c>
      <c r="H490" s="36" t="s">
        <v>1520</v>
      </c>
      <c r="I490" s="48">
        <v>45623</v>
      </c>
      <c r="J490" s="42">
        <v>11.57668399810791</v>
      </c>
      <c r="K490" s="42">
        <v>11.779181480407715</v>
      </c>
      <c r="L490" s="44">
        <v>289595904</v>
      </c>
      <c r="M490" s="44">
        <v>253337984</v>
      </c>
      <c r="N490" s="46">
        <f t="shared" si="48"/>
        <v>271466944</v>
      </c>
      <c r="O490" s="46">
        <f t="shared" si="49"/>
        <v>25638221.103719346</v>
      </c>
      <c r="P490" s="46">
        <f t="shared" si="50"/>
        <v>9.4443252375211273</v>
      </c>
      <c r="Q490" s="66">
        <f t="shared" si="51"/>
        <v>19002686080</v>
      </c>
    </row>
    <row r="491" spans="1:17">
      <c r="A491" s="32">
        <v>13</v>
      </c>
      <c r="B491" s="32">
        <v>610</v>
      </c>
      <c r="C491" s="81">
        <v>4</v>
      </c>
      <c r="D491" s="36" t="s">
        <v>1480</v>
      </c>
      <c r="E491" s="37">
        <v>45124</v>
      </c>
      <c r="F491" s="38" t="s">
        <v>1495</v>
      </c>
      <c r="G491" s="39" t="s">
        <v>1499</v>
      </c>
      <c r="H491" s="36" t="s">
        <v>1520</v>
      </c>
      <c r="I491" s="48">
        <v>45623</v>
      </c>
      <c r="J491" s="42">
        <v>12.121652603149414</v>
      </c>
      <c r="K491" s="42">
        <v>12.158032417297363</v>
      </c>
      <c r="L491" s="44">
        <v>202047184</v>
      </c>
      <c r="M491" s="44">
        <v>197249648</v>
      </c>
      <c r="N491" s="46">
        <f t="shared" si="48"/>
        <v>199648416</v>
      </c>
      <c r="O491" s="46">
        <f t="shared" si="49"/>
        <v>3392370.2385865846</v>
      </c>
      <c r="P491" s="46">
        <f t="shared" si="50"/>
        <v>1.6991721279604763</v>
      </c>
      <c r="Q491" s="66">
        <f t="shared" si="51"/>
        <v>13975389120</v>
      </c>
    </row>
    <row r="492" spans="1:17">
      <c r="A492" s="32">
        <v>13</v>
      </c>
      <c r="B492" s="32">
        <v>620</v>
      </c>
      <c r="C492" s="81">
        <v>5</v>
      </c>
      <c r="D492" s="36" t="s">
        <v>1481</v>
      </c>
      <c r="E492" s="37">
        <v>45159</v>
      </c>
      <c r="F492" s="38" t="s">
        <v>1495</v>
      </c>
      <c r="G492" s="39" t="s">
        <v>1500</v>
      </c>
      <c r="H492" s="36" t="s">
        <v>1520</v>
      </c>
      <c r="I492" s="48">
        <v>45623</v>
      </c>
      <c r="J492" s="42">
        <v>13.442299842834473</v>
      </c>
      <c r="K492" s="42">
        <v>14.04768180847168</v>
      </c>
      <c r="L492" s="44">
        <v>84447720</v>
      </c>
      <c r="M492" s="44">
        <v>56613112</v>
      </c>
      <c r="N492" s="46">
        <f t="shared" si="48"/>
        <v>70530416</v>
      </c>
      <c r="O492" s="46">
        <f t="shared" si="49"/>
        <v>19682040.068469327</v>
      </c>
      <c r="P492" s="46">
        <f t="shared" si="50"/>
        <v>27.905747881125961</v>
      </c>
      <c r="Q492" s="66">
        <f t="shared" si="51"/>
        <v>4937129120</v>
      </c>
    </row>
    <row r="493" spans="1:17">
      <c r="A493" s="32">
        <v>13</v>
      </c>
      <c r="B493" s="32">
        <v>630</v>
      </c>
      <c r="C493" s="81">
        <v>6</v>
      </c>
      <c r="D493" s="36" t="s">
        <v>1482</v>
      </c>
      <c r="E493" s="37">
        <v>45194</v>
      </c>
      <c r="F493" s="38" t="s">
        <v>1495</v>
      </c>
      <c r="G493" s="39" t="s">
        <v>1501</v>
      </c>
      <c r="H493" s="36" t="s">
        <v>1520</v>
      </c>
      <c r="I493" s="48">
        <v>45623</v>
      </c>
      <c r="J493" s="42">
        <v>12.946053504943848</v>
      </c>
      <c r="K493" s="42">
        <v>13.27663516998291</v>
      </c>
      <c r="L493" s="44">
        <v>117206088</v>
      </c>
      <c r="M493" s="44">
        <v>94213576</v>
      </c>
      <c r="N493" s="46">
        <f t="shared" si="48"/>
        <v>105709832</v>
      </c>
      <c r="O493" s="46">
        <f t="shared" si="49"/>
        <v>16258161.151713068</v>
      </c>
      <c r="P493" s="46">
        <f t="shared" si="50"/>
        <v>15.379989584803303</v>
      </c>
      <c r="Q493" s="66">
        <f t="shared" si="51"/>
        <v>7399688240</v>
      </c>
    </row>
    <row r="494" spans="1:17">
      <c r="A494" s="32">
        <v>14</v>
      </c>
      <c r="B494" s="32">
        <v>580</v>
      </c>
      <c r="C494" s="81">
        <v>7</v>
      </c>
      <c r="D494" s="36" t="s">
        <v>1483</v>
      </c>
      <c r="E494" s="37">
        <v>45012</v>
      </c>
      <c r="F494" s="38" t="s">
        <v>1495</v>
      </c>
      <c r="G494" s="39" t="s">
        <v>1502</v>
      </c>
      <c r="H494" s="36" t="s">
        <v>1520</v>
      </c>
      <c r="I494" s="48">
        <v>45623</v>
      </c>
      <c r="J494" s="42">
        <v>12.117894172668457</v>
      </c>
      <c r="K494" s="42">
        <v>12.280159950256348</v>
      </c>
      <c r="L494" s="44">
        <v>202549424</v>
      </c>
      <c r="M494" s="44">
        <v>181961920</v>
      </c>
      <c r="N494" s="46">
        <f t="shared" si="48"/>
        <v>192255672</v>
      </c>
      <c r="O494" s="46">
        <f t="shared" si="49"/>
        <v>14557563.686105171</v>
      </c>
      <c r="P494" s="46">
        <f t="shared" si="50"/>
        <v>7.5719813801411124</v>
      </c>
      <c r="Q494" s="66">
        <f t="shared" si="51"/>
        <v>13457897040</v>
      </c>
    </row>
    <row r="495" spans="1:17">
      <c r="A495" s="32">
        <v>14</v>
      </c>
      <c r="B495" s="32">
        <v>590</v>
      </c>
      <c r="C495" s="81">
        <v>8</v>
      </c>
      <c r="D495" s="36" t="s">
        <v>1484</v>
      </c>
      <c r="E495" s="37">
        <v>45047</v>
      </c>
      <c r="F495" s="38" t="s">
        <v>1495</v>
      </c>
      <c r="G495" s="39" t="s">
        <v>1503</v>
      </c>
      <c r="H495" s="36" t="s">
        <v>1520</v>
      </c>
      <c r="I495" s="48">
        <v>45623</v>
      </c>
      <c r="J495" s="42">
        <v>11.992672920227051</v>
      </c>
      <c r="K495" s="42">
        <v>12.303690910339355</v>
      </c>
      <c r="L495" s="44">
        <v>220016000</v>
      </c>
      <c r="M495" s="44">
        <v>179155440</v>
      </c>
      <c r="N495" s="46">
        <f t="shared" si="48"/>
        <v>199585720</v>
      </c>
      <c r="O495" s="46">
        <f t="shared" si="49"/>
        <v>28892779.059079796</v>
      </c>
      <c r="P495" s="46">
        <f t="shared" si="50"/>
        <v>14.476375894567905</v>
      </c>
      <c r="Q495" s="66">
        <f t="shared" si="51"/>
        <v>13971000400</v>
      </c>
    </row>
    <row r="496" spans="1:17">
      <c r="A496" s="32">
        <v>14</v>
      </c>
      <c r="B496" s="32">
        <v>600</v>
      </c>
      <c r="C496" s="81">
        <v>9</v>
      </c>
      <c r="D496" s="36" t="s">
        <v>1485</v>
      </c>
      <c r="E496" s="37">
        <v>45089</v>
      </c>
      <c r="F496" s="38" t="s">
        <v>1495</v>
      </c>
      <c r="G496" s="39" t="s">
        <v>1504</v>
      </c>
      <c r="H496" s="36" t="s">
        <v>1520</v>
      </c>
      <c r="I496" s="48">
        <v>45623</v>
      </c>
      <c r="J496" s="42">
        <v>9.9958553314208984</v>
      </c>
      <c r="K496" s="67">
        <v>11.018338203430176</v>
      </c>
      <c r="L496" s="44">
        <v>822806464</v>
      </c>
      <c r="M496" s="85">
        <v>418764288</v>
      </c>
      <c r="N496" s="46">
        <f t="shared" si="48"/>
        <v>620785376</v>
      </c>
      <c r="O496" s="46">
        <f t="shared" si="49"/>
        <v>285700962.5349685</v>
      </c>
      <c r="P496" s="46">
        <f t="shared" si="50"/>
        <v>46.022502072434207</v>
      </c>
      <c r="Q496" s="66">
        <f t="shared" si="51"/>
        <v>43454976320</v>
      </c>
    </row>
    <row r="497" spans="1:17">
      <c r="A497" s="32">
        <v>14</v>
      </c>
      <c r="B497" s="32">
        <v>610</v>
      </c>
      <c r="C497" s="81">
        <v>10</v>
      </c>
      <c r="D497" s="36" t="s">
        <v>1486</v>
      </c>
      <c r="E497" s="37">
        <v>45124</v>
      </c>
      <c r="F497" s="38" t="s">
        <v>1495</v>
      </c>
      <c r="G497" s="39" t="s">
        <v>1505</v>
      </c>
      <c r="H497" s="36" t="s">
        <v>1520</v>
      </c>
      <c r="I497" s="48">
        <v>45623</v>
      </c>
      <c r="J497" s="42">
        <v>11.682033538818359</v>
      </c>
      <c r="K497" s="67">
        <v>11.736545562744141</v>
      </c>
      <c r="L497" s="44">
        <v>270128192</v>
      </c>
      <c r="M497" s="85">
        <v>260574320</v>
      </c>
      <c r="N497" s="46">
        <f t="shared" si="48"/>
        <v>265351256</v>
      </c>
      <c r="O497" s="46">
        <f t="shared" si="49"/>
        <v>6755607.6777882827</v>
      </c>
      <c r="P497" s="46">
        <f t="shared" si="50"/>
        <v>2.545911325095926</v>
      </c>
      <c r="Q497" s="66">
        <f t="shared" si="51"/>
        <v>18574587920</v>
      </c>
    </row>
    <row r="498" spans="1:17">
      <c r="A498" s="32">
        <v>14</v>
      </c>
      <c r="B498" s="32">
        <v>620</v>
      </c>
      <c r="C498" s="81">
        <v>11</v>
      </c>
      <c r="D498" s="36" t="s">
        <v>1487</v>
      </c>
      <c r="E498" s="37">
        <v>45159</v>
      </c>
      <c r="F498" s="38" t="s">
        <v>1495</v>
      </c>
      <c r="G498" s="39" t="s">
        <v>1506</v>
      </c>
      <c r="H498" s="36" t="s">
        <v>1520</v>
      </c>
      <c r="I498" s="48">
        <v>45623</v>
      </c>
      <c r="J498" s="42">
        <v>25.046066284179688</v>
      </c>
      <c r="K498" s="67">
        <v>25.186212539672852</v>
      </c>
      <c r="L498" s="44">
        <v>39602.296875</v>
      </c>
      <c r="M498" s="85">
        <v>36100.6875</v>
      </c>
      <c r="N498" s="46">
        <f t="shared" si="48"/>
        <v>37851.4921875</v>
      </c>
      <c r="O498" s="46">
        <f t="shared" si="49"/>
        <v>2476.0117341288883</v>
      </c>
      <c r="P498" s="46">
        <f t="shared" si="50"/>
        <v>6.5413847408281605</v>
      </c>
      <c r="Q498" s="66">
        <f t="shared" si="51"/>
        <v>2649604.453125</v>
      </c>
    </row>
    <row r="499" spans="1:17">
      <c r="A499" s="32">
        <v>14</v>
      </c>
      <c r="B499" s="32">
        <v>630</v>
      </c>
      <c r="C499" s="81">
        <v>12</v>
      </c>
      <c r="D499" s="36" t="s">
        <v>1488</v>
      </c>
      <c r="E499" s="37">
        <v>45194</v>
      </c>
      <c r="F499" s="38" t="s">
        <v>1495</v>
      </c>
      <c r="G499" s="39" t="s">
        <v>1507</v>
      </c>
      <c r="H499" s="36" t="s">
        <v>1520</v>
      </c>
      <c r="I499" s="48">
        <v>45623</v>
      </c>
      <c r="J499" s="42">
        <v>13.106414794921875</v>
      </c>
      <c r="K499" s="67">
        <v>13.494777679443359</v>
      </c>
      <c r="L499" s="44">
        <v>105425584</v>
      </c>
      <c r="M499" s="85">
        <v>81570512</v>
      </c>
      <c r="N499" s="46">
        <f t="shared" si="48"/>
        <v>93498048</v>
      </c>
      <c r="O499" s="46">
        <f t="shared" si="49"/>
        <v>16868083.176893335</v>
      </c>
      <c r="P499" s="46">
        <f t="shared" si="50"/>
        <v>18.041107314768041</v>
      </c>
      <c r="Q499" s="66">
        <f t="shared" si="51"/>
        <v>6544863360</v>
      </c>
    </row>
    <row r="500" spans="1:17">
      <c r="A500" s="32">
        <v>15</v>
      </c>
      <c r="B500" s="32">
        <v>580</v>
      </c>
      <c r="C500" s="81">
        <v>13</v>
      </c>
      <c r="D500" s="36" t="s">
        <v>1489</v>
      </c>
      <c r="E500" s="37">
        <v>45012</v>
      </c>
      <c r="F500" s="38" t="s">
        <v>1495</v>
      </c>
      <c r="G500" s="39" t="s">
        <v>1508</v>
      </c>
      <c r="H500" s="36" t="s">
        <v>1520</v>
      </c>
      <c r="I500" s="48">
        <v>45623</v>
      </c>
      <c r="J500" s="42">
        <v>9.3668622970581055</v>
      </c>
      <c r="K500" s="82">
        <v>9.5631027221679688</v>
      </c>
      <c r="L500" s="44">
        <v>1246642944</v>
      </c>
      <c r="M500" s="86">
        <v>1095077760</v>
      </c>
      <c r="N500" s="46">
        <f t="shared" si="48"/>
        <v>1170860352</v>
      </c>
      <c r="O500" s="46">
        <f t="shared" si="49"/>
        <v>107172769.39818682</v>
      </c>
      <c r="P500" s="46">
        <f t="shared" si="50"/>
        <v>9.1533349143747262</v>
      </c>
      <c r="Q500" s="66">
        <f t="shared" si="51"/>
        <v>81960224640</v>
      </c>
    </row>
    <row r="501" spans="1:17">
      <c r="A501" s="32">
        <v>15</v>
      </c>
      <c r="B501" s="32">
        <v>590</v>
      </c>
      <c r="C501" s="81">
        <v>14</v>
      </c>
      <c r="D501" s="36" t="s">
        <v>1490</v>
      </c>
      <c r="E501" s="37">
        <v>45047</v>
      </c>
      <c r="F501" s="38" t="s">
        <v>1495</v>
      </c>
      <c r="G501" s="39" t="s">
        <v>1509</v>
      </c>
      <c r="H501" s="36" t="s">
        <v>1520</v>
      </c>
      <c r="I501" s="48">
        <v>45623</v>
      </c>
      <c r="J501" s="42">
        <v>9.8178386688232422</v>
      </c>
      <c r="K501" s="82">
        <v>10.512032508850098</v>
      </c>
      <c r="L501" s="44">
        <v>925479488</v>
      </c>
      <c r="M501" s="86">
        <v>585083328</v>
      </c>
      <c r="N501" s="46">
        <f t="shared" si="48"/>
        <v>755281408</v>
      </c>
      <c r="O501" s="46">
        <f t="shared" si="49"/>
        <v>240696433.02586102</v>
      </c>
      <c r="P501" s="46">
        <f t="shared" si="50"/>
        <v>31.868444062886429</v>
      </c>
      <c r="Q501" s="66">
        <f t="shared" si="51"/>
        <v>52869698560</v>
      </c>
    </row>
    <row r="502" spans="1:17">
      <c r="A502" s="32">
        <v>15</v>
      </c>
      <c r="B502" s="32">
        <v>600</v>
      </c>
      <c r="C502" s="81">
        <v>15</v>
      </c>
      <c r="D502" s="36" t="s">
        <v>1491</v>
      </c>
      <c r="E502" s="37">
        <v>45089</v>
      </c>
      <c r="F502" s="38" t="s">
        <v>1495</v>
      </c>
      <c r="G502" s="39" t="s">
        <v>1510</v>
      </c>
      <c r="H502" s="36" t="s">
        <v>1520</v>
      </c>
      <c r="I502" s="48">
        <v>45623</v>
      </c>
      <c r="J502" s="42">
        <v>10.753772735595703</v>
      </c>
      <c r="K502" s="82">
        <v>11.082967758178711</v>
      </c>
      <c r="L502" s="44">
        <v>498732544</v>
      </c>
      <c r="M502" s="86">
        <v>401262752</v>
      </c>
      <c r="N502" s="46">
        <f t="shared" si="48"/>
        <v>449997648</v>
      </c>
      <c r="O502" s="46">
        <f t="shared" si="49"/>
        <v>68921550.884042308</v>
      </c>
      <c r="P502" s="46">
        <f t="shared" si="50"/>
        <v>15.315980247977276</v>
      </c>
      <c r="Q502" s="66">
        <f t="shared" si="51"/>
        <v>31499835360</v>
      </c>
    </row>
    <row r="503" spans="1:17">
      <c r="A503" s="32">
        <v>15</v>
      </c>
      <c r="B503" s="32">
        <v>610</v>
      </c>
      <c r="C503" s="81">
        <v>16</v>
      </c>
      <c r="D503" s="36" t="s">
        <v>1492</v>
      </c>
      <c r="E503" s="37">
        <v>45124</v>
      </c>
      <c r="F503" s="38" t="s">
        <v>1495</v>
      </c>
      <c r="G503" s="39" t="s">
        <v>1511</v>
      </c>
      <c r="H503" s="36" t="s">
        <v>1520</v>
      </c>
      <c r="I503" s="48">
        <v>45623</v>
      </c>
      <c r="J503" s="42">
        <v>10.14597225189209</v>
      </c>
      <c r="K503" s="82">
        <v>10.303160667419434</v>
      </c>
      <c r="L503" s="44">
        <v>745130624</v>
      </c>
      <c r="M503" s="86">
        <v>671643008</v>
      </c>
      <c r="N503" s="46">
        <f t="shared" si="48"/>
        <v>708386816</v>
      </c>
      <c r="O503" s="46">
        <f t="shared" si="49"/>
        <v>51963591.606833026</v>
      </c>
      <c r="P503" s="46">
        <f t="shared" si="50"/>
        <v>7.3354825969591486</v>
      </c>
      <c r="Q503" s="66">
        <f t="shared" si="51"/>
        <v>49587077120</v>
      </c>
    </row>
    <row r="504" spans="1:17">
      <c r="A504" s="32">
        <v>15</v>
      </c>
      <c r="B504" s="32">
        <v>620</v>
      </c>
      <c r="C504" s="81">
        <v>17</v>
      </c>
      <c r="D504" s="36" t="s">
        <v>1493</v>
      </c>
      <c r="E504" s="37">
        <v>45159</v>
      </c>
      <c r="F504" s="38" t="s">
        <v>1495</v>
      </c>
      <c r="G504" s="39" t="s">
        <v>1512</v>
      </c>
      <c r="H504" s="36" t="s">
        <v>1520</v>
      </c>
      <c r="I504" s="48">
        <v>45623</v>
      </c>
      <c r="J504" s="42">
        <v>13.390598297119141</v>
      </c>
      <c r="K504" s="42">
        <v>10.613842010498047</v>
      </c>
      <c r="L504" s="44">
        <v>87381592</v>
      </c>
      <c r="M504" s="44">
        <v>547029568</v>
      </c>
      <c r="N504" s="46">
        <f t="shared" si="48"/>
        <v>317205580</v>
      </c>
      <c r="O504" s="46">
        <f t="shared" si="49"/>
        <v>325020200.78827143</v>
      </c>
      <c r="P504" s="46">
        <f t="shared" si="50"/>
        <v>102.46358238347239</v>
      </c>
      <c r="Q504" s="66">
        <f t="shared" si="51"/>
        <v>22204390600</v>
      </c>
    </row>
    <row r="505" spans="1:17">
      <c r="A505" s="32">
        <v>15</v>
      </c>
      <c r="B505" s="32">
        <v>630</v>
      </c>
      <c r="C505" s="81">
        <v>18</v>
      </c>
      <c r="D505" s="36" t="s">
        <v>1494</v>
      </c>
      <c r="E505" s="37">
        <v>45194</v>
      </c>
      <c r="F505" s="38" t="s">
        <v>1495</v>
      </c>
      <c r="G505" s="39" t="s">
        <v>1513</v>
      </c>
      <c r="H505" s="36" t="s">
        <v>1520</v>
      </c>
      <c r="I505" s="48">
        <v>45623</v>
      </c>
      <c r="J505" s="42">
        <v>11.112865447998047</v>
      </c>
      <c r="K505" s="42">
        <v>11.585308074951172</v>
      </c>
      <c r="L505" s="44">
        <v>393415840</v>
      </c>
      <c r="M505" s="44">
        <v>287950848</v>
      </c>
      <c r="N505" s="46">
        <f t="shared" si="48"/>
        <v>340683344</v>
      </c>
      <c r="O505" s="46">
        <f t="shared" si="49"/>
        <v>74575011.020984992</v>
      </c>
      <c r="P505" s="46">
        <f t="shared" si="50"/>
        <v>21.88983181431523</v>
      </c>
      <c r="Q505" s="66">
        <f t="shared" si="51"/>
        <v>23847834080</v>
      </c>
    </row>
    <row r="506" spans="1:17">
      <c r="A506" s="32">
        <v>16</v>
      </c>
      <c r="B506" s="32">
        <v>580</v>
      </c>
      <c r="C506" s="81">
        <v>19</v>
      </c>
      <c r="D506" s="36" t="s">
        <v>1489</v>
      </c>
      <c r="E506" s="37">
        <v>45012</v>
      </c>
      <c r="F506" s="38" t="s">
        <v>1495</v>
      </c>
      <c r="G506" s="39" t="s">
        <v>1514</v>
      </c>
      <c r="H506" s="36" t="s">
        <v>1520</v>
      </c>
      <c r="I506" s="48">
        <v>45623</v>
      </c>
      <c r="J506" s="42">
        <v>10.983950614929199</v>
      </c>
      <c r="K506" s="42">
        <v>11.240087509155273</v>
      </c>
      <c r="L506" s="44">
        <v>428385440</v>
      </c>
      <c r="M506" s="44">
        <v>361705088</v>
      </c>
      <c r="N506" s="46">
        <f t="shared" si="48"/>
        <v>395045264</v>
      </c>
      <c r="O506" s="46">
        <f t="shared" si="49"/>
        <v>47150129.071105964</v>
      </c>
      <c r="P506" s="46">
        <f t="shared" si="50"/>
        <v>11.935373833795909</v>
      </c>
      <c r="Q506" s="66">
        <f t="shared" si="51"/>
        <v>27653168480</v>
      </c>
    </row>
    <row r="507" spans="1:17">
      <c r="A507" s="32">
        <v>16</v>
      </c>
      <c r="B507" s="32">
        <v>590</v>
      </c>
      <c r="C507" s="81">
        <v>20</v>
      </c>
      <c r="D507" s="36" t="s">
        <v>1490</v>
      </c>
      <c r="E507" s="37">
        <v>45047</v>
      </c>
      <c r="F507" s="38" t="s">
        <v>1495</v>
      </c>
      <c r="G507" s="39" t="s">
        <v>1515</v>
      </c>
      <c r="H507" s="36" t="s">
        <v>1520</v>
      </c>
      <c r="I507" s="48">
        <v>45623</v>
      </c>
      <c r="J507" s="42">
        <v>10.687224388122559</v>
      </c>
      <c r="K507" s="42">
        <v>11.352478981018066</v>
      </c>
      <c r="L507" s="44">
        <v>521145472</v>
      </c>
      <c r="M507" s="44">
        <v>335824160</v>
      </c>
      <c r="N507" s="46">
        <f t="shared" si="48"/>
        <v>428484816</v>
      </c>
      <c r="O507" s="46">
        <f t="shared" si="49"/>
        <v>131041956.4135879</v>
      </c>
      <c r="P507" s="46">
        <f t="shared" si="50"/>
        <v>30.582637125136284</v>
      </c>
      <c r="Q507" s="66">
        <f t="shared" si="51"/>
        <v>29993937120</v>
      </c>
    </row>
    <row r="508" spans="1:17">
      <c r="A508" s="32">
        <v>16</v>
      </c>
      <c r="B508" s="32">
        <v>600</v>
      </c>
      <c r="C508" s="81">
        <v>21</v>
      </c>
      <c r="D508" s="36" t="s">
        <v>1491</v>
      </c>
      <c r="E508" s="37">
        <v>45089</v>
      </c>
      <c r="F508" s="38" t="s">
        <v>1495</v>
      </c>
      <c r="G508" s="39" t="s">
        <v>1516</v>
      </c>
      <c r="H508" s="36" t="s">
        <v>1520</v>
      </c>
      <c r="I508" s="48">
        <v>45623</v>
      </c>
      <c r="J508" s="42">
        <v>13.722440719604492</v>
      </c>
      <c r="K508" s="42">
        <v>13.984015464782715</v>
      </c>
      <c r="L508" s="44">
        <v>70181336</v>
      </c>
      <c r="M508" s="44">
        <v>59044780</v>
      </c>
      <c r="N508" s="46">
        <f t="shared" si="48"/>
        <v>64613058</v>
      </c>
      <c r="O508" s="46">
        <f t="shared" si="49"/>
        <v>7874734.2666637329</v>
      </c>
      <c r="P508" s="46">
        <f t="shared" si="50"/>
        <v>12.187527584074001</v>
      </c>
      <c r="Q508" s="66">
        <f t="shared" si="51"/>
        <v>4522914060</v>
      </c>
    </row>
    <row r="509" spans="1:17">
      <c r="A509" s="32">
        <v>16</v>
      </c>
      <c r="B509" s="32">
        <v>610</v>
      </c>
      <c r="C509" s="81">
        <v>22</v>
      </c>
      <c r="D509" s="36" t="s">
        <v>1492</v>
      </c>
      <c r="E509" s="37">
        <v>45124</v>
      </c>
      <c r="F509" s="38" t="s">
        <v>1495</v>
      </c>
      <c r="G509" s="39" t="s">
        <v>1517</v>
      </c>
      <c r="H509" s="36" t="s">
        <v>1520</v>
      </c>
      <c r="I509" s="48">
        <v>45623</v>
      </c>
      <c r="J509" s="42">
        <v>11.294676780700684</v>
      </c>
      <c r="K509" s="42">
        <v>11.433082580566406</v>
      </c>
      <c r="L509" s="44">
        <v>348894496</v>
      </c>
      <c r="M509" s="44">
        <v>318411328</v>
      </c>
      <c r="N509" s="46">
        <f t="shared" si="48"/>
        <v>333652912</v>
      </c>
      <c r="O509" s="46">
        <f t="shared" si="49"/>
        <v>21554854.804848768</v>
      </c>
      <c r="P509" s="46">
        <f t="shared" si="50"/>
        <v>6.4602627549819696</v>
      </c>
      <c r="Q509" s="66">
        <f t="shared" si="51"/>
        <v>23355703840</v>
      </c>
    </row>
    <row r="510" spans="1:17">
      <c r="A510" s="32">
        <v>16</v>
      </c>
      <c r="B510" s="32">
        <v>620</v>
      </c>
      <c r="C510" s="81">
        <v>23</v>
      </c>
      <c r="D510" s="36" t="s">
        <v>1493</v>
      </c>
      <c r="E510" s="37">
        <v>45159</v>
      </c>
      <c r="F510" s="38" t="s">
        <v>1495</v>
      </c>
      <c r="G510" s="39" t="s">
        <v>1518</v>
      </c>
      <c r="H510" s="36" t="s">
        <v>1520</v>
      </c>
      <c r="I510" s="48">
        <v>45623</v>
      </c>
      <c r="J510" s="42">
        <v>23.061914443969727</v>
      </c>
      <c r="K510" s="42">
        <v>23.262895584106445</v>
      </c>
      <c r="L510" s="44">
        <v>146869.046875</v>
      </c>
      <c r="M510" s="44">
        <v>128609.5390625</v>
      </c>
      <c r="N510" s="46">
        <f t="shared" si="48"/>
        <v>137739.29296875</v>
      </c>
      <c r="O510" s="46">
        <f t="shared" si="49"/>
        <v>12911.421795347493</v>
      </c>
      <c r="P510" s="46">
        <f t="shared" si="50"/>
        <v>9.3738115806045332</v>
      </c>
      <c r="Q510" s="66">
        <f t="shared" si="51"/>
        <v>9641750.5078125</v>
      </c>
    </row>
    <row r="511" spans="1:17">
      <c r="A511" s="32">
        <v>16</v>
      </c>
      <c r="B511" s="32">
        <v>630</v>
      </c>
      <c r="C511" s="81">
        <v>24</v>
      </c>
      <c r="D511" s="36" t="s">
        <v>1494</v>
      </c>
      <c r="E511" s="37">
        <v>45194</v>
      </c>
      <c r="F511" s="38" t="s">
        <v>1495</v>
      </c>
      <c r="G511" s="39" t="s">
        <v>1519</v>
      </c>
      <c r="H511" s="36" t="s">
        <v>1520</v>
      </c>
      <c r="I511" s="48">
        <v>45623</v>
      </c>
      <c r="J511" s="42">
        <v>11.755464553833008</v>
      </c>
      <c r="K511" s="42">
        <v>11.93110179901123</v>
      </c>
      <c r="L511" s="44">
        <v>257338144</v>
      </c>
      <c r="M511" s="44">
        <v>229148848</v>
      </c>
      <c r="N511" s="46">
        <f t="shared" si="48"/>
        <v>243243496</v>
      </c>
      <c r="O511" s="46">
        <f t="shared" si="49"/>
        <v>19932842.358474821</v>
      </c>
      <c r="P511" s="46">
        <f t="shared" si="50"/>
        <v>8.1946044544906655</v>
      </c>
      <c r="Q511" s="66">
        <f t="shared" si="51"/>
        <v>17027044720</v>
      </c>
    </row>
    <row r="512" spans="1:17">
      <c r="A512" s="32">
        <v>13</v>
      </c>
      <c r="B512" s="32">
        <v>640</v>
      </c>
      <c r="C512" s="81">
        <v>1</v>
      </c>
      <c r="D512" s="36" t="s">
        <v>1523</v>
      </c>
      <c r="E512" s="37">
        <v>45229</v>
      </c>
      <c r="F512" s="38" t="s">
        <v>1495</v>
      </c>
      <c r="G512" s="40" t="s">
        <v>1541</v>
      </c>
      <c r="H512" s="36" t="s">
        <v>1520</v>
      </c>
      <c r="I512" s="48">
        <v>45631</v>
      </c>
      <c r="J512" s="42">
        <v>13.818707466125488</v>
      </c>
      <c r="K512" s="42">
        <v>13.871667861938477</v>
      </c>
      <c r="L512" s="44">
        <v>133032520</v>
      </c>
      <c r="M512" s="44">
        <v>128519584</v>
      </c>
      <c r="N512" s="46">
        <f t="shared" ref="N512:N535" si="52">AVERAGE(L512:M512)</f>
        <v>130776052</v>
      </c>
      <c r="O512" s="46">
        <f t="shared" ref="O512:O535" si="53">STDEVA(L512:M512)</f>
        <v>3191127.6486608931</v>
      </c>
      <c r="P512" s="46">
        <f t="shared" ref="P512:P535" si="54">O512*100/N512</f>
        <v>2.4401468004714602</v>
      </c>
      <c r="Q512" s="66">
        <f t="shared" ref="Q512:Q535" si="55">N512*70</f>
        <v>9154323640</v>
      </c>
    </row>
    <row r="513" spans="1:17">
      <c r="A513" s="32">
        <v>13</v>
      </c>
      <c r="B513" s="32">
        <v>650</v>
      </c>
      <c r="C513" s="81">
        <v>2</v>
      </c>
      <c r="D513" s="36" t="s">
        <v>1524</v>
      </c>
      <c r="E513" s="37">
        <v>45264</v>
      </c>
      <c r="F513" s="38" t="s">
        <v>1495</v>
      </c>
      <c r="G513" s="40" t="s">
        <v>1542</v>
      </c>
      <c r="H513" s="36" t="s">
        <v>1520</v>
      </c>
      <c r="I513" s="48">
        <v>45632</v>
      </c>
      <c r="J513" s="42">
        <v>13.65153980255127</v>
      </c>
      <c r="K513" s="42">
        <v>13.869942665100098</v>
      </c>
      <c r="L513" s="44">
        <v>148343504</v>
      </c>
      <c r="M513" s="44">
        <v>128664152</v>
      </c>
      <c r="N513" s="46">
        <f t="shared" si="52"/>
        <v>138503828</v>
      </c>
      <c r="O513" s="46">
        <f t="shared" si="53"/>
        <v>13915403.248557046</v>
      </c>
      <c r="P513" s="46">
        <f t="shared" si="54"/>
        <v>10.04694487473447</v>
      </c>
      <c r="Q513" s="66">
        <f t="shared" si="55"/>
        <v>9695267960</v>
      </c>
    </row>
    <row r="514" spans="1:17">
      <c r="A514" s="32">
        <v>13</v>
      </c>
      <c r="B514" s="32">
        <v>660</v>
      </c>
      <c r="C514" s="81">
        <v>3</v>
      </c>
      <c r="D514" s="36" t="s">
        <v>1525</v>
      </c>
      <c r="E514" s="37">
        <v>45299</v>
      </c>
      <c r="F514" s="38" t="s">
        <v>1495</v>
      </c>
      <c r="G514" s="40" t="s">
        <v>1543</v>
      </c>
      <c r="H514" s="36" t="s">
        <v>1520</v>
      </c>
      <c r="I514" s="48">
        <v>45633</v>
      </c>
      <c r="J514" s="42">
        <v>12.403717041015625</v>
      </c>
      <c r="K514" s="42">
        <v>12.368759155273438</v>
      </c>
      <c r="L514" s="44">
        <v>334517824</v>
      </c>
      <c r="M514" s="44">
        <v>342225856</v>
      </c>
      <c r="N514" s="46">
        <f t="shared" si="52"/>
        <v>338371840</v>
      </c>
      <c r="O514" s="46">
        <f t="shared" si="53"/>
        <v>5450401.6968029067</v>
      </c>
      <c r="P514" s="46">
        <f t="shared" si="54"/>
        <v>1.6107728399629553</v>
      </c>
      <c r="Q514" s="66">
        <f t="shared" si="55"/>
        <v>23686028800</v>
      </c>
    </row>
    <row r="515" spans="1:17">
      <c r="A515" s="32">
        <v>13</v>
      </c>
      <c r="B515" s="32">
        <v>670</v>
      </c>
      <c r="C515" s="81">
        <v>4</v>
      </c>
      <c r="D515" s="36" t="s">
        <v>1526</v>
      </c>
      <c r="E515" s="37">
        <v>45334</v>
      </c>
      <c r="F515" s="38" t="s">
        <v>1495</v>
      </c>
      <c r="G515" s="40" t="s">
        <v>1544</v>
      </c>
      <c r="H515" s="36" t="s">
        <v>1520</v>
      </c>
      <c r="I515" s="48">
        <v>45634</v>
      </c>
      <c r="J515" s="42">
        <v>13.615444183349609</v>
      </c>
      <c r="K515" s="42">
        <v>13.346470832824707</v>
      </c>
      <c r="L515" s="44">
        <v>151874224</v>
      </c>
      <c r="M515" s="44">
        <v>180970240</v>
      </c>
      <c r="N515" s="46">
        <f t="shared" si="52"/>
        <v>166422232</v>
      </c>
      <c r="O515" s="46">
        <f t="shared" si="53"/>
        <v>20573990.219112284</v>
      </c>
      <c r="P515" s="46">
        <f t="shared" si="54"/>
        <v>12.362525109693447</v>
      </c>
      <c r="Q515" s="66">
        <f t="shared" si="55"/>
        <v>11649556240</v>
      </c>
    </row>
    <row r="516" spans="1:17">
      <c r="A516" s="32">
        <v>13</v>
      </c>
      <c r="B516" s="32">
        <v>680</v>
      </c>
      <c r="C516" s="81">
        <v>5</v>
      </c>
      <c r="D516" s="36" t="s">
        <v>1527</v>
      </c>
      <c r="E516" s="37">
        <v>45369</v>
      </c>
      <c r="F516" s="38" t="s">
        <v>1495</v>
      </c>
      <c r="G516" s="40" t="s">
        <v>1545</v>
      </c>
      <c r="H516" s="36" t="s">
        <v>1520</v>
      </c>
      <c r="I516" s="48">
        <v>45635</v>
      </c>
      <c r="J516" s="42">
        <v>13.800491333007812</v>
      </c>
      <c r="K516" s="42">
        <v>13.715537071228027</v>
      </c>
      <c r="L516" s="44">
        <v>134621120</v>
      </c>
      <c r="M516" s="44">
        <v>142284112</v>
      </c>
      <c r="N516" s="46">
        <f t="shared" si="52"/>
        <v>138452616</v>
      </c>
      <c r="O516" s="46">
        <f t="shared" si="53"/>
        <v>5418553.607378264</v>
      </c>
      <c r="P516" s="46">
        <f t="shared" si="54"/>
        <v>3.9136520232873488</v>
      </c>
      <c r="Q516" s="66">
        <f t="shared" si="55"/>
        <v>9691683120</v>
      </c>
    </row>
    <row r="517" spans="1:17">
      <c r="A517" s="32">
        <v>13</v>
      </c>
      <c r="B517" s="32">
        <v>690</v>
      </c>
      <c r="C517" s="81">
        <v>6</v>
      </c>
      <c r="D517" s="36" t="s">
        <v>1528</v>
      </c>
      <c r="E517" s="37">
        <v>45404</v>
      </c>
      <c r="F517" s="38" t="s">
        <v>1495</v>
      </c>
      <c r="G517" s="40" t="s">
        <v>1546</v>
      </c>
      <c r="H517" s="36" t="s">
        <v>1520</v>
      </c>
      <c r="I517" s="48">
        <v>45636</v>
      </c>
      <c r="J517" s="42">
        <v>12.722023010253906</v>
      </c>
      <c r="K517" s="42">
        <v>12.556673049926758</v>
      </c>
      <c r="L517" s="44">
        <v>271853152</v>
      </c>
      <c r="M517" s="44">
        <v>302782400</v>
      </c>
      <c r="N517" s="46">
        <f t="shared" si="52"/>
        <v>287317776</v>
      </c>
      <c r="O517" s="46">
        <f t="shared" si="53"/>
        <v>21870280.997800462</v>
      </c>
      <c r="P517" s="46">
        <f t="shared" si="54"/>
        <v>7.6118788410085907</v>
      </c>
      <c r="Q517" s="66">
        <f t="shared" si="55"/>
        <v>20112244320</v>
      </c>
    </row>
    <row r="518" spans="1:17">
      <c r="A518" s="32">
        <v>14</v>
      </c>
      <c r="B518" s="32">
        <v>640</v>
      </c>
      <c r="C518" s="81">
        <v>7</v>
      </c>
      <c r="D518" s="29" t="s">
        <v>1529</v>
      </c>
      <c r="E518" s="37">
        <v>45229</v>
      </c>
      <c r="F518" s="38" t="s">
        <v>1495</v>
      </c>
      <c r="G518" s="40" t="s">
        <v>1547</v>
      </c>
      <c r="H518" s="36" t="s">
        <v>1520</v>
      </c>
      <c r="I518" s="48">
        <v>45637</v>
      </c>
      <c r="J518" s="42">
        <v>12.707447052001953</v>
      </c>
      <c r="K518" s="42">
        <v>12.654256820678711</v>
      </c>
      <c r="L518" s="44">
        <v>274447680</v>
      </c>
      <c r="M518" s="44">
        <v>284127392</v>
      </c>
      <c r="N518" s="46">
        <f t="shared" si="52"/>
        <v>279287536</v>
      </c>
      <c r="O518" s="46">
        <f t="shared" si="53"/>
        <v>6844589.9951327983</v>
      </c>
      <c r="P518" s="46">
        <f t="shared" si="54"/>
        <v>2.4507323503089653</v>
      </c>
      <c r="Q518" s="66">
        <f t="shared" si="55"/>
        <v>19550127520</v>
      </c>
    </row>
    <row r="519" spans="1:17">
      <c r="A519" s="32">
        <v>14</v>
      </c>
      <c r="B519" s="32">
        <v>650</v>
      </c>
      <c r="C519" s="81">
        <v>8</v>
      </c>
      <c r="D519" s="36" t="s">
        <v>1530</v>
      </c>
      <c r="E519" s="37">
        <v>45264</v>
      </c>
      <c r="F519" s="38" t="s">
        <v>1495</v>
      </c>
      <c r="G519" s="40" t="s">
        <v>1548</v>
      </c>
      <c r="H519" s="36" t="s">
        <v>1520</v>
      </c>
      <c r="I519" s="48">
        <v>45638</v>
      </c>
      <c r="J519" s="42">
        <v>11.410981178283691</v>
      </c>
      <c r="K519" s="42">
        <v>11.499599456787109</v>
      </c>
      <c r="L519" s="44">
        <v>638817664</v>
      </c>
      <c r="M519" s="44">
        <v>602971456</v>
      </c>
      <c r="N519" s="46">
        <f t="shared" si="52"/>
        <v>620894560</v>
      </c>
      <c r="O519" s="46">
        <f t="shared" si="53"/>
        <v>25347096.756623469</v>
      </c>
      <c r="P519" s="46">
        <f t="shared" si="54"/>
        <v>4.0823512379659874</v>
      </c>
      <c r="Q519" s="66">
        <f t="shared" si="55"/>
        <v>43462619200</v>
      </c>
    </row>
    <row r="520" spans="1:17">
      <c r="A520" s="32">
        <v>14</v>
      </c>
      <c r="B520" s="32">
        <v>660</v>
      </c>
      <c r="C520" s="81">
        <v>9</v>
      </c>
      <c r="D520" s="36" t="s">
        <v>1531</v>
      </c>
      <c r="E520" s="37">
        <v>45299</v>
      </c>
      <c r="F520" s="38" t="s">
        <v>1495</v>
      </c>
      <c r="G520" s="40" t="s">
        <v>1549</v>
      </c>
      <c r="H520" s="36" t="s">
        <v>1520</v>
      </c>
      <c r="I520" s="48">
        <v>45639</v>
      </c>
      <c r="J520" s="42">
        <v>11.153896331787109</v>
      </c>
      <c r="K520" s="42">
        <v>11.335830688476562</v>
      </c>
      <c r="L520" s="44">
        <v>755327680</v>
      </c>
      <c r="M520" s="44">
        <v>670881088</v>
      </c>
      <c r="N520" s="46">
        <f t="shared" si="52"/>
        <v>713104384</v>
      </c>
      <c r="O520" s="46">
        <f t="shared" si="53"/>
        <v>59712757.851293653</v>
      </c>
      <c r="P520" s="46">
        <f t="shared" si="54"/>
        <v>8.3736349391583111</v>
      </c>
      <c r="Q520" s="66">
        <f t="shared" si="55"/>
        <v>49917306880</v>
      </c>
    </row>
    <row r="521" spans="1:17">
      <c r="A521" s="32">
        <v>14</v>
      </c>
      <c r="B521" s="32">
        <v>670</v>
      </c>
      <c r="C521" s="81">
        <v>10</v>
      </c>
      <c r="D521" s="36" t="s">
        <v>1532</v>
      </c>
      <c r="E521" s="37">
        <v>45334</v>
      </c>
      <c r="F521" s="38" t="s">
        <v>1495</v>
      </c>
      <c r="G521" s="40" t="s">
        <v>1550</v>
      </c>
      <c r="H521" s="36" t="s">
        <v>1520</v>
      </c>
      <c r="I521" s="48">
        <v>45640</v>
      </c>
      <c r="J521" s="42">
        <v>12.171513557434082</v>
      </c>
      <c r="K521" s="42">
        <v>11.970964431762695</v>
      </c>
      <c r="L521" s="44">
        <v>389166976</v>
      </c>
      <c r="M521" s="44">
        <v>443500480</v>
      </c>
      <c r="N521" s="46">
        <f t="shared" si="52"/>
        <v>416333728</v>
      </c>
      <c r="O521" s="46">
        <f t="shared" si="53"/>
        <v>38419589.124026403</v>
      </c>
      <c r="P521" s="46">
        <f t="shared" si="54"/>
        <v>9.2280751090208106</v>
      </c>
      <c r="Q521" s="66">
        <f t="shared" si="55"/>
        <v>29143360960</v>
      </c>
    </row>
    <row r="522" spans="1:17">
      <c r="A522" s="32">
        <v>14</v>
      </c>
      <c r="B522" s="32">
        <v>680</v>
      </c>
      <c r="C522" s="81">
        <v>11</v>
      </c>
      <c r="D522" s="36" t="s">
        <v>1533</v>
      </c>
      <c r="E522" s="37">
        <v>45369</v>
      </c>
      <c r="F522" s="38" t="s">
        <v>1495</v>
      </c>
      <c r="G522" s="40" t="s">
        <v>1551</v>
      </c>
      <c r="H522" s="36" t="s">
        <v>1520</v>
      </c>
      <c r="I522" s="48">
        <v>45641</v>
      </c>
      <c r="J522" s="42">
        <v>12.757363319396973</v>
      </c>
      <c r="K522" s="42">
        <v>12.701064109802246</v>
      </c>
      <c r="L522" s="44">
        <v>265663920</v>
      </c>
      <c r="M522" s="44">
        <v>275591616</v>
      </c>
      <c r="N522" s="46">
        <f t="shared" si="52"/>
        <v>270627768</v>
      </c>
      <c r="O522" s="46">
        <f t="shared" si="53"/>
        <v>7019941.163158563</v>
      </c>
      <c r="P522" s="46">
        <f t="shared" si="54"/>
        <v>2.5939471086198971</v>
      </c>
      <c r="Q522" s="66">
        <f t="shared" si="55"/>
        <v>18943943760</v>
      </c>
    </row>
    <row r="523" spans="1:17">
      <c r="A523" s="32">
        <v>14</v>
      </c>
      <c r="B523" s="32">
        <v>690</v>
      </c>
      <c r="C523" s="81">
        <v>12</v>
      </c>
      <c r="D523" s="36" t="s">
        <v>1534</v>
      </c>
      <c r="E523" s="37">
        <v>45404</v>
      </c>
      <c r="F523" s="38" t="s">
        <v>1495</v>
      </c>
      <c r="G523" s="40" t="s">
        <v>1552</v>
      </c>
      <c r="H523" s="36" t="s">
        <v>1520</v>
      </c>
      <c r="I523" s="48">
        <v>45642</v>
      </c>
      <c r="J523" s="42">
        <v>11.99601936340332</v>
      </c>
      <c r="K523" s="42">
        <v>11.930785179138184</v>
      </c>
      <c r="L523" s="44">
        <v>436318080</v>
      </c>
      <c r="M523" s="44">
        <v>455266144</v>
      </c>
      <c r="N523" s="46">
        <f t="shared" si="52"/>
        <v>445792112</v>
      </c>
      <c r="O523" s="46">
        <f t="shared" si="53"/>
        <v>13398304.544756699</v>
      </c>
      <c r="P523" s="46">
        <f t="shared" si="54"/>
        <v>3.0055050737992195</v>
      </c>
      <c r="Q523" s="66">
        <f t="shared" si="55"/>
        <v>31205447840</v>
      </c>
    </row>
    <row r="524" spans="1:17">
      <c r="A524" s="32">
        <v>15</v>
      </c>
      <c r="B524" s="32">
        <v>640</v>
      </c>
      <c r="C524" s="81">
        <v>13</v>
      </c>
      <c r="D524" s="36" t="s">
        <v>1535</v>
      </c>
      <c r="E524" s="37">
        <v>45229</v>
      </c>
      <c r="F524" s="38" t="s">
        <v>1495</v>
      </c>
      <c r="G524" s="40" t="s">
        <v>1553</v>
      </c>
      <c r="H524" s="36" t="s">
        <v>1520</v>
      </c>
      <c r="I524" s="48">
        <v>45643</v>
      </c>
      <c r="J524" s="42">
        <v>9.8405923843383789</v>
      </c>
      <c r="K524" s="42">
        <v>9.9003124237060547</v>
      </c>
      <c r="L524" s="44">
        <v>1777535104</v>
      </c>
      <c r="M524" s="44">
        <v>1709687040</v>
      </c>
      <c r="N524" s="46">
        <f t="shared" si="52"/>
        <v>1743611072</v>
      </c>
      <c r="O524" s="46">
        <f t="shared" si="53"/>
        <v>47975826.14477887</v>
      </c>
      <c r="P524" s="46">
        <f t="shared" si="54"/>
        <v>2.7515210768734364</v>
      </c>
      <c r="Q524" s="66">
        <f t="shared" si="55"/>
        <v>122052775040</v>
      </c>
    </row>
    <row r="525" spans="1:17">
      <c r="A525" s="32">
        <v>15</v>
      </c>
      <c r="B525" s="32">
        <v>650</v>
      </c>
      <c r="C525" s="81">
        <v>14</v>
      </c>
      <c r="D525" s="36" t="s">
        <v>1536</v>
      </c>
      <c r="E525" s="37">
        <v>45264</v>
      </c>
      <c r="F525" s="38" t="s">
        <v>1495</v>
      </c>
      <c r="G525" s="40" t="s">
        <v>1554</v>
      </c>
      <c r="H525" s="36" t="s">
        <v>1520</v>
      </c>
      <c r="I525" s="48">
        <v>45644</v>
      </c>
      <c r="J525" s="42">
        <v>10.451946258544922</v>
      </c>
      <c r="K525" s="42">
        <v>10.543176651000977</v>
      </c>
      <c r="L525" s="44">
        <v>1193429504</v>
      </c>
      <c r="M525" s="44">
        <v>1124546304</v>
      </c>
      <c r="N525" s="46">
        <f t="shared" si="52"/>
        <v>1158987904</v>
      </c>
      <c r="O525" s="46">
        <f t="shared" si="53"/>
        <v>48707777.829829194</v>
      </c>
      <c r="P525" s="46">
        <f t="shared" si="54"/>
        <v>4.2026131301046945</v>
      </c>
      <c r="Q525" s="66">
        <f t="shared" si="55"/>
        <v>81129153280</v>
      </c>
    </row>
    <row r="526" spans="1:17">
      <c r="A526" s="32">
        <v>15</v>
      </c>
      <c r="B526" s="32">
        <v>660</v>
      </c>
      <c r="C526" s="81">
        <v>15</v>
      </c>
      <c r="D526" s="36" t="s">
        <v>1537</v>
      </c>
      <c r="E526" s="37">
        <v>45299</v>
      </c>
      <c r="F526" s="38" t="s">
        <v>1495</v>
      </c>
      <c r="G526" s="40" t="s">
        <v>1555</v>
      </c>
      <c r="H526" s="36" t="s">
        <v>1520</v>
      </c>
      <c r="I526" s="48">
        <v>45645</v>
      </c>
      <c r="J526" s="42">
        <v>11.054573059082031</v>
      </c>
      <c r="K526" s="42">
        <v>11.079248428344727</v>
      </c>
      <c r="L526" s="44">
        <v>805833344</v>
      </c>
      <c r="M526" s="44">
        <v>792979200</v>
      </c>
      <c r="N526" s="46">
        <f t="shared" si="52"/>
        <v>799406272</v>
      </c>
      <c r="O526" s="46">
        <f t="shared" si="53"/>
        <v>9089252.388748372</v>
      </c>
      <c r="P526" s="46">
        <f t="shared" si="54"/>
        <v>1.137000384799129</v>
      </c>
      <c r="Q526" s="66">
        <f t="shared" si="55"/>
        <v>55958439040</v>
      </c>
    </row>
    <row r="527" spans="1:17">
      <c r="A527" s="32">
        <v>15</v>
      </c>
      <c r="B527" s="32">
        <v>670</v>
      </c>
      <c r="C527" s="81">
        <v>16</v>
      </c>
      <c r="D527" s="36" t="s">
        <v>1538</v>
      </c>
      <c r="E527" s="37">
        <v>45334</v>
      </c>
      <c r="F527" s="38" t="s">
        <v>1495</v>
      </c>
      <c r="G527" s="40" t="s">
        <v>1556</v>
      </c>
      <c r="H527" s="36" t="s">
        <v>1520</v>
      </c>
      <c r="I527" s="48">
        <v>45646</v>
      </c>
      <c r="J527" s="42">
        <v>10.416784286499023</v>
      </c>
      <c r="K527" s="42">
        <v>10.889835357666016</v>
      </c>
      <c r="L527" s="44">
        <v>1221091200</v>
      </c>
      <c r="M527" s="44">
        <v>897156544</v>
      </c>
      <c r="N527" s="46">
        <f t="shared" si="52"/>
        <v>1059123872</v>
      </c>
      <c r="O527" s="46">
        <f t="shared" si="53"/>
        <v>229056391.91893154</v>
      </c>
      <c r="P527" s="46">
        <f t="shared" si="54"/>
        <v>21.626969042477739</v>
      </c>
      <c r="Q527" s="66">
        <f t="shared" si="55"/>
        <v>74138671040</v>
      </c>
    </row>
    <row r="528" spans="1:17">
      <c r="A528" s="32">
        <v>15</v>
      </c>
      <c r="B528" s="32">
        <v>680</v>
      </c>
      <c r="C528" s="81">
        <v>17</v>
      </c>
      <c r="D528" s="36" t="s">
        <v>1539</v>
      </c>
      <c r="E528" s="37">
        <v>45369</v>
      </c>
      <c r="F528" s="38" t="s">
        <v>1495</v>
      </c>
      <c r="G528" s="40" t="s">
        <v>1557</v>
      </c>
      <c r="H528" s="36" t="s">
        <v>1520</v>
      </c>
      <c r="I528" s="48">
        <v>45647</v>
      </c>
      <c r="J528" s="42">
        <v>11.639802932739258</v>
      </c>
      <c r="K528" s="42">
        <v>11.639739036560059</v>
      </c>
      <c r="L528" s="44">
        <v>550322496</v>
      </c>
      <c r="M528" s="44">
        <v>550345408</v>
      </c>
      <c r="N528" s="46">
        <f t="shared" si="52"/>
        <v>550333952</v>
      </c>
      <c r="O528" s="46">
        <f t="shared" si="53"/>
        <v>16201.230570546177</v>
      </c>
      <c r="P528" s="46">
        <f t="shared" si="54"/>
        <v>2.9438907978816065E-3</v>
      </c>
      <c r="Q528" s="66">
        <f t="shared" si="55"/>
        <v>38523376640</v>
      </c>
    </row>
    <row r="529" spans="1:17">
      <c r="A529" s="32">
        <v>15</v>
      </c>
      <c r="B529" s="32">
        <v>690</v>
      </c>
      <c r="C529" s="81">
        <v>18</v>
      </c>
      <c r="D529" s="36" t="s">
        <v>1540</v>
      </c>
      <c r="E529" s="37">
        <v>45404</v>
      </c>
      <c r="F529" s="38" t="s">
        <v>1495</v>
      </c>
      <c r="G529" s="40" t="s">
        <v>1558</v>
      </c>
      <c r="H529" s="36" t="s">
        <v>1520</v>
      </c>
      <c r="I529" s="48">
        <v>45648</v>
      </c>
      <c r="J529" s="42">
        <v>11.185166358947754</v>
      </c>
      <c r="K529" s="42">
        <v>11.206538200378418</v>
      </c>
      <c r="L529" s="44">
        <v>740091776</v>
      </c>
      <c r="M529" s="44">
        <v>729855808</v>
      </c>
      <c r="N529" s="46">
        <f t="shared" si="52"/>
        <v>734973792</v>
      </c>
      <c r="O529" s="46">
        <f t="shared" si="53"/>
        <v>7237922.3848085022</v>
      </c>
      <c r="P529" s="46">
        <f t="shared" si="54"/>
        <v>0.98478645954337674</v>
      </c>
      <c r="Q529" s="66">
        <f t="shared" si="55"/>
        <v>51448165440</v>
      </c>
    </row>
    <row r="530" spans="1:17">
      <c r="A530" s="32">
        <v>16</v>
      </c>
      <c r="B530" s="32">
        <v>640</v>
      </c>
      <c r="C530" s="81">
        <v>19</v>
      </c>
      <c r="D530" s="36" t="s">
        <v>1535</v>
      </c>
      <c r="E530" s="37">
        <v>45229</v>
      </c>
      <c r="F530" s="38" t="s">
        <v>1495</v>
      </c>
      <c r="G530" s="40" t="s">
        <v>1559</v>
      </c>
      <c r="H530" s="36" t="s">
        <v>1520</v>
      </c>
      <c r="I530" s="48">
        <v>45649</v>
      </c>
      <c r="J530" s="42">
        <v>11.284746170043945</v>
      </c>
      <c r="K530" s="42">
        <v>11.366864204406738</v>
      </c>
      <c r="L530" s="44">
        <v>693590528</v>
      </c>
      <c r="M530" s="44">
        <v>657449856</v>
      </c>
      <c r="N530" s="46">
        <f t="shared" si="52"/>
        <v>675520192</v>
      </c>
      <c r="O530" s="46">
        <f t="shared" si="53"/>
        <v>25555314.247838784</v>
      </c>
      <c r="P530" s="46">
        <f t="shared" si="54"/>
        <v>3.7830570500309757</v>
      </c>
      <c r="Q530" s="66">
        <f t="shared" si="55"/>
        <v>47286413440</v>
      </c>
    </row>
    <row r="531" spans="1:17">
      <c r="A531" s="32">
        <v>16</v>
      </c>
      <c r="B531" s="32">
        <v>650</v>
      </c>
      <c r="C531" s="81">
        <v>20</v>
      </c>
      <c r="D531" s="36" t="s">
        <v>1536</v>
      </c>
      <c r="E531" s="37">
        <v>45264</v>
      </c>
      <c r="F531" s="38" t="s">
        <v>1495</v>
      </c>
      <c r="G531" s="40" t="s">
        <v>1560</v>
      </c>
      <c r="H531" s="36" t="s">
        <v>1520</v>
      </c>
      <c r="I531" s="48">
        <v>45650</v>
      </c>
      <c r="J531" s="42">
        <v>11.014986991882324</v>
      </c>
      <c r="K531" s="42">
        <v>11.143852233886719</v>
      </c>
      <c r="L531" s="44">
        <v>826891712</v>
      </c>
      <c r="M531" s="44">
        <v>760287808</v>
      </c>
      <c r="N531" s="46">
        <f t="shared" si="52"/>
        <v>793589760</v>
      </c>
      <c r="O531" s="46">
        <f t="shared" si="53"/>
        <v>47096072.171897821</v>
      </c>
      <c r="P531" s="46">
        <f t="shared" si="54"/>
        <v>5.9345614756795531</v>
      </c>
      <c r="Q531" s="66">
        <f t="shared" si="55"/>
        <v>55551283200</v>
      </c>
    </row>
    <row r="532" spans="1:17">
      <c r="A532" s="32">
        <v>16</v>
      </c>
      <c r="B532" s="32">
        <v>660</v>
      </c>
      <c r="C532" s="81">
        <v>21</v>
      </c>
      <c r="D532" s="36" t="s">
        <v>1537</v>
      </c>
      <c r="E532" s="37">
        <v>45299</v>
      </c>
      <c r="F532" s="38" t="s">
        <v>1495</v>
      </c>
      <c r="G532" s="40" t="s">
        <v>1561</v>
      </c>
      <c r="H532" s="36" t="s">
        <v>1520</v>
      </c>
      <c r="I532" s="48">
        <v>45651</v>
      </c>
      <c r="J532" s="42">
        <v>10.360742568969727</v>
      </c>
      <c r="K532" s="42">
        <v>10.513825416564941</v>
      </c>
      <c r="L532" s="44">
        <v>1266510080</v>
      </c>
      <c r="M532" s="44">
        <v>1146262656</v>
      </c>
      <c r="N532" s="46">
        <f t="shared" si="52"/>
        <v>1206386368</v>
      </c>
      <c r="O532" s="46">
        <f t="shared" si="53"/>
        <v>85027768.930614009</v>
      </c>
      <c r="P532" s="46">
        <f t="shared" si="54"/>
        <v>7.0481374115306661</v>
      </c>
      <c r="Q532" s="66">
        <f t="shared" si="55"/>
        <v>84447045760</v>
      </c>
    </row>
    <row r="533" spans="1:17">
      <c r="A533" s="32">
        <v>16</v>
      </c>
      <c r="B533" s="32">
        <v>670</v>
      </c>
      <c r="C533" s="81">
        <v>22</v>
      </c>
      <c r="D533" s="36" t="s">
        <v>1538</v>
      </c>
      <c r="E533" s="37">
        <v>45334</v>
      </c>
      <c r="F533" s="38" t="s">
        <v>1495</v>
      </c>
      <c r="G533" s="40" t="s">
        <v>1562</v>
      </c>
      <c r="H533" s="36" t="s">
        <v>1520</v>
      </c>
      <c r="I533" s="48">
        <v>45652</v>
      </c>
      <c r="J533" s="42">
        <v>11.213201522827148</v>
      </c>
      <c r="K533" s="42">
        <v>11.294681549072266</v>
      </c>
      <c r="L533" s="44">
        <v>726693440</v>
      </c>
      <c r="M533" s="44">
        <v>689114368</v>
      </c>
      <c r="N533" s="46">
        <f t="shared" si="52"/>
        <v>707903904</v>
      </c>
      <c r="O533" s="46">
        <f t="shared" si="53"/>
        <v>26572416.641897514</v>
      </c>
      <c r="P533" s="46">
        <f t="shared" si="54"/>
        <v>3.7536756743041662</v>
      </c>
      <c r="Q533" s="66">
        <f t="shared" si="55"/>
        <v>49553273280</v>
      </c>
    </row>
    <row r="534" spans="1:17">
      <c r="A534" s="32">
        <v>16</v>
      </c>
      <c r="B534" s="32">
        <v>680</v>
      </c>
      <c r="C534" s="81">
        <v>23</v>
      </c>
      <c r="D534" s="36" t="s">
        <v>1539</v>
      </c>
      <c r="E534" s="37">
        <v>45369</v>
      </c>
      <c r="F534" s="38" t="s">
        <v>1495</v>
      </c>
      <c r="G534" s="40" t="s">
        <v>1563</v>
      </c>
      <c r="H534" s="36" t="s">
        <v>1520</v>
      </c>
      <c r="I534" s="48">
        <v>45653</v>
      </c>
      <c r="J534" s="42">
        <v>11.360137939453125</v>
      </c>
      <c r="K534" s="42">
        <v>11.406368255615234</v>
      </c>
      <c r="L534" s="44">
        <v>660337920</v>
      </c>
      <c r="M534" s="44">
        <v>640740864</v>
      </c>
      <c r="N534" s="46">
        <f t="shared" si="52"/>
        <v>650539392</v>
      </c>
      <c r="O534" s="46">
        <f t="shared" si="53"/>
        <v>13857211.188892519</v>
      </c>
      <c r="P534" s="46">
        <f t="shared" si="54"/>
        <v>2.1301110062359636</v>
      </c>
      <c r="Q534" s="66">
        <f t="shared" si="55"/>
        <v>45537757440</v>
      </c>
    </row>
    <row r="535" spans="1:17">
      <c r="A535" s="32">
        <v>16</v>
      </c>
      <c r="B535" s="32">
        <v>690</v>
      </c>
      <c r="C535" s="81">
        <v>24</v>
      </c>
      <c r="D535" s="36" t="s">
        <v>1540</v>
      </c>
      <c r="E535" s="37">
        <v>45404</v>
      </c>
      <c r="F535" s="38" t="s">
        <v>1495</v>
      </c>
      <c r="G535" s="40" t="s">
        <v>1564</v>
      </c>
      <c r="H535" s="36" t="s">
        <v>1520</v>
      </c>
      <c r="I535" s="48">
        <v>45654</v>
      </c>
      <c r="J535" s="42">
        <v>12.244077682495117</v>
      </c>
      <c r="K535" s="42">
        <v>12.038273811340332</v>
      </c>
      <c r="L535" s="44">
        <v>371192640</v>
      </c>
      <c r="M535" s="44">
        <v>424467680</v>
      </c>
      <c r="N535" s="46">
        <f t="shared" si="52"/>
        <v>397830160</v>
      </c>
      <c r="O535" s="46">
        <f t="shared" si="53"/>
        <v>37671142.051984563</v>
      </c>
      <c r="P535" s="46">
        <f t="shared" si="54"/>
        <v>9.4691518742532139</v>
      </c>
      <c r="Q535" s="66">
        <f t="shared" si="55"/>
        <v>27848111200</v>
      </c>
    </row>
    <row r="536" spans="1:17">
      <c r="D536" s="36"/>
      <c r="E536" s="37"/>
      <c r="F536" s="38"/>
      <c r="G536" s="40"/>
      <c r="H536" s="71"/>
      <c r="Q536" s="66"/>
    </row>
    <row r="537" spans="1:17">
      <c r="D537" s="36"/>
      <c r="E537" s="37"/>
      <c r="F537" s="38"/>
      <c r="G537" s="40"/>
      <c r="H537" s="71"/>
      <c r="Q537" s="66"/>
    </row>
    <row r="538" spans="1:17">
      <c r="D538" s="36"/>
      <c r="E538" s="37"/>
      <c r="F538" s="38"/>
      <c r="G538" s="40"/>
      <c r="H538" s="71"/>
      <c r="Q538" s="66"/>
    </row>
    <row r="539" spans="1:17">
      <c r="D539" s="36"/>
      <c r="E539" s="37"/>
      <c r="F539" s="38"/>
      <c r="G539" s="40"/>
      <c r="H539" s="71"/>
      <c r="Q539" s="66"/>
    </row>
    <row r="540" spans="1:17">
      <c r="D540" s="36"/>
      <c r="E540" s="37"/>
      <c r="F540" s="38"/>
      <c r="G540" s="40"/>
      <c r="H540" s="71"/>
      <c r="Q540" s="66"/>
    </row>
    <row r="541" spans="1:17">
      <c r="D541" s="36"/>
      <c r="E541" s="37"/>
      <c r="F541" s="38"/>
      <c r="G541" s="40"/>
      <c r="H541" s="71"/>
      <c r="Q541" s="66"/>
    </row>
    <row r="542" spans="1:17">
      <c r="D542" s="36"/>
      <c r="E542" s="37"/>
      <c r="F542" s="38"/>
      <c r="G542" s="40"/>
      <c r="H542" s="71"/>
      <c r="Q542" s="66"/>
    </row>
    <row r="543" spans="1:17">
      <c r="D543" s="36"/>
      <c r="E543" s="37"/>
      <c r="F543" s="38"/>
      <c r="G543" s="40"/>
      <c r="H543" s="71"/>
      <c r="Q543" s="66"/>
    </row>
    <row r="544" spans="1:17">
      <c r="D544" s="36"/>
      <c r="E544" s="37"/>
      <c r="F544" s="38"/>
      <c r="G544" s="40"/>
      <c r="H544" s="71"/>
      <c r="Q544" s="66"/>
    </row>
    <row r="545" spans="1:17">
      <c r="D545" s="36"/>
      <c r="E545" s="37"/>
      <c r="F545" s="38"/>
      <c r="G545" s="40"/>
      <c r="H545" s="71"/>
      <c r="Q545" s="66"/>
    </row>
    <row r="546" spans="1:17">
      <c r="D546" s="36"/>
      <c r="E546" s="37"/>
      <c r="F546" s="38"/>
      <c r="G546" s="40"/>
      <c r="H546" s="71"/>
      <c r="Q546" s="66"/>
    </row>
    <row r="547" spans="1:17">
      <c r="D547" s="36"/>
      <c r="E547" s="37"/>
      <c r="F547" s="38"/>
      <c r="G547" s="40"/>
      <c r="H547" s="71"/>
      <c r="Q547" s="66"/>
    </row>
    <row r="548" spans="1:17">
      <c r="D548" s="36"/>
      <c r="E548" s="37"/>
      <c r="F548" s="38"/>
      <c r="G548" s="40"/>
      <c r="H548" s="71"/>
      <c r="Q548" s="66"/>
    </row>
    <row r="549" spans="1:17">
      <c r="D549" s="36"/>
      <c r="E549" s="37"/>
      <c r="F549" s="38"/>
      <c r="G549" s="40"/>
      <c r="H549" s="71"/>
      <c r="Q549" s="66"/>
    </row>
    <row r="550" spans="1:17">
      <c r="D550" s="36"/>
      <c r="E550" s="37"/>
      <c r="F550" s="38"/>
      <c r="G550" s="40"/>
      <c r="H550" s="71"/>
      <c r="Q550" s="66"/>
    </row>
    <row r="551" spans="1:17">
      <c r="D551" s="36"/>
      <c r="E551" s="37"/>
      <c r="F551" s="38"/>
      <c r="G551" s="40"/>
      <c r="H551" s="71"/>
      <c r="Q551" s="66"/>
    </row>
    <row r="552" spans="1:17">
      <c r="D552" s="36"/>
      <c r="E552" s="37"/>
      <c r="F552" s="38"/>
      <c r="G552" s="40"/>
      <c r="H552" s="71"/>
      <c r="Q552" s="66"/>
    </row>
    <row r="553" spans="1:17">
      <c r="D553" s="36"/>
      <c r="E553" s="37"/>
      <c r="F553" s="38"/>
      <c r="G553" s="40"/>
      <c r="H553" s="71"/>
      <c r="Q553" s="66"/>
    </row>
    <row r="554" spans="1:17">
      <c r="A554" s="32" t="s">
        <v>782</v>
      </c>
      <c r="B554" s="32">
        <v>10</v>
      </c>
      <c r="C554" s="81">
        <v>1</v>
      </c>
      <c r="D554" s="62" t="s">
        <v>708</v>
      </c>
      <c r="E554" s="63">
        <v>41446</v>
      </c>
      <c r="F554" s="61" t="s">
        <v>744</v>
      </c>
      <c r="G554" s="48">
        <v>42009</v>
      </c>
      <c r="H554" s="29"/>
      <c r="I554" s="48">
        <v>42233</v>
      </c>
      <c r="J554" s="42">
        <v>16.676225662231445</v>
      </c>
      <c r="K554" s="42">
        <v>16.737689971923828</v>
      </c>
      <c r="L554" s="42">
        <v>588689.375</v>
      </c>
      <c r="M554" s="42">
        <v>566205.875</v>
      </c>
    </row>
    <row r="555" spans="1:17">
      <c r="A555" s="32" t="s">
        <v>782</v>
      </c>
      <c r="B555" s="32">
        <v>10</v>
      </c>
      <c r="C555" s="81">
        <v>2</v>
      </c>
      <c r="D555" s="62" t="s">
        <v>709</v>
      </c>
      <c r="E555" s="63">
        <v>41446</v>
      </c>
      <c r="F555" s="61" t="s">
        <v>744</v>
      </c>
      <c r="G555" s="48">
        <v>42009</v>
      </c>
      <c r="H555" s="29"/>
      <c r="I555" s="48">
        <v>42233</v>
      </c>
      <c r="J555" s="42">
        <v>12.830417633056641</v>
      </c>
      <c r="K555" s="42">
        <v>13.234954833984375</v>
      </c>
      <c r="L555" s="42">
        <v>6730616</v>
      </c>
      <c r="M555" s="42">
        <v>5208911.5</v>
      </c>
    </row>
    <row r="556" spans="1:17">
      <c r="A556" s="32" t="s">
        <v>782</v>
      </c>
      <c r="B556" s="32">
        <v>10</v>
      </c>
      <c r="C556" s="81">
        <v>3</v>
      </c>
      <c r="D556" s="62" t="s">
        <v>710</v>
      </c>
      <c r="E556" s="63">
        <v>41446</v>
      </c>
      <c r="F556" s="61" t="s">
        <v>744</v>
      </c>
      <c r="G556" s="48">
        <v>42009</v>
      </c>
      <c r="H556" s="29"/>
      <c r="I556" s="48">
        <v>42233</v>
      </c>
      <c r="J556" s="42">
        <v>12.406045913696289</v>
      </c>
      <c r="K556" s="42">
        <v>12.535224914550781</v>
      </c>
      <c r="L556" s="42">
        <v>8806839</v>
      </c>
      <c r="M556" s="42">
        <v>8114778.5</v>
      </c>
    </row>
    <row r="557" spans="1:17">
      <c r="A557" s="32" t="s">
        <v>782</v>
      </c>
      <c r="B557" s="32">
        <v>10</v>
      </c>
      <c r="C557" s="81">
        <v>4</v>
      </c>
      <c r="D557" s="62" t="s">
        <v>711</v>
      </c>
      <c r="E557" s="63">
        <v>41446</v>
      </c>
      <c r="F557" s="61" t="s">
        <v>744</v>
      </c>
      <c r="G557" s="48">
        <v>42009</v>
      </c>
      <c r="H557" s="29"/>
      <c r="I557" s="48">
        <v>42233</v>
      </c>
      <c r="J557" s="42">
        <v>11.147954940795898</v>
      </c>
      <c r="K557" s="42">
        <v>11.109399795532227</v>
      </c>
      <c r="L557" s="42">
        <v>19542586</v>
      </c>
      <c r="M557" s="42">
        <v>20025824</v>
      </c>
    </row>
    <row r="558" spans="1:17">
      <c r="A558" s="32" t="s">
        <v>782</v>
      </c>
      <c r="B558" s="32">
        <v>30</v>
      </c>
      <c r="C558" s="81">
        <v>5</v>
      </c>
      <c r="D558" s="62" t="s">
        <v>712</v>
      </c>
      <c r="E558" s="63">
        <v>41516</v>
      </c>
      <c r="F558" s="61" t="s">
        <v>744</v>
      </c>
      <c r="G558" s="48">
        <v>42009</v>
      </c>
      <c r="H558" s="29"/>
      <c r="I558" s="48">
        <v>42233</v>
      </c>
      <c r="J558" s="42">
        <v>10.172945022583008</v>
      </c>
      <c r="K558" s="42">
        <v>10.41265869140625</v>
      </c>
      <c r="L558" s="42">
        <v>36245544</v>
      </c>
      <c r="M558" s="42">
        <v>31138504</v>
      </c>
    </row>
    <row r="559" spans="1:17">
      <c r="A559" s="32" t="s">
        <v>782</v>
      </c>
      <c r="B559" s="32">
        <v>30</v>
      </c>
      <c r="C559" s="81">
        <v>6</v>
      </c>
      <c r="D559" s="62" t="s">
        <v>713</v>
      </c>
      <c r="E559" s="63">
        <v>41516</v>
      </c>
      <c r="F559" s="61" t="s">
        <v>744</v>
      </c>
      <c r="G559" s="48">
        <v>42009</v>
      </c>
      <c r="H559" s="29"/>
      <c r="I559" s="48">
        <v>42233</v>
      </c>
      <c r="J559" s="42">
        <v>10.22599983215332</v>
      </c>
      <c r="K559" s="42">
        <v>10.498044013977051</v>
      </c>
      <c r="L559" s="42">
        <v>35047468</v>
      </c>
      <c r="M559" s="42">
        <v>29498782</v>
      </c>
    </row>
    <row r="560" spans="1:17">
      <c r="A560" s="32" t="s">
        <v>782</v>
      </c>
      <c r="B560" s="32">
        <v>30</v>
      </c>
      <c r="C560" s="81">
        <v>7</v>
      </c>
      <c r="D560" s="62" t="s">
        <v>714</v>
      </c>
      <c r="E560" s="63">
        <v>41516</v>
      </c>
      <c r="F560" s="61" t="s">
        <v>744</v>
      </c>
      <c r="G560" s="48">
        <v>42009</v>
      </c>
      <c r="H560" s="29"/>
      <c r="I560" s="48">
        <v>42233</v>
      </c>
      <c r="J560" s="42">
        <v>9.9620504379272461</v>
      </c>
      <c r="K560" s="42">
        <v>9.537785530090332</v>
      </c>
      <c r="L560" s="42">
        <v>41426856</v>
      </c>
      <c r="M560" s="42">
        <v>54202316</v>
      </c>
    </row>
    <row r="561" spans="1:13">
      <c r="A561" s="32" t="s">
        <v>782</v>
      </c>
      <c r="B561" s="32">
        <v>30</v>
      </c>
      <c r="C561" s="81">
        <v>8</v>
      </c>
      <c r="D561" s="62" t="s">
        <v>715</v>
      </c>
      <c r="E561" s="63">
        <v>41516</v>
      </c>
      <c r="F561" s="61" t="s">
        <v>744</v>
      </c>
      <c r="G561" s="48">
        <v>42009</v>
      </c>
      <c r="H561" s="29"/>
      <c r="I561" s="48">
        <v>42233</v>
      </c>
      <c r="J561" s="42">
        <v>9.1189050674438477</v>
      </c>
      <c r="K561" s="42">
        <v>9.1585865020751953</v>
      </c>
      <c r="L561" s="42">
        <v>70676040</v>
      </c>
      <c r="M561" s="42">
        <v>68921376</v>
      </c>
    </row>
    <row r="562" spans="1:13">
      <c r="A562" s="32" t="s">
        <v>782</v>
      </c>
      <c r="B562" s="32">
        <v>50</v>
      </c>
      <c r="C562" s="81">
        <v>9</v>
      </c>
      <c r="D562" s="62" t="s">
        <v>716</v>
      </c>
      <c r="E562" s="63">
        <v>41586</v>
      </c>
      <c r="F562" s="61" t="s">
        <v>744</v>
      </c>
      <c r="G562" s="48">
        <v>42009</v>
      </c>
      <c r="H562" s="29"/>
      <c r="I562" s="48">
        <v>42233</v>
      </c>
      <c r="J562" s="42">
        <v>11.858466148376465</v>
      </c>
      <c r="K562" s="42">
        <v>11.933917045593262</v>
      </c>
      <c r="L562" s="42">
        <v>12459077</v>
      </c>
      <c r="M562" s="42">
        <v>11877517</v>
      </c>
    </row>
    <row r="563" spans="1:13">
      <c r="A563" s="32" t="s">
        <v>782</v>
      </c>
      <c r="B563" s="32">
        <v>50</v>
      </c>
      <c r="C563" s="81">
        <v>10</v>
      </c>
      <c r="D563" s="62" t="s">
        <v>717</v>
      </c>
      <c r="E563" s="63">
        <v>41586</v>
      </c>
      <c r="F563" s="61" t="s">
        <v>744</v>
      </c>
      <c r="G563" s="48">
        <v>42009</v>
      </c>
      <c r="H563" s="29"/>
      <c r="I563" s="48">
        <v>42233</v>
      </c>
      <c r="J563" s="42">
        <v>11.655024528503418</v>
      </c>
      <c r="K563" s="42">
        <v>11.789381980895996</v>
      </c>
      <c r="L563" s="44">
        <v>14173025</v>
      </c>
      <c r="M563" s="44">
        <v>13016502</v>
      </c>
    </row>
    <row r="564" spans="1:13">
      <c r="A564" s="32" t="s">
        <v>782</v>
      </c>
      <c r="B564" s="32">
        <v>50</v>
      </c>
      <c r="C564" s="81">
        <v>11</v>
      </c>
      <c r="D564" s="62" t="s">
        <v>718</v>
      </c>
      <c r="E564" s="63">
        <v>41586</v>
      </c>
      <c r="F564" s="61" t="s">
        <v>744</v>
      </c>
      <c r="G564" s="48">
        <v>42009</v>
      </c>
      <c r="H564" s="29"/>
      <c r="I564" s="48">
        <v>42233</v>
      </c>
      <c r="J564" s="42">
        <v>10.544136047363281</v>
      </c>
      <c r="K564" s="42">
        <v>10.929272651672363</v>
      </c>
      <c r="L564" s="44">
        <v>28649822</v>
      </c>
      <c r="M564" s="44">
        <v>22446682</v>
      </c>
    </row>
    <row r="565" spans="1:13">
      <c r="A565" s="32" t="s">
        <v>782</v>
      </c>
      <c r="B565" s="32">
        <v>50</v>
      </c>
      <c r="C565" s="81">
        <v>12</v>
      </c>
      <c r="D565" s="62" t="s">
        <v>719</v>
      </c>
      <c r="E565" s="63">
        <v>41586</v>
      </c>
      <c r="F565" s="61" t="s">
        <v>744</v>
      </c>
      <c r="G565" s="48">
        <v>42009</v>
      </c>
      <c r="H565" s="29"/>
      <c r="I565" s="48">
        <v>42233</v>
      </c>
      <c r="J565" s="42">
        <v>10.402498245239258</v>
      </c>
      <c r="K565" s="42">
        <v>10.397260665893555</v>
      </c>
      <c r="L565" s="44">
        <v>31339594</v>
      </c>
      <c r="M565" s="44">
        <v>31443760</v>
      </c>
    </row>
    <row r="566" spans="1:13">
      <c r="A566" s="32" t="s">
        <v>782</v>
      </c>
      <c r="B566" s="32">
        <v>70</v>
      </c>
      <c r="C566" s="81">
        <v>13</v>
      </c>
      <c r="D566" s="62" t="s">
        <v>720</v>
      </c>
      <c r="E566" s="63">
        <v>41684</v>
      </c>
      <c r="F566" s="61" t="s">
        <v>744</v>
      </c>
      <c r="G566" s="48">
        <v>42009</v>
      </c>
      <c r="H566" s="29"/>
      <c r="I566" s="48">
        <v>42233</v>
      </c>
      <c r="J566" s="42">
        <v>11.250583648681641</v>
      </c>
      <c r="K566" s="42">
        <v>11.472742080688477</v>
      </c>
      <c r="L566" s="44">
        <v>18312342</v>
      </c>
      <c r="M566" s="44">
        <v>15908063</v>
      </c>
    </row>
    <row r="567" spans="1:13">
      <c r="A567" s="32" t="s">
        <v>782</v>
      </c>
      <c r="B567" s="32">
        <v>70</v>
      </c>
      <c r="C567" s="81">
        <v>14</v>
      </c>
      <c r="D567" s="62" t="s">
        <v>721</v>
      </c>
      <c r="E567" s="63">
        <v>41684</v>
      </c>
      <c r="F567" s="61" t="s">
        <v>744</v>
      </c>
      <c r="G567" s="48">
        <v>42009</v>
      </c>
      <c r="H567" s="29"/>
      <c r="I567" s="48">
        <v>42233</v>
      </c>
      <c r="J567" s="42">
        <v>11.175693511962891</v>
      </c>
      <c r="K567" s="42">
        <v>11.104915618896484</v>
      </c>
      <c r="L567" s="44">
        <v>19202148</v>
      </c>
      <c r="M567" s="44">
        <v>20082798</v>
      </c>
    </row>
    <row r="568" spans="1:13">
      <c r="A568" s="32" t="s">
        <v>782</v>
      </c>
      <c r="B568" s="32">
        <v>70</v>
      </c>
      <c r="C568" s="81">
        <v>15</v>
      </c>
      <c r="D568" s="62" t="s">
        <v>722</v>
      </c>
      <c r="E568" s="63">
        <v>41684</v>
      </c>
      <c r="F568" s="61" t="s">
        <v>744</v>
      </c>
      <c r="G568" s="48">
        <v>42009</v>
      </c>
      <c r="H568" s="29"/>
      <c r="I568" s="48">
        <v>42233</v>
      </c>
      <c r="J568" s="42">
        <v>9.5331315994262695</v>
      </c>
      <c r="K568" s="42">
        <v>10.184785842895508</v>
      </c>
      <c r="L568" s="44">
        <v>54362368</v>
      </c>
      <c r="M568" s="44">
        <v>35974656</v>
      </c>
    </row>
    <row r="569" spans="1:13">
      <c r="A569" s="32" t="s">
        <v>782</v>
      </c>
      <c r="B569" s="32">
        <v>70</v>
      </c>
      <c r="C569" s="81">
        <v>16</v>
      </c>
      <c r="D569" s="62" t="s">
        <v>723</v>
      </c>
      <c r="E569" s="63">
        <v>41684</v>
      </c>
      <c r="F569" s="61" t="s">
        <v>744</v>
      </c>
      <c r="G569" s="48">
        <v>42009</v>
      </c>
      <c r="H569" s="29"/>
      <c r="I569" s="48">
        <v>42233</v>
      </c>
      <c r="J569" s="42">
        <v>9.5807018280029297</v>
      </c>
      <c r="K569" s="42">
        <v>9.6120014190673828</v>
      </c>
      <c r="L569" s="44">
        <v>52748424</v>
      </c>
      <c r="M569" s="44">
        <v>51712728</v>
      </c>
    </row>
    <row r="570" spans="1:13">
      <c r="A570" s="32" t="s">
        <v>782</v>
      </c>
      <c r="B570" s="32">
        <v>90</v>
      </c>
      <c r="C570" s="81">
        <v>17</v>
      </c>
      <c r="D570" s="62" t="s">
        <v>724</v>
      </c>
      <c r="E570" s="63">
        <v>41754</v>
      </c>
      <c r="F570" s="61" t="s">
        <v>744</v>
      </c>
      <c r="G570" s="48">
        <v>42009</v>
      </c>
      <c r="H570" s="29"/>
      <c r="I570" s="48">
        <v>42233</v>
      </c>
      <c r="J570" s="42">
        <v>9.9614839553833008</v>
      </c>
      <c r="K570" s="42">
        <v>10.123801231384277</v>
      </c>
      <c r="L570" s="44">
        <v>41441724</v>
      </c>
      <c r="M570" s="44">
        <v>37391808</v>
      </c>
    </row>
    <row r="571" spans="1:13">
      <c r="A571" s="32" t="s">
        <v>782</v>
      </c>
      <c r="B571" s="32">
        <v>90</v>
      </c>
      <c r="C571" s="81">
        <v>18</v>
      </c>
      <c r="D571" s="62" t="s">
        <v>725</v>
      </c>
      <c r="E571" s="63">
        <v>41754</v>
      </c>
      <c r="F571" s="61" t="s">
        <v>744</v>
      </c>
      <c r="G571" s="48">
        <v>42009</v>
      </c>
      <c r="H571" s="29"/>
      <c r="I571" s="48">
        <v>42233</v>
      </c>
      <c r="J571" s="42">
        <v>8.8425922393798828</v>
      </c>
      <c r="K571" s="42">
        <v>8.9373836517333984</v>
      </c>
      <c r="L571" s="44">
        <v>84197520</v>
      </c>
      <c r="M571" s="44">
        <v>79289848</v>
      </c>
    </row>
    <row r="572" spans="1:13">
      <c r="A572" s="32" t="s">
        <v>782</v>
      </c>
      <c r="B572" s="32">
        <v>90</v>
      </c>
      <c r="C572" s="81">
        <v>19</v>
      </c>
      <c r="D572" s="62" t="s">
        <v>726</v>
      </c>
      <c r="E572" s="63">
        <v>41754</v>
      </c>
      <c r="F572" s="61" t="s">
        <v>744</v>
      </c>
      <c r="G572" s="48">
        <v>42009</v>
      </c>
      <c r="H572" s="29"/>
      <c r="I572" s="48">
        <v>42233</v>
      </c>
      <c r="J572" s="42">
        <v>9.8549985885620117</v>
      </c>
      <c r="K572" s="42">
        <v>10.133753776550293</v>
      </c>
      <c r="L572" s="44">
        <v>44334020</v>
      </c>
      <c r="M572" s="44">
        <v>37156776</v>
      </c>
    </row>
    <row r="573" spans="1:13">
      <c r="A573" s="32" t="s">
        <v>782</v>
      </c>
      <c r="B573" s="32">
        <v>90</v>
      </c>
      <c r="C573" s="81">
        <v>20</v>
      </c>
      <c r="D573" s="62" t="s">
        <v>727</v>
      </c>
      <c r="E573" s="63">
        <v>41754</v>
      </c>
      <c r="F573" s="61" t="s">
        <v>744</v>
      </c>
      <c r="G573" s="48">
        <v>42009</v>
      </c>
      <c r="H573" s="29"/>
      <c r="I573" s="48">
        <v>42233</v>
      </c>
      <c r="J573" s="42">
        <v>9.0540266036987305</v>
      </c>
      <c r="K573" s="42">
        <v>9.1301746368408203</v>
      </c>
      <c r="L573" s="44">
        <v>73641640</v>
      </c>
      <c r="M573" s="44">
        <v>70173224</v>
      </c>
    </row>
    <row r="574" spans="1:13">
      <c r="A574" s="32" t="s">
        <v>782</v>
      </c>
      <c r="B574" s="32">
        <v>110</v>
      </c>
      <c r="C574" s="81">
        <v>21</v>
      </c>
      <c r="D574" s="62" t="s">
        <v>728</v>
      </c>
      <c r="E574" s="63">
        <v>41865</v>
      </c>
      <c r="F574" s="61" t="s">
        <v>744</v>
      </c>
      <c r="G574" s="48">
        <v>42009</v>
      </c>
      <c r="H574" s="29"/>
      <c r="I574" s="48">
        <v>42233</v>
      </c>
      <c r="J574" s="42">
        <v>9.5052499771118164</v>
      </c>
      <c r="K574" s="42">
        <v>9.4936990737915039</v>
      </c>
      <c r="L574" s="44">
        <v>55331184</v>
      </c>
      <c r="M574" s="44">
        <v>55737588</v>
      </c>
    </row>
    <row r="575" spans="1:13">
      <c r="A575" s="32" t="s">
        <v>782</v>
      </c>
      <c r="B575" s="32">
        <v>110</v>
      </c>
      <c r="C575" s="81">
        <v>22</v>
      </c>
      <c r="D575" s="62" t="s">
        <v>729</v>
      </c>
      <c r="E575" s="63">
        <v>41865</v>
      </c>
      <c r="F575" s="61" t="s">
        <v>744</v>
      </c>
      <c r="G575" s="48">
        <v>42009</v>
      </c>
      <c r="H575" s="29"/>
      <c r="I575" s="48">
        <v>42233</v>
      </c>
      <c r="J575" s="42">
        <v>9.1608953475952148</v>
      </c>
      <c r="K575" s="42">
        <v>9.6079196929931641</v>
      </c>
      <c r="L575" s="44">
        <v>68820632</v>
      </c>
      <c r="M575" s="44">
        <v>51846632</v>
      </c>
    </row>
    <row r="576" spans="1:13">
      <c r="A576" s="32" t="s">
        <v>782</v>
      </c>
      <c r="B576" s="32">
        <v>110</v>
      </c>
      <c r="C576" s="81">
        <v>23</v>
      </c>
      <c r="D576" s="62" t="s">
        <v>730</v>
      </c>
      <c r="E576" s="63">
        <v>41865</v>
      </c>
      <c r="F576" s="61" t="s">
        <v>744</v>
      </c>
      <c r="G576" s="48">
        <v>42009</v>
      </c>
      <c r="H576" s="29"/>
      <c r="I576" s="48">
        <v>42233</v>
      </c>
      <c r="J576" s="42">
        <v>9.567561149597168</v>
      </c>
      <c r="K576" s="42">
        <v>9.8861370086669922</v>
      </c>
      <c r="L576" s="44">
        <v>53189404</v>
      </c>
      <c r="M576" s="44">
        <v>43467976</v>
      </c>
    </row>
    <row r="577" spans="1:13">
      <c r="A577" s="32" t="s">
        <v>782</v>
      </c>
      <c r="B577" s="32">
        <v>110</v>
      </c>
      <c r="C577" s="81">
        <v>24</v>
      </c>
      <c r="D577" s="62" t="s">
        <v>731</v>
      </c>
      <c r="E577" s="63">
        <v>41865</v>
      </c>
      <c r="F577" s="61" t="s">
        <v>744</v>
      </c>
      <c r="G577" s="48">
        <v>42009</v>
      </c>
      <c r="H577" s="29"/>
      <c r="I577" s="48">
        <v>42233</v>
      </c>
      <c r="J577" s="42">
        <v>8.9187641143798828</v>
      </c>
      <c r="K577" s="42">
        <v>9.149775505065918</v>
      </c>
      <c r="L577" s="44">
        <v>80230728</v>
      </c>
      <c r="M577" s="44">
        <v>69307184</v>
      </c>
    </row>
    <row r="578" spans="1:13">
      <c r="A578" s="32" t="s">
        <v>782</v>
      </c>
      <c r="B578" s="32">
        <v>20</v>
      </c>
      <c r="C578" s="81">
        <v>25</v>
      </c>
      <c r="D578" s="62" t="s">
        <v>732</v>
      </c>
      <c r="E578" s="63">
        <v>41481</v>
      </c>
      <c r="F578" s="61" t="s">
        <v>744</v>
      </c>
      <c r="G578" s="48">
        <v>42009</v>
      </c>
      <c r="H578" s="29"/>
      <c r="I578" s="48">
        <v>42233</v>
      </c>
      <c r="J578" s="42">
        <v>10.236974716186523</v>
      </c>
      <c r="K578" s="42">
        <v>10.211358070373535</v>
      </c>
      <c r="L578" s="44">
        <v>34804624</v>
      </c>
      <c r="M578" s="44">
        <v>35374092</v>
      </c>
    </row>
    <row r="579" spans="1:13">
      <c r="A579" s="32" t="s">
        <v>782</v>
      </c>
      <c r="B579" s="32">
        <v>20</v>
      </c>
      <c r="C579" s="81">
        <v>26</v>
      </c>
      <c r="D579" s="62" t="s">
        <v>733</v>
      </c>
      <c r="E579" s="63">
        <v>41481</v>
      </c>
      <c r="F579" s="61" t="s">
        <v>744</v>
      </c>
      <c r="G579" s="48">
        <v>42009</v>
      </c>
      <c r="H579" s="29"/>
      <c r="I579" s="48">
        <v>42233</v>
      </c>
      <c r="J579" s="42">
        <v>10.080732345581055</v>
      </c>
      <c r="K579" s="42">
        <v>10.347537994384766</v>
      </c>
      <c r="L579" s="44">
        <v>38426144</v>
      </c>
      <c r="M579" s="44">
        <v>32450068</v>
      </c>
    </row>
    <row r="580" spans="1:13">
      <c r="A580" s="32" t="s">
        <v>782</v>
      </c>
      <c r="B580" s="32">
        <v>20</v>
      </c>
      <c r="C580" s="81">
        <v>27</v>
      </c>
      <c r="D580" s="62" t="s">
        <v>734</v>
      </c>
      <c r="E580" s="63">
        <v>41481</v>
      </c>
      <c r="F580" s="61" t="s">
        <v>744</v>
      </c>
      <c r="G580" s="48">
        <v>42009</v>
      </c>
      <c r="H580" s="29"/>
      <c r="I580" s="48">
        <v>42233</v>
      </c>
      <c r="J580" s="42">
        <v>8.9883480072021484</v>
      </c>
      <c r="K580" s="42">
        <v>9.3633527755737305</v>
      </c>
      <c r="L580" s="44">
        <v>76770576</v>
      </c>
      <c r="M580" s="44">
        <v>60535868</v>
      </c>
    </row>
    <row r="581" spans="1:13">
      <c r="A581" s="32" t="s">
        <v>782</v>
      </c>
      <c r="B581" s="32">
        <v>20</v>
      </c>
      <c r="C581" s="81">
        <v>28</v>
      </c>
      <c r="D581" s="62" t="s">
        <v>735</v>
      </c>
      <c r="E581" s="63">
        <v>41481</v>
      </c>
      <c r="F581" s="61" t="s">
        <v>744</v>
      </c>
      <c r="G581" s="48">
        <v>42009</v>
      </c>
      <c r="H581" s="29"/>
      <c r="I581" s="48">
        <v>42233</v>
      </c>
      <c r="J581" s="42">
        <v>10.088561058044434</v>
      </c>
      <c r="K581" s="42">
        <v>10.302756309509277</v>
      </c>
      <c r="L581" s="44">
        <v>38236024</v>
      </c>
      <c r="M581" s="44">
        <v>33383912</v>
      </c>
    </row>
    <row r="582" spans="1:13">
      <c r="A582" s="32" t="s">
        <v>782</v>
      </c>
      <c r="B582" s="32">
        <v>40</v>
      </c>
      <c r="C582" s="81">
        <v>29</v>
      </c>
      <c r="D582" s="62" t="s">
        <v>736</v>
      </c>
      <c r="E582" s="63">
        <v>41551</v>
      </c>
      <c r="F582" s="61" t="s">
        <v>744</v>
      </c>
      <c r="G582" s="48">
        <v>42009</v>
      </c>
      <c r="H582" s="29"/>
      <c r="I582" s="48">
        <v>42233</v>
      </c>
      <c r="J582" s="42">
        <v>17.169582366943359</v>
      </c>
      <c r="K582" s="42">
        <v>18.024581909179688</v>
      </c>
      <c r="L582" s="44">
        <v>430665.21875</v>
      </c>
      <c r="M582" s="44">
        <v>250546.234375</v>
      </c>
    </row>
    <row r="583" spans="1:13">
      <c r="A583" s="32" t="s">
        <v>782</v>
      </c>
      <c r="B583" s="32">
        <v>40</v>
      </c>
      <c r="C583" s="81">
        <v>30</v>
      </c>
      <c r="D583" s="62" t="s">
        <v>737</v>
      </c>
      <c r="E583" s="63">
        <v>41551</v>
      </c>
      <c r="F583" s="61" t="s">
        <v>744</v>
      </c>
      <c r="G583" s="48">
        <v>42009</v>
      </c>
      <c r="H583" s="29"/>
      <c r="I583" s="48">
        <v>42233</v>
      </c>
      <c r="J583" s="42">
        <v>17.156112670898438</v>
      </c>
      <c r="K583" s="42">
        <v>17.742267608642578</v>
      </c>
      <c r="L583" s="44">
        <v>434356.125</v>
      </c>
      <c r="M583" s="44">
        <v>299616.875</v>
      </c>
    </row>
    <row r="584" spans="1:13">
      <c r="A584" s="32" t="s">
        <v>782</v>
      </c>
      <c r="B584" s="32">
        <v>40</v>
      </c>
      <c r="C584" s="81">
        <v>31</v>
      </c>
      <c r="D584" s="62" t="s">
        <v>738</v>
      </c>
      <c r="E584" s="63">
        <v>41551</v>
      </c>
      <c r="F584" s="61" t="s">
        <v>744</v>
      </c>
      <c r="G584" s="48">
        <v>42009</v>
      </c>
      <c r="H584" s="29"/>
      <c r="I584" s="48">
        <v>42233</v>
      </c>
      <c r="J584" s="42">
        <v>10.366018295288086</v>
      </c>
      <c r="K584" s="42">
        <v>10.141848564147949</v>
      </c>
      <c r="L584" s="44">
        <v>32072350</v>
      </c>
      <c r="M584" s="44">
        <v>36966708</v>
      </c>
    </row>
    <row r="585" spans="1:13">
      <c r="A585" s="32" t="s">
        <v>782</v>
      </c>
      <c r="B585" s="32">
        <v>40</v>
      </c>
      <c r="C585" s="81">
        <v>32</v>
      </c>
      <c r="D585" s="62" t="s">
        <v>739</v>
      </c>
      <c r="E585" s="63">
        <v>41551</v>
      </c>
      <c r="F585" s="61" t="s">
        <v>744</v>
      </c>
      <c r="G585" s="48">
        <v>42009</v>
      </c>
      <c r="H585" s="29"/>
      <c r="I585" s="48">
        <v>42233</v>
      </c>
      <c r="J585" s="42">
        <v>9.4944906234741211</v>
      </c>
      <c r="K585" s="42">
        <v>9.1899204254150391</v>
      </c>
      <c r="L585" s="44">
        <v>55709644</v>
      </c>
      <c r="M585" s="44">
        <v>67566656</v>
      </c>
    </row>
    <row r="586" spans="1:13">
      <c r="A586" s="32" t="s">
        <v>782</v>
      </c>
      <c r="B586" s="32">
        <v>60</v>
      </c>
      <c r="C586" s="81">
        <v>33</v>
      </c>
      <c r="D586" s="62" t="s">
        <v>740</v>
      </c>
      <c r="E586" s="63">
        <f>E584+3</f>
        <v>41554</v>
      </c>
      <c r="F586" s="61" t="s">
        <v>744</v>
      </c>
      <c r="G586" s="48">
        <v>42009</v>
      </c>
      <c r="H586" s="29"/>
      <c r="I586" s="48">
        <v>42233</v>
      </c>
      <c r="J586" s="42">
        <v>9.9468879699707031</v>
      </c>
      <c r="K586" s="42">
        <v>10.176802635192871</v>
      </c>
      <c r="L586" s="44">
        <v>41826728</v>
      </c>
      <c r="M586" s="44">
        <v>36157068</v>
      </c>
    </row>
    <row r="587" spans="1:13">
      <c r="A587" s="32" t="s">
        <v>782</v>
      </c>
      <c r="B587" s="32">
        <v>60</v>
      </c>
      <c r="C587" s="81">
        <v>34</v>
      </c>
      <c r="D587" s="62" t="s">
        <v>741</v>
      </c>
      <c r="E587" s="63">
        <f>E585+3</f>
        <v>41554</v>
      </c>
      <c r="F587" s="61" t="s">
        <v>744</v>
      </c>
      <c r="G587" s="48">
        <v>42009</v>
      </c>
      <c r="H587" s="29"/>
      <c r="I587" s="48">
        <v>42233</v>
      </c>
      <c r="J587" s="42">
        <v>9.1829328536987305</v>
      </c>
      <c r="K587" s="42">
        <v>9.1611270904541016</v>
      </c>
      <c r="L587" s="44">
        <v>67866440</v>
      </c>
      <c r="M587" s="44">
        <v>68810528</v>
      </c>
    </row>
    <row r="588" spans="1:13">
      <c r="A588" s="32" t="s">
        <v>782</v>
      </c>
      <c r="B588" s="32">
        <v>60</v>
      </c>
      <c r="C588" s="81">
        <v>35</v>
      </c>
      <c r="D588" s="62" t="s">
        <v>742</v>
      </c>
      <c r="E588" s="63">
        <f>E586+3</f>
        <v>41557</v>
      </c>
      <c r="F588" s="61" t="s">
        <v>744</v>
      </c>
      <c r="G588" s="48">
        <v>42009</v>
      </c>
      <c r="H588" s="29"/>
      <c r="I588" s="48">
        <v>42233</v>
      </c>
      <c r="J588" s="42">
        <v>0</v>
      </c>
      <c r="K588" s="42">
        <v>9.8396205902099609</v>
      </c>
      <c r="L588" s="44">
        <v>0</v>
      </c>
      <c r="M588" s="44">
        <v>44768068</v>
      </c>
    </row>
    <row r="589" spans="1:13">
      <c r="A589" s="32" t="s">
        <v>782</v>
      </c>
      <c r="B589" s="32">
        <v>60</v>
      </c>
      <c r="C589" s="81">
        <v>36</v>
      </c>
      <c r="D589" s="62" t="s">
        <v>743</v>
      </c>
      <c r="E589" s="63">
        <f>E587+3</f>
        <v>41557</v>
      </c>
      <c r="F589" s="61" t="s">
        <v>744</v>
      </c>
      <c r="G589" s="48">
        <v>42009</v>
      </c>
      <c r="H589" s="29"/>
      <c r="I589" s="48">
        <v>42233</v>
      </c>
      <c r="J589" s="42">
        <v>10.406538009643555</v>
      </c>
      <c r="K589" s="42">
        <v>10.808236122131348</v>
      </c>
      <c r="L589" s="44">
        <v>31259486</v>
      </c>
      <c r="M589" s="44">
        <v>24235678</v>
      </c>
    </row>
    <row r="590" spans="1:13">
      <c r="A590" s="32" t="s">
        <v>782</v>
      </c>
      <c r="B590" s="32">
        <v>10</v>
      </c>
      <c r="C590" s="81">
        <v>1</v>
      </c>
      <c r="D590" s="62" t="s">
        <v>708</v>
      </c>
      <c r="E590" s="63">
        <v>41446</v>
      </c>
      <c r="F590" s="61" t="s">
        <v>744</v>
      </c>
      <c r="G590" s="48">
        <v>42009</v>
      </c>
      <c r="H590" s="64" t="s">
        <v>745</v>
      </c>
      <c r="I590" s="48">
        <v>42236</v>
      </c>
      <c r="J590" s="42">
        <v>27.356685638427734</v>
      </c>
      <c r="K590" s="42">
        <v>27.054912567138672</v>
      </c>
      <c r="L590" s="44">
        <v>2102.728759765625</v>
      </c>
      <c r="M590" s="44">
        <v>2519.3720703125</v>
      </c>
    </row>
    <row r="591" spans="1:13">
      <c r="A591" s="32" t="s">
        <v>782</v>
      </c>
      <c r="B591" s="32">
        <v>10</v>
      </c>
      <c r="C591" s="81">
        <v>2</v>
      </c>
      <c r="D591" s="62" t="s">
        <v>709</v>
      </c>
      <c r="E591" s="63">
        <v>41446</v>
      </c>
      <c r="F591" s="61" t="s">
        <v>744</v>
      </c>
      <c r="G591" s="48">
        <v>42009</v>
      </c>
      <c r="H591" s="64" t="s">
        <v>745</v>
      </c>
      <c r="I591" s="48">
        <v>42236</v>
      </c>
      <c r="J591" s="42">
        <v>23.041879653930664</v>
      </c>
      <c r="K591" s="42">
        <v>23.323396682739258</v>
      </c>
      <c r="L591" s="44">
        <v>27881.736328125</v>
      </c>
      <c r="M591" s="44">
        <v>23554.86328125</v>
      </c>
    </row>
    <row r="592" spans="1:13">
      <c r="A592" s="32" t="s">
        <v>782</v>
      </c>
      <c r="B592" s="32">
        <v>10</v>
      </c>
      <c r="C592" s="81">
        <v>3</v>
      </c>
      <c r="D592" s="62" t="s">
        <v>710</v>
      </c>
      <c r="E592" s="63">
        <v>41446</v>
      </c>
      <c r="F592" s="61" t="s">
        <v>744</v>
      </c>
      <c r="G592" s="48">
        <v>42009</v>
      </c>
      <c r="H592" s="64" t="s">
        <v>745</v>
      </c>
      <c r="I592" s="48">
        <v>42236</v>
      </c>
      <c r="J592" s="42">
        <v>23.825826644897461</v>
      </c>
      <c r="K592" s="42">
        <v>23.803783416748047</v>
      </c>
      <c r="L592" s="44">
        <v>17432.865234375</v>
      </c>
      <c r="M592" s="44">
        <v>17664.58984375</v>
      </c>
    </row>
    <row r="593" spans="1:13">
      <c r="A593" s="32" t="s">
        <v>782</v>
      </c>
      <c r="B593" s="32">
        <v>10</v>
      </c>
      <c r="C593" s="81">
        <v>4</v>
      </c>
      <c r="D593" s="62" t="s">
        <v>711</v>
      </c>
      <c r="E593" s="63">
        <v>41446</v>
      </c>
      <c r="F593" s="61" t="s">
        <v>744</v>
      </c>
      <c r="G593" s="48">
        <v>42009</v>
      </c>
      <c r="H593" s="64" t="s">
        <v>745</v>
      </c>
      <c r="I593" s="48">
        <v>42236</v>
      </c>
      <c r="J593" s="42">
        <v>22.752214431762695</v>
      </c>
      <c r="K593" s="42">
        <v>23.019407272338867</v>
      </c>
      <c r="L593" s="44">
        <v>33164.91796875</v>
      </c>
      <c r="M593" s="44">
        <v>28259.61328125</v>
      </c>
    </row>
    <row r="594" spans="1:13">
      <c r="A594" s="32" t="s">
        <v>782</v>
      </c>
      <c r="B594" s="32">
        <v>30</v>
      </c>
      <c r="C594" s="81">
        <v>5</v>
      </c>
      <c r="D594" s="62" t="s">
        <v>712</v>
      </c>
      <c r="E594" s="63">
        <v>41516</v>
      </c>
      <c r="F594" s="61" t="s">
        <v>744</v>
      </c>
      <c r="G594" s="48">
        <v>42009</v>
      </c>
      <c r="H594" s="64" t="s">
        <v>745</v>
      </c>
      <c r="I594" s="48">
        <v>42236</v>
      </c>
      <c r="J594" s="42">
        <v>20.416677474975586</v>
      </c>
      <c r="K594" s="42">
        <v>20.088600158691406</v>
      </c>
      <c r="L594" s="44">
        <v>134366.296875</v>
      </c>
      <c r="M594" s="44">
        <v>163547.046875</v>
      </c>
    </row>
    <row r="595" spans="1:13">
      <c r="A595" s="32" t="s">
        <v>782</v>
      </c>
      <c r="B595" s="32">
        <v>30</v>
      </c>
      <c r="C595" s="81">
        <v>6</v>
      </c>
      <c r="D595" s="62" t="s">
        <v>713</v>
      </c>
      <c r="E595" s="63">
        <v>41516</v>
      </c>
      <c r="F595" s="61" t="s">
        <v>744</v>
      </c>
      <c r="G595" s="48">
        <v>42009</v>
      </c>
      <c r="H595" s="64" t="s">
        <v>745</v>
      </c>
      <c r="I595" s="48">
        <v>42236</v>
      </c>
      <c r="J595" s="42">
        <v>20.830272674560547</v>
      </c>
      <c r="K595" s="42">
        <v>20.888399124145508</v>
      </c>
      <c r="L595" s="44">
        <v>104879.296875</v>
      </c>
      <c r="M595" s="44">
        <v>101290.25</v>
      </c>
    </row>
    <row r="596" spans="1:13">
      <c r="A596" s="32" t="s">
        <v>782</v>
      </c>
      <c r="B596" s="32">
        <v>30</v>
      </c>
      <c r="C596" s="81">
        <v>7</v>
      </c>
      <c r="D596" s="62" t="s">
        <v>714</v>
      </c>
      <c r="E596" s="63">
        <v>41516</v>
      </c>
      <c r="F596" s="61" t="s">
        <v>744</v>
      </c>
      <c r="G596" s="48">
        <v>42009</v>
      </c>
      <c r="H596" s="64" t="s">
        <v>745</v>
      </c>
      <c r="I596" s="48">
        <v>42236</v>
      </c>
      <c r="J596" s="42">
        <v>19.1246337890625</v>
      </c>
      <c r="K596" s="42">
        <v>19.237039566040039</v>
      </c>
      <c r="L596" s="44">
        <v>291358.34375</v>
      </c>
      <c r="M596" s="44">
        <v>272385.53125</v>
      </c>
    </row>
    <row r="597" spans="1:13">
      <c r="A597" s="32" t="s">
        <v>782</v>
      </c>
      <c r="B597" s="32">
        <v>30</v>
      </c>
      <c r="C597" s="81">
        <v>8</v>
      </c>
      <c r="D597" s="62" t="s">
        <v>715</v>
      </c>
      <c r="E597" s="63">
        <v>41516</v>
      </c>
      <c r="F597" s="61" t="s">
        <v>744</v>
      </c>
      <c r="G597" s="48">
        <v>42009</v>
      </c>
      <c r="H597" s="64" t="s">
        <v>745</v>
      </c>
      <c r="I597" s="48">
        <v>42236</v>
      </c>
      <c r="J597" s="42">
        <v>20.507040023803711</v>
      </c>
      <c r="K597" s="42">
        <v>20.41356086730957</v>
      </c>
      <c r="L597" s="44">
        <v>127286.3203125</v>
      </c>
      <c r="M597" s="44">
        <v>134617.390625</v>
      </c>
    </row>
    <row r="598" spans="1:13">
      <c r="A598" s="32" t="s">
        <v>782</v>
      </c>
      <c r="B598" s="32">
        <v>50</v>
      </c>
      <c r="C598" s="81">
        <v>9</v>
      </c>
      <c r="D598" s="62" t="s">
        <v>716</v>
      </c>
      <c r="E598" s="63">
        <v>41586</v>
      </c>
      <c r="F598" s="61" t="s">
        <v>744</v>
      </c>
      <c r="G598" s="48">
        <v>42009</v>
      </c>
      <c r="H598" s="64" t="s">
        <v>745</v>
      </c>
      <c r="I598" s="48">
        <v>42236</v>
      </c>
      <c r="J598" s="42">
        <v>21.335931777954102</v>
      </c>
      <c r="K598" s="42">
        <v>21.446537017822266</v>
      </c>
      <c r="L598" s="44">
        <v>77470.7734375</v>
      </c>
      <c r="M598" s="44">
        <v>72504.15625</v>
      </c>
    </row>
    <row r="599" spans="1:13">
      <c r="A599" s="32" t="s">
        <v>782</v>
      </c>
      <c r="B599" s="32">
        <v>50</v>
      </c>
      <c r="C599" s="81">
        <v>10</v>
      </c>
      <c r="D599" s="62" t="s">
        <v>717</v>
      </c>
      <c r="E599" s="63">
        <v>41586</v>
      </c>
      <c r="F599" s="61" t="s">
        <v>744</v>
      </c>
      <c r="G599" s="48">
        <v>42009</v>
      </c>
      <c r="H599" s="64" t="s">
        <v>745</v>
      </c>
      <c r="I599" s="48">
        <v>42236</v>
      </c>
      <c r="J599" s="42">
        <v>21.310020446777344</v>
      </c>
      <c r="K599" s="42">
        <v>21.552656173706055</v>
      </c>
      <c r="L599" s="44">
        <v>78682.6484375</v>
      </c>
      <c r="M599" s="44">
        <v>68038.546875</v>
      </c>
    </row>
    <row r="600" spans="1:13">
      <c r="A600" s="32" t="s">
        <v>782</v>
      </c>
      <c r="B600" s="32">
        <v>50</v>
      </c>
      <c r="C600" s="81">
        <v>11</v>
      </c>
      <c r="D600" s="62" t="s">
        <v>718</v>
      </c>
      <c r="E600" s="63">
        <v>41586</v>
      </c>
      <c r="F600" s="61" t="s">
        <v>744</v>
      </c>
      <c r="G600" s="48">
        <v>42009</v>
      </c>
      <c r="H600" s="64" t="s">
        <v>745</v>
      </c>
      <c r="I600" s="48">
        <v>42236</v>
      </c>
      <c r="J600" s="42">
        <v>21.233425140380859</v>
      </c>
      <c r="K600" s="42">
        <v>20.960441589355469</v>
      </c>
      <c r="L600" s="44">
        <v>82376.9921875</v>
      </c>
      <c r="M600" s="44">
        <v>97011.921875</v>
      </c>
    </row>
    <row r="601" spans="1:13">
      <c r="A601" s="32" t="s">
        <v>782</v>
      </c>
      <c r="B601" s="32">
        <v>50</v>
      </c>
      <c r="C601" s="81">
        <v>12</v>
      </c>
      <c r="D601" s="62" t="s">
        <v>719</v>
      </c>
      <c r="E601" s="63">
        <v>41586</v>
      </c>
      <c r="F601" s="61" t="s">
        <v>744</v>
      </c>
      <c r="G601" s="48">
        <v>42009</v>
      </c>
      <c r="H601" s="64" t="s">
        <v>745</v>
      </c>
      <c r="I601" s="48">
        <v>42236</v>
      </c>
      <c r="J601" s="42">
        <v>20.52916145324707</v>
      </c>
      <c r="K601" s="42">
        <v>20.419818878173828</v>
      </c>
      <c r="L601" s="44">
        <v>125610.6953125</v>
      </c>
      <c r="M601" s="44">
        <v>134113.6875</v>
      </c>
    </row>
    <row r="602" spans="1:13">
      <c r="A602" s="32" t="s">
        <v>782</v>
      </c>
      <c r="B602" s="32">
        <v>70</v>
      </c>
      <c r="C602" s="81">
        <v>13</v>
      </c>
      <c r="D602" s="62" t="s">
        <v>720</v>
      </c>
      <c r="E602" s="63">
        <v>41684</v>
      </c>
      <c r="F602" s="61" t="s">
        <v>744</v>
      </c>
      <c r="G602" s="48">
        <v>42009</v>
      </c>
      <c r="H602" s="64" t="s">
        <v>745</v>
      </c>
      <c r="I602" s="48">
        <v>42236</v>
      </c>
      <c r="J602" s="42">
        <v>21.161159515380859</v>
      </c>
      <c r="K602" s="42">
        <v>21.493917465209961</v>
      </c>
      <c r="L602" s="44">
        <v>86021.3984375</v>
      </c>
      <c r="M602" s="44">
        <v>70475.2265625</v>
      </c>
    </row>
    <row r="603" spans="1:13">
      <c r="A603" s="32" t="s">
        <v>782</v>
      </c>
      <c r="B603" s="32">
        <v>70</v>
      </c>
      <c r="C603" s="81">
        <v>14</v>
      </c>
      <c r="D603" s="62" t="s">
        <v>721</v>
      </c>
      <c r="E603" s="63">
        <v>41684</v>
      </c>
      <c r="F603" s="61" t="s">
        <v>744</v>
      </c>
      <c r="G603" s="48">
        <v>42009</v>
      </c>
      <c r="H603" s="64" t="s">
        <v>745</v>
      </c>
      <c r="I603" s="48">
        <v>42236</v>
      </c>
      <c r="J603" s="42">
        <v>20.993602752685547</v>
      </c>
      <c r="K603" s="42">
        <v>21.146718978881836</v>
      </c>
      <c r="L603" s="44">
        <v>95103.8125</v>
      </c>
      <c r="M603" s="44">
        <v>86768.75</v>
      </c>
    </row>
    <row r="604" spans="1:13">
      <c r="A604" s="32" t="s">
        <v>782</v>
      </c>
      <c r="B604" s="32">
        <v>70</v>
      </c>
      <c r="C604" s="81">
        <v>15</v>
      </c>
      <c r="D604" s="62" t="s">
        <v>722</v>
      </c>
      <c r="E604" s="63">
        <v>41684</v>
      </c>
      <c r="F604" s="61" t="s">
        <v>744</v>
      </c>
      <c r="G604" s="48">
        <v>42009</v>
      </c>
      <c r="H604" s="64" t="s">
        <v>745</v>
      </c>
      <c r="I604" s="48">
        <v>42236</v>
      </c>
      <c r="J604" s="42">
        <v>19.628593444824219</v>
      </c>
      <c r="K604" s="42">
        <v>19.265335083007812</v>
      </c>
      <c r="L604" s="44">
        <v>215435.71875</v>
      </c>
      <c r="M604" s="44">
        <v>267807.46875</v>
      </c>
    </row>
    <row r="605" spans="1:13">
      <c r="A605" s="32" t="s">
        <v>782</v>
      </c>
      <c r="B605" s="32">
        <v>70</v>
      </c>
      <c r="C605" s="81">
        <v>16</v>
      </c>
      <c r="D605" s="62" t="s">
        <v>723</v>
      </c>
      <c r="E605" s="63">
        <v>41684</v>
      </c>
      <c r="F605" s="61" t="s">
        <v>744</v>
      </c>
      <c r="G605" s="48">
        <v>42009</v>
      </c>
      <c r="H605" s="64" t="s">
        <v>745</v>
      </c>
      <c r="I605" s="48">
        <v>42236</v>
      </c>
      <c r="J605" s="42">
        <v>19.102533340454102</v>
      </c>
      <c r="K605" s="42">
        <v>19.998327255249023</v>
      </c>
      <c r="L605" s="44">
        <v>295241.28125</v>
      </c>
      <c r="M605" s="44">
        <v>172634.671875</v>
      </c>
    </row>
    <row r="606" spans="1:13">
      <c r="A606" s="32" t="s">
        <v>782</v>
      </c>
      <c r="B606" s="32">
        <v>90</v>
      </c>
      <c r="C606" s="81">
        <v>17</v>
      </c>
      <c r="D606" s="62" t="s">
        <v>724</v>
      </c>
      <c r="E606" s="63">
        <v>41754</v>
      </c>
      <c r="F606" s="61" t="s">
        <v>744</v>
      </c>
      <c r="G606" s="48">
        <v>42009</v>
      </c>
      <c r="H606" s="64" t="s">
        <v>745</v>
      </c>
      <c r="I606" s="48">
        <v>42236</v>
      </c>
      <c r="J606" s="42">
        <v>19.711763381958008</v>
      </c>
      <c r="K606" s="42">
        <v>20.11320686340332</v>
      </c>
      <c r="L606" s="44">
        <v>204965.265625</v>
      </c>
      <c r="M606" s="44">
        <v>161153.984375</v>
      </c>
    </row>
    <row r="607" spans="1:13">
      <c r="A607" s="32" t="s">
        <v>782</v>
      </c>
      <c r="B607" s="32">
        <v>90</v>
      </c>
      <c r="C607" s="81">
        <v>18</v>
      </c>
      <c r="D607" s="62" t="s">
        <v>725</v>
      </c>
      <c r="E607" s="63">
        <v>41754</v>
      </c>
      <c r="F607" s="61" t="s">
        <v>744</v>
      </c>
      <c r="G607" s="48">
        <v>42009</v>
      </c>
      <c r="H607" s="64" t="s">
        <v>745</v>
      </c>
      <c r="I607" s="48">
        <v>42236</v>
      </c>
      <c r="J607" s="42">
        <v>18.642770767211914</v>
      </c>
      <c r="K607" s="42">
        <v>19.599260330200195</v>
      </c>
      <c r="L607" s="44">
        <v>388855.78125</v>
      </c>
      <c r="M607" s="44">
        <v>219254.734375</v>
      </c>
    </row>
    <row r="608" spans="1:13">
      <c r="A608" s="32" t="s">
        <v>782</v>
      </c>
      <c r="B608" s="32">
        <v>90</v>
      </c>
      <c r="C608" s="81">
        <v>19</v>
      </c>
      <c r="D608" s="62" t="s">
        <v>726</v>
      </c>
      <c r="E608" s="63">
        <v>41754</v>
      </c>
      <c r="F608" s="61" t="s">
        <v>744</v>
      </c>
      <c r="G608" s="48">
        <v>42009</v>
      </c>
      <c r="H608" s="64" t="s">
        <v>745</v>
      </c>
      <c r="I608" s="48">
        <v>42236</v>
      </c>
      <c r="J608" s="42">
        <v>19.626937866210938</v>
      </c>
      <c r="K608" s="42">
        <v>20.448486328125</v>
      </c>
      <c r="L608" s="44">
        <v>215649.484375</v>
      </c>
      <c r="M608" s="44">
        <v>131830.234375</v>
      </c>
    </row>
    <row r="609" spans="1:13">
      <c r="A609" s="32" t="s">
        <v>782</v>
      </c>
      <c r="B609" s="32">
        <v>90</v>
      </c>
      <c r="C609" s="81">
        <v>20</v>
      </c>
      <c r="D609" s="62" t="s">
        <v>727</v>
      </c>
      <c r="E609" s="63">
        <v>41754</v>
      </c>
      <c r="F609" s="61" t="s">
        <v>744</v>
      </c>
      <c r="G609" s="48">
        <v>42009</v>
      </c>
      <c r="H609" s="64" t="s">
        <v>745</v>
      </c>
      <c r="I609" s="48">
        <v>42236</v>
      </c>
      <c r="J609" s="42">
        <v>18.869989395141602</v>
      </c>
      <c r="K609" s="42">
        <v>19.22831916809082</v>
      </c>
      <c r="L609" s="44">
        <v>339371.625</v>
      </c>
      <c r="M609" s="44">
        <v>273812.15625</v>
      </c>
    </row>
    <row r="610" spans="1:13">
      <c r="A610" s="32" t="s">
        <v>782</v>
      </c>
      <c r="B610" s="32">
        <v>110</v>
      </c>
      <c r="C610" s="81">
        <v>21</v>
      </c>
      <c r="D610" s="62" t="s">
        <v>728</v>
      </c>
      <c r="E610" s="63">
        <v>41865</v>
      </c>
      <c r="F610" s="61" t="s">
        <v>744</v>
      </c>
      <c r="G610" s="48">
        <v>42009</v>
      </c>
      <c r="H610" s="64" t="s">
        <v>745</v>
      </c>
      <c r="I610" s="48">
        <v>42236</v>
      </c>
      <c r="J610" s="42">
        <v>19.321201324462891</v>
      </c>
      <c r="K610" s="42">
        <v>19.855377197265625</v>
      </c>
      <c r="L610" s="44">
        <v>258993.328125</v>
      </c>
      <c r="M610" s="44">
        <v>188069.265625</v>
      </c>
    </row>
    <row r="611" spans="1:13">
      <c r="A611" s="32" t="s">
        <v>782</v>
      </c>
      <c r="B611" s="32">
        <v>110</v>
      </c>
      <c r="C611" s="81">
        <v>22</v>
      </c>
      <c r="D611" s="62" t="s">
        <v>729</v>
      </c>
      <c r="E611" s="63">
        <v>41865</v>
      </c>
      <c r="F611" s="61" t="s">
        <v>744</v>
      </c>
      <c r="G611" s="48">
        <v>42009</v>
      </c>
      <c r="H611" s="64" t="s">
        <v>745</v>
      </c>
      <c r="I611" s="48">
        <v>42236</v>
      </c>
      <c r="J611" s="42">
        <v>18.936061859130859</v>
      </c>
      <c r="K611" s="42">
        <v>18.919013977050781</v>
      </c>
      <c r="L611" s="44">
        <v>326201.65625</v>
      </c>
      <c r="M611" s="44">
        <v>329550</v>
      </c>
    </row>
    <row r="612" spans="1:13">
      <c r="A612" s="32" t="s">
        <v>782</v>
      </c>
      <c r="B612" s="32">
        <v>110</v>
      </c>
      <c r="C612" s="81">
        <v>23</v>
      </c>
      <c r="D612" s="62" t="s">
        <v>730</v>
      </c>
      <c r="E612" s="63">
        <v>41865</v>
      </c>
      <c r="F612" s="61" t="s">
        <v>744</v>
      </c>
      <c r="G612" s="48">
        <v>42009</v>
      </c>
      <c r="H612" s="64" t="s">
        <v>745</v>
      </c>
      <c r="I612" s="48">
        <v>42236</v>
      </c>
      <c r="J612" s="42">
        <v>19.145811080932617</v>
      </c>
      <c r="K612" s="42">
        <v>19.09190559387207</v>
      </c>
      <c r="L612" s="44">
        <v>287685.5</v>
      </c>
      <c r="M612" s="44">
        <v>297126.90625</v>
      </c>
    </row>
    <row r="613" spans="1:13">
      <c r="A613" s="32" t="s">
        <v>782</v>
      </c>
      <c r="B613" s="32">
        <v>110</v>
      </c>
      <c r="C613" s="81">
        <v>24</v>
      </c>
      <c r="D613" s="62" t="s">
        <v>731</v>
      </c>
      <c r="E613" s="63">
        <v>41865</v>
      </c>
      <c r="F613" s="61" t="s">
        <v>744</v>
      </c>
      <c r="G613" s="48">
        <v>42009</v>
      </c>
      <c r="H613" s="64" t="s">
        <v>745</v>
      </c>
      <c r="I613" s="48">
        <v>42236</v>
      </c>
      <c r="J613" s="42">
        <v>18.674037933349609</v>
      </c>
      <c r="K613" s="42">
        <v>18.60444450378418</v>
      </c>
      <c r="L613" s="44">
        <v>381640.1875</v>
      </c>
      <c r="M613" s="44">
        <v>397886.75</v>
      </c>
    </row>
    <row r="614" spans="1:13">
      <c r="A614" s="32" t="s">
        <v>782</v>
      </c>
      <c r="B614" s="32">
        <v>20</v>
      </c>
      <c r="C614" s="81">
        <v>25</v>
      </c>
      <c r="D614" s="62" t="s">
        <v>732</v>
      </c>
      <c r="E614" s="63">
        <v>41481</v>
      </c>
      <c r="F614" s="61" t="s">
        <v>744</v>
      </c>
      <c r="G614" s="48">
        <v>42009</v>
      </c>
      <c r="H614" s="64" t="s">
        <v>745</v>
      </c>
      <c r="I614" s="48">
        <v>42236</v>
      </c>
      <c r="J614" s="42">
        <v>20.823055267333984</v>
      </c>
      <c r="K614" s="42">
        <v>20.475051879882812</v>
      </c>
      <c r="L614" s="44">
        <v>105333.7265625</v>
      </c>
      <c r="M614" s="44">
        <v>129748.9140625</v>
      </c>
    </row>
    <row r="615" spans="1:13">
      <c r="A615" s="32" t="s">
        <v>782</v>
      </c>
      <c r="B615" s="32">
        <v>20</v>
      </c>
      <c r="C615" s="81">
        <v>26</v>
      </c>
      <c r="D615" s="62" t="s">
        <v>733</v>
      </c>
      <c r="E615" s="63">
        <v>41481</v>
      </c>
      <c r="F615" s="61" t="s">
        <v>744</v>
      </c>
      <c r="G615" s="48">
        <v>42009</v>
      </c>
      <c r="H615" s="64" t="s">
        <v>745</v>
      </c>
      <c r="I615" s="48">
        <v>42236</v>
      </c>
      <c r="J615" s="42">
        <v>20.552349090576172</v>
      </c>
      <c r="K615" s="42">
        <v>20.605085372924805</v>
      </c>
      <c r="L615" s="44">
        <v>123877.9921875</v>
      </c>
      <c r="M615" s="44">
        <v>120025.71875</v>
      </c>
    </row>
    <row r="616" spans="1:13">
      <c r="A616" s="32" t="s">
        <v>782</v>
      </c>
      <c r="B616" s="32">
        <v>20</v>
      </c>
      <c r="C616" s="81">
        <v>27</v>
      </c>
      <c r="D616" s="62" t="s">
        <v>734</v>
      </c>
      <c r="E616" s="63">
        <v>41481</v>
      </c>
      <c r="F616" s="61" t="s">
        <v>744</v>
      </c>
      <c r="G616" s="48">
        <v>42009</v>
      </c>
      <c r="H616" s="64" t="s">
        <v>745</v>
      </c>
      <c r="I616" s="48">
        <v>42236</v>
      </c>
      <c r="J616" s="42">
        <v>19.355710983276367</v>
      </c>
      <c r="K616" s="42">
        <v>19.106010437011719</v>
      </c>
      <c r="L616" s="44">
        <v>253694.21875</v>
      </c>
      <c r="M616" s="44">
        <v>294626.96875</v>
      </c>
    </row>
    <row r="617" spans="1:13">
      <c r="A617" s="32" t="s">
        <v>782</v>
      </c>
      <c r="B617" s="32">
        <v>20</v>
      </c>
      <c r="C617" s="81">
        <v>28</v>
      </c>
      <c r="D617" s="62" t="s">
        <v>735</v>
      </c>
      <c r="E617" s="63">
        <v>41481</v>
      </c>
      <c r="F617" s="61" t="s">
        <v>744</v>
      </c>
      <c r="G617" s="48">
        <v>42009</v>
      </c>
      <c r="H617" s="64" t="s">
        <v>745</v>
      </c>
      <c r="I617" s="48">
        <v>42236</v>
      </c>
      <c r="J617" s="42">
        <v>20.328012466430664</v>
      </c>
      <c r="K617" s="42">
        <v>20.545759201049805</v>
      </c>
      <c r="L617" s="44">
        <v>141695.9375</v>
      </c>
      <c r="M617" s="44">
        <v>124367.9765625</v>
      </c>
    </row>
    <row r="618" spans="1:13">
      <c r="A618" s="32" t="s">
        <v>782</v>
      </c>
      <c r="B618" s="32">
        <v>40</v>
      </c>
      <c r="C618" s="81">
        <v>29</v>
      </c>
      <c r="D618" s="62" t="s">
        <v>736</v>
      </c>
      <c r="E618" s="63">
        <v>41551</v>
      </c>
      <c r="F618" s="61" t="s">
        <v>744</v>
      </c>
      <c r="G618" s="48">
        <v>42009</v>
      </c>
      <c r="H618" s="64" t="s">
        <v>745</v>
      </c>
      <c r="I618" s="48">
        <v>42236</v>
      </c>
      <c r="J618" s="42">
        <v>28.723064422607422</v>
      </c>
      <c r="K618" s="42">
        <v>28.222784042358398</v>
      </c>
      <c r="L618" s="44">
        <v>927.4857177734375</v>
      </c>
      <c r="M618" s="44">
        <v>1251.5833740234375</v>
      </c>
    </row>
    <row r="619" spans="1:13">
      <c r="A619" s="32" t="s">
        <v>782</v>
      </c>
      <c r="B619" s="32">
        <v>40</v>
      </c>
      <c r="C619" s="81">
        <v>30</v>
      </c>
      <c r="D619" s="62" t="s">
        <v>737</v>
      </c>
      <c r="E619" s="63">
        <v>41551</v>
      </c>
      <c r="F619" s="61" t="s">
        <v>744</v>
      </c>
      <c r="G619" s="48">
        <v>42009</v>
      </c>
      <c r="H619" s="64" t="s">
        <v>745</v>
      </c>
      <c r="I619" s="48">
        <v>42236</v>
      </c>
      <c r="J619" s="42">
        <v>26.912750244140625</v>
      </c>
      <c r="K619" s="42">
        <v>26.978057861328125</v>
      </c>
      <c r="L619" s="44">
        <v>2743.324462890625</v>
      </c>
      <c r="M619" s="44">
        <v>2638.07275390625</v>
      </c>
    </row>
    <row r="620" spans="1:13">
      <c r="A620" s="32" t="s">
        <v>782</v>
      </c>
      <c r="B620" s="32">
        <v>40</v>
      </c>
      <c r="C620" s="81">
        <v>31</v>
      </c>
      <c r="D620" s="62" t="s">
        <v>738</v>
      </c>
      <c r="E620" s="63">
        <v>41551</v>
      </c>
      <c r="F620" s="61" t="s">
        <v>744</v>
      </c>
      <c r="G620" s="48">
        <v>42009</v>
      </c>
      <c r="H620" s="64" t="s">
        <v>745</v>
      </c>
      <c r="I620" s="48">
        <v>42236</v>
      </c>
      <c r="J620" s="42">
        <v>20.222528457641602</v>
      </c>
      <c r="K620" s="42">
        <v>20.476600646972656</v>
      </c>
      <c r="L620" s="44">
        <v>150938.5</v>
      </c>
      <c r="M620" s="44">
        <v>129628.59375</v>
      </c>
    </row>
    <row r="621" spans="1:13">
      <c r="A621" s="32" t="s">
        <v>782</v>
      </c>
      <c r="B621" s="32">
        <v>40</v>
      </c>
      <c r="C621" s="81">
        <v>32</v>
      </c>
      <c r="D621" s="62" t="s">
        <v>739</v>
      </c>
      <c r="E621" s="63">
        <v>41551</v>
      </c>
      <c r="F621" s="61" t="s">
        <v>744</v>
      </c>
      <c r="G621" s="48">
        <v>42009</v>
      </c>
      <c r="H621" s="64" t="s">
        <v>745</v>
      </c>
      <c r="I621" s="48">
        <v>42236</v>
      </c>
      <c r="J621" s="42">
        <v>18.877229690551758</v>
      </c>
      <c r="K621" s="42">
        <v>18.868255615234375</v>
      </c>
      <c r="L621" s="44">
        <v>337902.875</v>
      </c>
      <c r="M621" s="44">
        <v>339724.28125</v>
      </c>
    </row>
    <row r="622" spans="1:13">
      <c r="A622" s="32" t="s">
        <v>782</v>
      </c>
      <c r="B622" s="32">
        <v>60</v>
      </c>
      <c r="C622" s="81">
        <v>33</v>
      </c>
      <c r="D622" s="62" t="s">
        <v>740</v>
      </c>
      <c r="E622" s="63">
        <v>41621</v>
      </c>
      <c r="F622" s="61" t="s">
        <v>744</v>
      </c>
      <c r="G622" s="48">
        <v>42009</v>
      </c>
      <c r="H622" s="64" t="s">
        <v>745</v>
      </c>
      <c r="I622" s="48">
        <v>42236</v>
      </c>
      <c r="J622" s="42">
        <v>19.683130264282227</v>
      </c>
      <c r="K622" s="42">
        <v>20.019773483276367</v>
      </c>
      <c r="L622" s="44">
        <v>208511.21875</v>
      </c>
      <c r="M622" s="44">
        <v>170431</v>
      </c>
    </row>
    <row r="623" spans="1:13">
      <c r="A623" s="32" t="s">
        <v>782</v>
      </c>
      <c r="B623" s="32">
        <v>60</v>
      </c>
      <c r="C623" s="81">
        <v>34</v>
      </c>
      <c r="D623" s="62" t="s">
        <v>741</v>
      </c>
      <c r="E623" s="63">
        <v>41621</v>
      </c>
      <c r="F623" s="61" t="s">
        <v>744</v>
      </c>
      <c r="G623" s="48">
        <v>42009</v>
      </c>
      <c r="H623" s="64" t="s">
        <v>745</v>
      </c>
      <c r="I623" s="48">
        <v>42236</v>
      </c>
      <c r="J623" s="42">
        <v>21.178897857666016</v>
      </c>
      <c r="K623" s="42">
        <v>18.936840057373047</v>
      </c>
      <c r="L623" s="44">
        <v>85112.1796875</v>
      </c>
      <c r="M623" s="44">
        <v>326049.625</v>
      </c>
    </row>
    <row r="624" spans="1:13">
      <c r="A624" s="32" t="s">
        <v>782</v>
      </c>
      <c r="B624" s="32">
        <v>60</v>
      </c>
      <c r="C624" s="81">
        <v>35</v>
      </c>
      <c r="D624" s="62" t="s">
        <v>742</v>
      </c>
      <c r="E624" s="63">
        <v>41621</v>
      </c>
      <c r="F624" s="61" t="s">
        <v>744</v>
      </c>
      <c r="G624" s="48">
        <v>42009</v>
      </c>
      <c r="H624" s="64" t="s">
        <v>745</v>
      </c>
      <c r="I624" s="48">
        <v>42236</v>
      </c>
      <c r="J624" s="42">
        <v>19.453805923461914</v>
      </c>
      <c r="K624" s="42">
        <v>19.964845657348633</v>
      </c>
      <c r="L624" s="44">
        <v>239216.03125</v>
      </c>
      <c r="M624" s="44">
        <v>176132.125</v>
      </c>
    </row>
    <row r="625" spans="1:13">
      <c r="A625" s="32" t="s">
        <v>782</v>
      </c>
      <c r="B625" s="32">
        <v>60</v>
      </c>
      <c r="C625" s="81">
        <v>36</v>
      </c>
      <c r="D625" s="62" t="s">
        <v>743</v>
      </c>
      <c r="E625" s="63">
        <v>41621</v>
      </c>
      <c r="F625" s="61" t="s">
        <v>744</v>
      </c>
      <c r="G625" s="48">
        <v>42009</v>
      </c>
      <c r="H625" s="64" t="s">
        <v>745</v>
      </c>
      <c r="I625" s="48">
        <v>42236</v>
      </c>
      <c r="J625" s="42">
        <v>20.157880783081055</v>
      </c>
      <c r="K625" s="42">
        <v>20.571998596191406</v>
      </c>
      <c r="L625" s="44">
        <v>156898.46875</v>
      </c>
      <c r="M625" s="44">
        <v>122428.390625</v>
      </c>
    </row>
    <row r="626" spans="1:13">
      <c r="A626" s="32" t="s">
        <v>782</v>
      </c>
      <c r="B626" s="32">
        <v>80</v>
      </c>
      <c r="C626" s="81">
        <v>1</v>
      </c>
      <c r="D626" s="62" t="s">
        <v>746</v>
      </c>
      <c r="E626" s="63">
        <v>41719</v>
      </c>
      <c r="F626" s="61" t="s">
        <v>744</v>
      </c>
      <c r="G626" s="48">
        <v>42165</v>
      </c>
      <c r="H626" s="64" t="s">
        <v>745</v>
      </c>
      <c r="I626" s="48">
        <v>42234</v>
      </c>
      <c r="J626" s="42">
        <v>20.376846313476562</v>
      </c>
      <c r="K626" s="42">
        <v>20.276218414306641</v>
      </c>
      <c r="L626" s="44">
        <v>150339.859375</v>
      </c>
      <c r="M626" s="44">
        <v>160095.859375</v>
      </c>
    </row>
    <row r="627" spans="1:13">
      <c r="A627" s="32" t="s">
        <v>782</v>
      </c>
      <c r="B627" s="32">
        <v>80</v>
      </c>
      <c r="C627" s="81">
        <v>2</v>
      </c>
      <c r="D627" s="62" t="s">
        <v>747</v>
      </c>
      <c r="E627" s="63">
        <v>41719</v>
      </c>
      <c r="F627" s="61" t="s">
        <v>744</v>
      </c>
      <c r="G627" s="48">
        <v>42165</v>
      </c>
      <c r="H627" s="64" t="s">
        <v>745</v>
      </c>
      <c r="I627" s="48">
        <v>42234</v>
      </c>
      <c r="J627" s="42">
        <v>22.16877555847168</v>
      </c>
      <c r="K627" s="42">
        <v>22.444665908813477</v>
      </c>
      <c r="L627" s="44">
        <v>49070.890625</v>
      </c>
      <c r="M627" s="44">
        <v>41300.90234375</v>
      </c>
    </row>
    <row r="628" spans="1:13">
      <c r="A628" s="32" t="s">
        <v>782</v>
      </c>
      <c r="B628" s="32">
        <v>80</v>
      </c>
      <c r="C628" s="81">
        <v>3</v>
      </c>
      <c r="D628" s="62" t="s">
        <v>748</v>
      </c>
      <c r="E628" s="63">
        <v>41719</v>
      </c>
      <c r="F628" s="61" t="s">
        <v>744</v>
      </c>
      <c r="G628" s="48">
        <v>42165</v>
      </c>
      <c r="H628" s="64" t="s">
        <v>745</v>
      </c>
      <c r="I628" s="48">
        <v>42234</v>
      </c>
      <c r="J628" s="42">
        <v>20.347465515136719</v>
      </c>
      <c r="K628" s="42">
        <v>20.047590255737305</v>
      </c>
      <c r="L628" s="44">
        <v>153125.25</v>
      </c>
      <c r="M628" s="44">
        <v>184679.90625</v>
      </c>
    </row>
    <row r="629" spans="1:13">
      <c r="A629" s="32" t="s">
        <v>782</v>
      </c>
      <c r="B629" s="32">
        <v>80</v>
      </c>
      <c r="C629" s="81">
        <v>4</v>
      </c>
      <c r="D629" s="62" t="s">
        <v>749</v>
      </c>
      <c r="E629" s="63">
        <v>41719</v>
      </c>
      <c r="F629" s="61" t="s">
        <v>744</v>
      </c>
      <c r="G629" s="48">
        <v>42165</v>
      </c>
      <c r="H629" s="64" t="s">
        <v>745</v>
      </c>
      <c r="I629" s="48">
        <v>42234</v>
      </c>
      <c r="J629" s="42">
        <v>21.161314010620117</v>
      </c>
      <c r="K629" s="42">
        <v>20.94300651550293</v>
      </c>
      <c r="L629" s="44">
        <v>92088.28125</v>
      </c>
      <c r="M629" s="44">
        <v>105546.3828125</v>
      </c>
    </row>
    <row r="630" spans="1:13">
      <c r="A630" s="32" t="s">
        <v>782</v>
      </c>
      <c r="B630" s="32">
        <v>100</v>
      </c>
      <c r="C630" s="81">
        <v>5</v>
      </c>
      <c r="D630" s="62" t="s">
        <v>750</v>
      </c>
      <c r="E630" s="63">
        <v>41789</v>
      </c>
      <c r="F630" s="61" t="s">
        <v>744</v>
      </c>
      <c r="G630" s="48">
        <v>42165</v>
      </c>
      <c r="H630" s="64" t="s">
        <v>745</v>
      </c>
      <c r="I630" s="48">
        <v>42234</v>
      </c>
      <c r="J630" s="42">
        <v>19.673166275024414</v>
      </c>
      <c r="K630" s="42">
        <v>19.775196075439453</v>
      </c>
      <c r="L630" s="44">
        <v>233357.484375</v>
      </c>
      <c r="M630" s="44">
        <v>218945.171875</v>
      </c>
    </row>
    <row r="631" spans="1:13">
      <c r="A631" s="32" t="s">
        <v>782</v>
      </c>
      <c r="B631" s="32">
        <v>100</v>
      </c>
      <c r="C631" s="81">
        <v>6</v>
      </c>
      <c r="D631" s="62" t="s">
        <v>751</v>
      </c>
      <c r="E631" s="63">
        <v>41789</v>
      </c>
      <c r="F631" s="61" t="s">
        <v>744</v>
      </c>
      <c r="G631" s="48">
        <v>42165</v>
      </c>
      <c r="H631" s="64" t="s">
        <v>745</v>
      </c>
      <c r="I631" s="48">
        <v>42234</v>
      </c>
      <c r="J631" s="42">
        <v>20.036188125610352</v>
      </c>
      <c r="K631" s="42">
        <v>19.712406158447266</v>
      </c>
      <c r="L631" s="44">
        <v>186000.328125</v>
      </c>
      <c r="M631" s="44">
        <v>227705.640625</v>
      </c>
    </row>
    <row r="632" spans="1:13">
      <c r="A632" s="32" t="s">
        <v>782</v>
      </c>
      <c r="B632" s="32">
        <v>100</v>
      </c>
      <c r="C632" s="81">
        <v>7</v>
      </c>
      <c r="D632" s="62" t="s">
        <v>752</v>
      </c>
      <c r="E632" s="63">
        <v>41789</v>
      </c>
      <c r="F632" s="61" t="s">
        <v>744</v>
      </c>
      <c r="G632" s="48">
        <v>42165</v>
      </c>
      <c r="H632" s="64" t="s">
        <v>745</v>
      </c>
      <c r="I632" s="48">
        <v>42234</v>
      </c>
      <c r="J632" s="42">
        <v>20.550647735595703</v>
      </c>
      <c r="K632" s="42">
        <v>20.345211029052734</v>
      </c>
      <c r="L632" s="44">
        <v>134869</v>
      </c>
      <c r="M632" s="44">
        <v>153341.09375</v>
      </c>
    </row>
    <row r="633" spans="1:13">
      <c r="A633" s="32" t="s">
        <v>782</v>
      </c>
      <c r="B633" s="32">
        <v>100</v>
      </c>
      <c r="C633" s="81">
        <v>8</v>
      </c>
      <c r="D633" s="62" t="s">
        <v>753</v>
      </c>
      <c r="E633" s="63">
        <v>41789</v>
      </c>
      <c r="F633" s="61" t="s">
        <v>744</v>
      </c>
      <c r="G633" s="48">
        <v>42165</v>
      </c>
      <c r="H633" s="64" t="s">
        <v>745</v>
      </c>
      <c r="I633" s="48">
        <v>42234</v>
      </c>
      <c r="J633" s="42">
        <v>19.811504364013672</v>
      </c>
      <c r="K633" s="42">
        <v>19.483774185180664</v>
      </c>
      <c r="L633" s="44">
        <v>214034.078125</v>
      </c>
      <c r="M633" s="44">
        <v>262672.34375</v>
      </c>
    </row>
    <row r="634" spans="1:13">
      <c r="A634" s="32" t="s">
        <v>782</v>
      </c>
      <c r="B634" s="32">
        <v>120</v>
      </c>
      <c r="C634" s="81">
        <v>9</v>
      </c>
      <c r="D634" s="62" t="s">
        <v>754</v>
      </c>
      <c r="E634" s="63">
        <v>41900</v>
      </c>
      <c r="F634" s="61" t="s">
        <v>744</v>
      </c>
      <c r="G634" s="48">
        <v>42165</v>
      </c>
      <c r="H634" s="64" t="s">
        <v>745</v>
      </c>
      <c r="I634" s="48">
        <v>42234</v>
      </c>
      <c r="J634" s="42">
        <v>19.441873550415039</v>
      </c>
      <c r="K634" s="42">
        <v>19.487831115722656</v>
      </c>
      <c r="L634" s="44">
        <v>269640</v>
      </c>
      <c r="M634" s="44">
        <v>262007.359375</v>
      </c>
    </row>
    <row r="635" spans="1:13">
      <c r="A635" s="32" t="s">
        <v>782</v>
      </c>
      <c r="B635" s="32">
        <v>120</v>
      </c>
      <c r="C635" s="81">
        <v>10</v>
      </c>
      <c r="D635" s="62" t="s">
        <v>755</v>
      </c>
      <c r="E635" s="63">
        <v>41900</v>
      </c>
      <c r="F635" s="61" t="s">
        <v>744</v>
      </c>
      <c r="G635" s="48">
        <v>42165</v>
      </c>
      <c r="H635" s="64" t="s">
        <v>745</v>
      </c>
      <c r="I635" s="48">
        <v>42234</v>
      </c>
      <c r="J635" s="42">
        <v>19.20964241027832</v>
      </c>
      <c r="K635" s="42">
        <v>19.050868988037109</v>
      </c>
      <c r="L635" s="44">
        <v>311746.5</v>
      </c>
      <c r="M635" s="44">
        <v>344259.28125</v>
      </c>
    </row>
    <row r="636" spans="1:13">
      <c r="A636" s="32" t="s">
        <v>782</v>
      </c>
      <c r="B636" s="32">
        <v>120</v>
      </c>
      <c r="C636" s="81">
        <v>11</v>
      </c>
      <c r="D636" s="62" t="s">
        <v>756</v>
      </c>
      <c r="E636" s="63">
        <v>41900</v>
      </c>
      <c r="F636" s="61" t="s">
        <v>744</v>
      </c>
      <c r="G636" s="48">
        <v>42165</v>
      </c>
      <c r="H636" s="64" t="s">
        <v>745</v>
      </c>
      <c r="I636" s="48">
        <v>42234</v>
      </c>
      <c r="J636" s="42">
        <v>19.488094329833984</v>
      </c>
      <c r="K636" s="42">
        <v>19.335975646972656</v>
      </c>
      <c r="L636" s="44">
        <v>261964.28125</v>
      </c>
      <c r="M636" s="44">
        <v>288084.78125</v>
      </c>
    </row>
    <row r="637" spans="1:13">
      <c r="A637" s="32" t="s">
        <v>782</v>
      </c>
      <c r="B637" s="32">
        <v>120</v>
      </c>
      <c r="C637" s="81">
        <v>12</v>
      </c>
      <c r="D637" s="62" t="s">
        <v>757</v>
      </c>
      <c r="E637" s="63">
        <v>41900</v>
      </c>
      <c r="F637" s="61" t="s">
        <v>744</v>
      </c>
      <c r="G637" s="48">
        <v>42165</v>
      </c>
      <c r="H637" s="64" t="s">
        <v>745</v>
      </c>
      <c r="I637" s="48">
        <v>42234</v>
      </c>
      <c r="J637" s="42">
        <v>18.977989196777344</v>
      </c>
      <c r="K637" s="42">
        <v>18.955978393554688</v>
      </c>
      <c r="L637" s="44">
        <v>360298.125</v>
      </c>
      <c r="M637" s="44">
        <v>365287.46875</v>
      </c>
    </row>
    <row r="638" spans="1:13">
      <c r="A638" s="32" t="s">
        <v>782</v>
      </c>
      <c r="B638" s="32">
        <v>130</v>
      </c>
      <c r="C638" s="81">
        <v>13</v>
      </c>
      <c r="D638" s="62" t="s">
        <v>758</v>
      </c>
      <c r="E638" s="63">
        <v>41935</v>
      </c>
      <c r="F638" s="61" t="s">
        <v>744</v>
      </c>
      <c r="G638" s="48">
        <v>42165</v>
      </c>
      <c r="H638" s="64" t="s">
        <v>745</v>
      </c>
      <c r="I638" s="48">
        <v>42234</v>
      </c>
      <c r="J638" s="42">
        <v>21.567741394042969</v>
      </c>
      <c r="K638" s="42">
        <v>21.334671020507812</v>
      </c>
      <c r="L638" s="44">
        <v>71436.140625</v>
      </c>
      <c r="M638" s="44">
        <v>82634.796875</v>
      </c>
    </row>
    <row r="639" spans="1:13">
      <c r="A639" s="32" t="s">
        <v>782</v>
      </c>
      <c r="B639" s="32">
        <v>130</v>
      </c>
      <c r="C639" s="81">
        <v>14</v>
      </c>
      <c r="D639" s="62" t="s">
        <v>759</v>
      </c>
      <c r="E639" s="63">
        <v>41935</v>
      </c>
      <c r="F639" s="61" t="s">
        <v>744</v>
      </c>
      <c r="G639" s="48">
        <v>42165</v>
      </c>
      <c r="H639" s="64" t="s">
        <v>745</v>
      </c>
      <c r="I639" s="48">
        <v>42234</v>
      </c>
      <c r="J639" s="42">
        <v>21.903953552246094</v>
      </c>
      <c r="K639" s="42">
        <v>21.81120491027832</v>
      </c>
      <c r="L639" s="44">
        <v>57900.84765625</v>
      </c>
      <c r="M639" s="44">
        <v>61355.3984375</v>
      </c>
    </row>
    <row r="640" spans="1:13">
      <c r="A640" s="32" t="s">
        <v>782</v>
      </c>
      <c r="B640" s="32">
        <v>130</v>
      </c>
      <c r="C640" s="81">
        <v>15</v>
      </c>
      <c r="D640" s="62" t="s">
        <v>760</v>
      </c>
      <c r="E640" s="63">
        <v>41935</v>
      </c>
      <c r="F640" s="61" t="s">
        <v>744</v>
      </c>
      <c r="G640" s="48">
        <v>42165</v>
      </c>
      <c r="H640" s="64" t="s">
        <v>745</v>
      </c>
      <c r="I640" s="48">
        <v>42234</v>
      </c>
      <c r="J640" s="42">
        <v>20.643119812011719</v>
      </c>
      <c r="K640" s="42">
        <v>19.998298645019531</v>
      </c>
      <c r="L640" s="44">
        <v>127297.3359375</v>
      </c>
      <c r="M640" s="44">
        <v>190456.25</v>
      </c>
    </row>
    <row r="641" spans="1:13">
      <c r="A641" s="32" t="s">
        <v>782</v>
      </c>
      <c r="B641" s="32">
        <v>130</v>
      </c>
      <c r="C641" s="81">
        <v>16</v>
      </c>
      <c r="D641" s="62" t="s">
        <v>761</v>
      </c>
      <c r="E641" s="63">
        <v>41935</v>
      </c>
      <c r="F641" s="61" t="s">
        <v>744</v>
      </c>
      <c r="G641" s="48">
        <v>42165</v>
      </c>
      <c r="H641" s="64" t="s">
        <v>745</v>
      </c>
      <c r="I641" s="48">
        <v>42234</v>
      </c>
      <c r="J641" s="42">
        <v>20.695667266845703</v>
      </c>
      <c r="K641" s="42">
        <v>20.889440536499023</v>
      </c>
      <c r="L641" s="44">
        <v>123185.6953125</v>
      </c>
      <c r="M641" s="44">
        <v>109138.703125</v>
      </c>
    </row>
    <row r="642" spans="1:13">
      <c r="A642" s="32" t="s">
        <v>782</v>
      </c>
      <c r="B642" s="32">
        <v>150</v>
      </c>
      <c r="C642" s="81">
        <v>17</v>
      </c>
      <c r="D642" s="62" t="s">
        <v>762</v>
      </c>
      <c r="E642" s="63">
        <v>42005</v>
      </c>
      <c r="F642" s="61" t="s">
        <v>744</v>
      </c>
      <c r="G642" s="48">
        <v>42165</v>
      </c>
      <c r="H642" s="64" t="s">
        <v>745</v>
      </c>
      <c r="I642" s="48">
        <v>42234</v>
      </c>
      <c r="J642" s="42">
        <v>21.669744491577148</v>
      </c>
      <c r="K642" s="42">
        <v>21.627655029296875</v>
      </c>
      <c r="L642" s="44">
        <v>67025.3203125</v>
      </c>
      <c r="M642" s="44">
        <v>68811.3515625</v>
      </c>
    </row>
    <row r="643" spans="1:13">
      <c r="A643" s="32" t="s">
        <v>782</v>
      </c>
      <c r="B643" s="32">
        <v>150</v>
      </c>
      <c r="C643" s="81">
        <v>18</v>
      </c>
      <c r="D643" s="62" t="s">
        <v>763</v>
      </c>
      <c r="E643" s="63">
        <v>42005</v>
      </c>
      <c r="F643" s="61" t="s">
        <v>744</v>
      </c>
      <c r="G643" s="48">
        <v>42165</v>
      </c>
      <c r="H643" s="64" t="s">
        <v>745</v>
      </c>
      <c r="I643" s="48">
        <v>42234</v>
      </c>
      <c r="J643" s="42">
        <v>22.059953689575195</v>
      </c>
      <c r="K643" s="42">
        <v>21.589614868164062</v>
      </c>
      <c r="L643" s="44">
        <v>52523.46875</v>
      </c>
      <c r="M643" s="44">
        <v>70466.46875</v>
      </c>
    </row>
    <row r="644" spans="1:13">
      <c r="A644" s="32" t="s">
        <v>782</v>
      </c>
      <c r="B644" s="32">
        <v>150</v>
      </c>
      <c r="C644" s="81">
        <v>19</v>
      </c>
      <c r="D644" s="62" t="s">
        <v>764</v>
      </c>
      <c r="E644" s="63">
        <v>42005</v>
      </c>
      <c r="F644" s="61" t="s">
        <v>744</v>
      </c>
      <c r="G644" s="48">
        <v>42165</v>
      </c>
      <c r="H644" s="64" t="s">
        <v>745</v>
      </c>
      <c r="I644" s="48">
        <v>42234</v>
      </c>
      <c r="J644" s="42">
        <v>19.581718444824219</v>
      </c>
      <c r="K644" s="42">
        <v>19.841762542724609</v>
      </c>
      <c r="L644" s="44">
        <v>247079.453125</v>
      </c>
      <c r="M644" s="44">
        <v>210025.578125</v>
      </c>
    </row>
    <row r="645" spans="1:13">
      <c r="A645" s="32" t="s">
        <v>782</v>
      </c>
      <c r="B645" s="32">
        <v>150</v>
      </c>
      <c r="C645" s="81">
        <v>20</v>
      </c>
      <c r="D645" s="62" t="s">
        <v>765</v>
      </c>
      <c r="E645" s="63">
        <v>42005</v>
      </c>
      <c r="F645" s="61" t="s">
        <v>744</v>
      </c>
      <c r="G645" s="48">
        <v>42165</v>
      </c>
      <c r="H645" s="64" t="s">
        <v>745</v>
      </c>
      <c r="I645" s="48">
        <v>42234</v>
      </c>
      <c r="J645" s="42">
        <v>19.484050750732422</v>
      </c>
      <c r="K645" s="42">
        <v>19.752582550048828</v>
      </c>
      <c r="L645" s="44">
        <v>262626.96875</v>
      </c>
      <c r="M645" s="44">
        <v>222060.6875</v>
      </c>
    </row>
    <row r="646" spans="1:13">
      <c r="A646" s="32" t="s">
        <v>782</v>
      </c>
      <c r="B646" s="32">
        <v>170</v>
      </c>
      <c r="C646" s="81">
        <v>21</v>
      </c>
      <c r="D646" s="62" t="s">
        <v>766</v>
      </c>
      <c r="E646" s="63">
        <v>42075</v>
      </c>
      <c r="F646" s="61" t="s">
        <v>744</v>
      </c>
      <c r="G646" s="48">
        <v>42165</v>
      </c>
      <c r="H646" s="64" t="s">
        <v>745</v>
      </c>
      <c r="I646" s="48">
        <v>42234</v>
      </c>
      <c r="J646" s="42">
        <v>20.882358551025391</v>
      </c>
      <c r="K646" s="42">
        <v>20.826873779296875</v>
      </c>
      <c r="L646" s="44">
        <v>109622.7109375</v>
      </c>
      <c r="M646" s="44">
        <v>113489.75</v>
      </c>
    </row>
    <row r="647" spans="1:13">
      <c r="A647" s="32" t="s">
        <v>782</v>
      </c>
      <c r="B647" s="32">
        <v>170</v>
      </c>
      <c r="C647" s="81">
        <v>22</v>
      </c>
      <c r="D647" s="62" t="s">
        <v>767</v>
      </c>
      <c r="E647" s="63">
        <v>42075</v>
      </c>
      <c r="F647" s="61" t="s">
        <v>744</v>
      </c>
      <c r="G647" s="48">
        <v>42165</v>
      </c>
      <c r="H647" s="64" t="s">
        <v>745</v>
      </c>
      <c r="I647" s="48">
        <v>42234</v>
      </c>
      <c r="J647" s="42">
        <v>20.177223205566406</v>
      </c>
      <c r="K647" s="42">
        <v>20.363803863525391</v>
      </c>
      <c r="L647" s="44">
        <v>170311.125</v>
      </c>
      <c r="M647" s="44">
        <v>151570.015625</v>
      </c>
    </row>
    <row r="648" spans="1:13">
      <c r="A648" s="32" t="s">
        <v>782</v>
      </c>
      <c r="B648" s="32">
        <v>170</v>
      </c>
      <c r="C648" s="81">
        <v>23</v>
      </c>
      <c r="D648" s="62" t="s">
        <v>768</v>
      </c>
      <c r="E648" s="63">
        <v>42075</v>
      </c>
      <c r="F648" s="61" t="s">
        <v>744</v>
      </c>
      <c r="G648" s="48">
        <v>42165</v>
      </c>
      <c r="H648" s="64" t="s">
        <v>745</v>
      </c>
      <c r="I648" s="48">
        <v>42234</v>
      </c>
      <c r="J648" s="42">
        <v>20.962936401367188</v>
      </c>
      <c r="K648" s="42">
        <v>20.857400894165039</v>
      </c>
      <c r="L648" s="44">
        <v>104240.2109375</v>
      </c>
      <c r="M648" s="44">
        <v>111345.5703125</v>
      </c>
    </row>
    <row r="649" spans="1:13">
      <c r="A649" s="32" t="s">
        <v>782</v>
      </c>
      <c r="B649" s="32">
        <v>170</v>
      </c>
      <c r="C649" s="81">
        <v>24</v>
      </c>
      <c r="D649" s="62" t="s">
        <v>769</v>
      </c>
      <c r="E649" s="63">
        <v>42075</v>
      </c>
      <c r="F649" s="61" t="s">
        <v>744</v>
      </c>
      <c r="G649" s="48">
        <v>42165</v>
      </c>
      <c r="H649" s="64" t="s">
        <v>745</v>
      </c>
      <c r="I649" s="48">
        <v>42234</v>
      </c>
      <c r="J649" s="42">
        <v>19.644306182861328</v>
      </c>
      <c r="K649" s="42">
        <v>19.807107925415039</v>
      </c>
      <c r="L649" s="44">
        <v>237603.640625</v>
      </c>
      <c r="M649" s="44">
        <v>214622.828125</v>
      </c>
    </row>
    <row r="650" spans="1:13">
      <c r="A650" s="32" t="s">
        <v>782</v>
      </c>
      <c r="B650" s="32">
        <v>140</v>
      </c>
      <c r="C650" s="81">
        <v>25</v>
      </c>
      <c r="D650" s="62" t="s">
        <v>770</v>
      </c>
      <c r="E650" s="63">
        <v>41970</v>
      </c>
      <c r="F650" s="61" t="s">
        <v>744</v>
      </c>
      <c r="G650" s="48">
        <v>42165</v>
      </c>
      <c r="H650" s="64" t="s">
        <v>745</v>
      </c>
      <c r="I650" s="48">
        <v>42234</v>
      </c>
      <c r="J650" s="42">
        <v>23.95073127746582</v>
      </c>
      <c r="K650" s="42">
        <v>23.844533920288086</v>
      </c>
      <c r="L650" s="44">
        <v>16116.8486328125</v>
      </c>
      <c r="M650" s="44">
        <v>17222.546875</v>
      </c>
    </row>
    <row r="651" spans="1:13">
      <c r="A651" s="32" t="s">
        <v>782</v>
      </c>
      <c r="B651" s="32">
        <v>140</v>
      </c>
      <c r="C651" s="81">
        <v>26</v>
      </c>
      <c r="D651" s="62" t="s">
        <v>771</v>
      </c>
      <c r="E651" s="63">
        <v>41970</v>
      </c>
      <c r="F651" s="61" t="s">
        <v>744</v>
      </c>
      <c r="G651" s="48">
        <v>42165</v>
      </c>
      <c r="H651" s="64" t="s">
        <v>745</v>
      </c>
      <c r="I651" s="48">
        <v>42234</v>
      </c>
      <c r="J651" s="42">
        <v>23.101062774658203</v>
      </c>
      <c r="K651" s="42">
        <v>23.652070999145508</v>
      </c>
      <c r="L651" s="44">
        <v>27405.802734375</v>
      </c>
      <c r="M651" s="44">
        <v>19423.3125</v>
      </c>
    </row>
    <row r="652" spans="1:13">
      <c r="A652" s="32" t="s">
        <v>782</v>
      </c>
      <c r="B652" s="32">
        <v>140</v>
      </c>
      <c r="C652" s="81">
        <v>27</v>
      </c>
      <c r="D652" s="62" t="s">
        <v>772</v>
      </c>
      <c r="E652" s="63">
        <v>41970</v>
      </c>
      <c r="F652" s="61" t="s">
        <v>744</v>
      </c>
      <c r="G652" s="48">
        <v>42165</v>
      </c>
      <c r="H652" s="64" t="s">
        <v>745</v>
      </c>
      <c r="I652" s="48">
        <v>42234</v>
      </c>
      <c r="J652" s="42">
        <v>20.932531356811523</v>
      </c>
      <c r="K652" s="42">
        <v>20.851921081542969</v>
      </c>
      <c r="L652" s="44">
        <v>106239.4609375</v>
      </c>
      <c r="M652" s="44">
        <v>111727.4609375</v>
      </c>
    </row>
    <row r="653" spans="1:13">
      <c r="A653" s="32" t="s">
        <v>782</v>
      </c>
      <c r="B653" s="32">
        <v>140</v>
      </c>
      <c r="C653" s="81">
        <v>28</v>
      </c>
      <c r="D653" s="62" t="s">
        <v>773</v>
      </c>
      <c r="E653" s="63">
        <v>41970</v>
      </c>
      <c r="F653" s="61" t="s">
        <v>744</v>
      </c>
      <c r="G653" s="48">
        <v>42165</v>
      </c>
      <c r="H653" s="64" t="s">
        <v>745</v>
      </c>
      <c r="I653" s="48">
        <v>42234</v>
      </c>
      <c r="J653" s="42">
        <v>21.98835563659668</v>
      </c>
      <c r="K653" s="42">
        <v>21.712715148925781</v>
      </c>
      <c r="L653" s="44">
        <v>54926.5</v>
      </c>
      <c r="M653" s="44">
        <v>65249.703125</v>
      </c>
    </row>
    <row r="654" spans="1:13">
      <c r="A654" s="32" t="s">
        <v>782</v>
      </c>
      <c r="B654" s="32">
        <v>160</v>
      </c>
      <c r="C654" s="81">
        <v>29</v>
      </c>
      <c r="D654" s="62" t="s">
        <v>774</v>
      </c>
      <c r="E654" s="63">
        <v>42040</v>
      </c>
      <c r="F654" s="61" t="s">
        <v>744</v>
      </c>
      <c r="G654" s="48">
        <v>42165</v>
      </c>
      <c r="H654" s="64" t="s">
        <v>745</v>
      </c>
      <c r="I654" s="48">
        <v>42234</v>
      </c>
      <c r="J654" s="42">
        <v>21.838676452636719</v>
      </c>
      <c r="K654" s="42">
        <v>21.941717147827148</v>
      </c>
      <c r="L654" s="44">
        <v>60311.234375</v>
      </c>
      <c r="M654" s="44">
        <v>56550.64453125</v>
      </c>
    </row>
    <row r="655" spans="1:13">
      <c r="A655" s="32" t="s">
        <v>782</v>
      </c>
      <c r="B655" s="32">
        <v>160</v>
      </c>
      <c r="C655" s="81">
        <v>30</v>
      </c>
      <c r="D655" s="62" t="s">
        <v>775</v>
      </c>
      <c r="E655" s="63">
        <v>42040</v>
      </c>
      <c r="F655" s="61" t="s">
        <v>744</v>
      </c>
      <c r="G655" s="48">
        <v>42165</v>
      </c>
      <c r="H655" s="64" t="s">
        <v>745</v>
      </c>
      <c r="I655" s="48">
        <v>42234</v>
      </c>
      <c r="J655" s="42">
        <v>21.917814254760742</v>
      </c>
      <c r="K655" s="42">
        <v>22.122333526611328</v>
      </c>
      <c r="L655" s="44">
        <v>57401.56640625</v>
      </c>
      <c r="M655" s="44">
        <v>50515.6875</v>
      </c>
    </row>
    <row r="656" spans="1:13">
      <c r="A656" s="32" t="s">
        <v>782</v>
      </c>
      <c r="B656" s="32">
        <v>160</v>
      </c>
      <c r="C656" s="81">
        <v>31</v>
      </c>
      <c r="D656" s="62" t="s">
        <v>776</v>
      </c>
      <c r="E656" s="63">
        <v>42040</v>
      </c>
      <c r="F656" s="61" t="s">
        <v>744</v>
      </c>
      <c r="G656" s="48">
        <v>42165</v>
      </c>
      <c r="H656" s="64" t="s">
        <v>745</v>
      </c>
      <c r="I656" s="48">
        <v>42234</v>
      </c>
      <c r="J656" s="42">
        <v>22.333139419555664</v>
      </c>
      <c r="K656" s="42">
        <v>22.240589141845703</v>
      </c>
      <c r="L656" s="44">
        <v>44281.55859375</v>
      </c>
      <c r="M656" s="44">
        <v>46917.72265625</v>
      </c>
    </row>
    <row r="657" spans="1:13">
      <c r="A657" s="32" t="s">
        <v>782</v>
      </c>
      <c r="B657" s="32">
        <v>160</v>
      </c>
      <c r="C657" s="81">
        <v>32</v>
      </c>
      <c r="D657" s="62" t="s">
        <v>777</v>
      </c>
      <c r="E657" s="63">
        <v>42040</v>
      </c>
      <c r="F657" s="61" t="s">
        <v>744</v>
      </c>
      <c r="G657" s="48">
        <v>42165</v>
      </c>
      <c r="H657" s="64" t="s">
        <v>745</v>
      </c>
      <c r="I657" s="48">
        <v>42234</v>
      </c>
      <c r="J657" s="42">
        <v>22.046796798706055</v>
      </c>
      <c r="K657" s="42">
        <v>21.965305328369141</v>
      </c>
      <c r="L657" s="44">
        <v>52957.02734375</v>
      </c>
      <c r="M657" s="44">
        <v>55723.29296875</v>
      </c>
    </row>
    <row r="658" spans="1:13">
      <c r="A658" s="32" t="s">
        <v>782</v>
      </c>
      <c r="B658" s="32">
        <v>180</v>
      </c>
      <c r="C658" s="81">
        <v>33</v>
      </c>
      <c r="D658" s="62" t="s">
        <v>778</v>
      </c>
      <c r="E658" s="63">
        <v>42110</v>
      </c>
      <c r="F658" s="61" t="s">
        <v>744</v>
      </c>
      <c r="G658" s="48">
        <v>42165</v>
      </c>
      <c r="H658" s="64" t="s">
        <v>745</v>
      </c>
      <c r="I658" s="48">
        <v>42234</v>
      </c>
      <c r="J658" s="42">
        <v>22.212955474853516</v>
      </c>
      <c r="K658" s="42">
        <v>22.464591979980469</v>
      </c>
      <c r="L658" s="44">
        <v>47734.83984375</v>
      </c>
      <c r="M658" s="44">
        <v>40789.88671875</v>
      </c>
    </row>
    <row r="659" spans="1:13">
      <c r="A659" s="32" t="s">
        <v>782</v>
      </c>
      <c r="B659" s="32">
        <v>180</v>
      </c>
      <c r="C659" s="81">
        <v>34</v>
      </c>
      <c r="D659" s="62" t="s">
        <v>779</v>
      </c>
      <c r="E659" s="63">
        <v>42110</v>
      </c>
      <c r="F659" s="61" t="s">
        <v>744</v>
      </c>
      <c r="G659" s="48">
        <v>42165</v>
      </c>
      <c r="H659" s="64" t="s">
        <v>745</v>
      </c>
      <c r="I659" s="48">
        <v>42234</v>
      </c>
      <c r="J659" s="42">
        <v>21.554775238037109</v>
      </c>
      <c r="K659" s="42">
        <v>21.869100570678711</v>
      </c>
      <c r="L659" s="44">
        <v>72017.234375</v>
      </c>
      <c r="M659" s="44">
        <v>59175.57421875</v>
      </c>
    </row>
    <row r="660" spans="1:13">
      <c r="A660" s="32" t="s">
        <v>782</v>
      </c>
      <c r="B660" s="32">
        <v>180</v>
      </c>
      <c r="C660" s="81">
        <v>35</v>
      </c>
      <c r="D660" s="62" t="s">
        <v>780</v>
      </c>
      <c r="E660" s="63">
        <v>42110</v>
      </c>
      <c r="F660" s="61" t="s">
        <v>744</v>
      </c>
      <c r="G660" s="48">
        <v>42165</v>
      </c>
      <c r="H660" s="64" t="s">
        <v>745</v>
      </c>
      <c r="I660" s="48">
        <v>42234</v>
      </c>
      <c r="J660" s="42">
        <v>20.593982696533203</v>
      </c>
      <c r="K660" s="42">
        <v>21.444158554077148</v>
      </c>
      <c r="L660" s="44">
        <v>131266.21875</v>
      </c>
      <c r="M660" s="44">
        <v>77170.78125</v>
      </c>
    </row>
    <row r="661" spans="1:13">
      <c r="A661" s="32" t="s">
        <v>782</v>
      </c>
      <c r="B661" s="32">
        <v>180</v>
      </c>
      <c r="C661" s="81">
        <v>36</v>
      </c>
      <c r="D661" s="62" t="s">
        <v>781</v>
      </c>
      <c r="E661" s="63">
        <v>42110</v>
      </c>
      <c r="F661" s="61" t="s">
        <v>744</v>
      </c>
      <c r="G661" s="48">
        <v>42165</v>
      </c>
      <c r="H661" s="64" t="s">
        <v>745</v>
      </c>
      <c r="I661" s="48">
        <v>42234</v>
      </c>
      <c r="J661" s="42">
        <v>33.646137237548828</v>
      </c>
      <c r="K661" s="42">
        <v>32.475673675537109</v>
      </c>
      <c r="L661" s="44">
        <v>37.703052520751953</v>
      </c>
      <c r="M661" s="44">
        <v>78.34088134765625</v>
      </c>
    </row>
  </sheetData>
  <autoFilter ref="A2:Q661" xr:uid="{00000000-0009-0000-0000-000000000000}">
    <sortState xmlns:xlrd2="http://schemas.microsoft.com/office/spreadsheetml/2017/richdata2" ref="A3:Q595">
      <sortCondition ref="A2:A5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U1136"/>
  <sheetViews>
    <sheetView workbookViewId="0">
      <selection activeCell="M10" sqref="M10:P33"/>
    </sheetView>
  </sheetViews>
  <sheetFormatPr baseColWidth="10" defaultColWidth="11.5" defaultRowHeight="14"/>
  <cols>
    <col min="1" max="1" width="7.83203125" style="1" customWidth="1"/>
    <col min="2" max="2" width="11.83203125" style="1" customWidth="1"/>
    <col min="3" max="10" width="7.83203125" style="1" customWidth="1"/>
    <col min="11" max="12" width="13" style="3" customWidth="1"/>
    <col min="13" max="14" width="6.5" style="24" customWidth="1"/>
    <col min="15" max="16" width="11" style="6" customWidth="1"/>
    <col min="17" max="17" width="3.1640625" style="7" customWidth="1"/>
    <col min="18" max="19" width="7.83203125" style="16" customWidth="1"/>
    <col min="20" max="20" width="17.5" style="7" customWidth="1"/>
    <col min="21" max="16384" width="11.5" style="10"/>
  </cols>
  <sheetData>
    <row r="1" spans="1:21">
      <c r="A1" s="25" t="s">
        <v>302</v>
      </c>
      <c r="B1" s="25"/>
      <c r="C1" s="25"/>
      <c r="D1" s="25"/>
      <c r="E1" s="25"/>
      <c r="G1" s="2" t="s">
        <v>6</v>
      </c>
      <c r="J1" s="2" t="s">
        <v>9</v>
      </c>
      <c r="M1" s="26" t="s">
        <v>303</v>
      </c>
      <c r="N1" s="4"/>
      <c r="O1" s="5" t="s">
        <v>304</v>
      </c>
      <c r="R1" s="8" t="s">
        <v>305</v>
      </c>
      <c r="S1" s="9"/>
    </row>
    <row r="2" spans="1:21" ht="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12" t="s">
        <v>446</v>
      </c>
      <c r="N2" s="12" t="s">
        <v>447</v>
      </c>
      <c r="O2" s="12" t="s">
        <v>448</v>
      </c>
      <c r="P2" s="12" t="s">
        <v>449</v>
      </c>
      <c r="R2" s="8"/>
      <c r="S2" s="9"/>
    </row>
    <row r="3" spans="1:21" ht="1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14.951098442077637</v>
      </c>
      <c r="H3">
        <v>14.965669631958008</v>
      </c>
      <c r="I3">
        <v>2.0607449114322662E-2</v>
      </c>
      <c r="J3">
        <v>50000000</v>
      </c>
      <c r="K3" t="s">
        <v>24</v>
      </c>
      <c r="L3" t="s">
        <v>24</v>
      </c>
      <c r="M3" s="14">
        <f>SUMIF(A:A,"A1",G:G)</f>
        <v>14.951098442077637</v>
      </c>
      <c r="N3" s="14">
        <f>SUMIF(A:A,"A2",G:G)</f>
        <v>14.980241775512695</v>
      </c>
      <c r="O3" s="15">
        <f>SUMIF(A:A,"A1",J:J)</f>
        <v>50000000</v>
      </c>
      <c r="P3" s="15">
        <f>SUMIF(A:A,"A2",J:J)</f>
        <v>50000000</v>
      </c>
      <c r="Q3" s="10"/>
      <c r="R3" s="16" t="s">
        <v>306</v>
      </c>
      <c r="S3" s="16" t="s">
        <v>307</v>
      </c>
      <c r="T3" s="13" t="s">
        <v>308</v>
      </c>
    </row>
    <row r="4" spans="1:21" ht="15">
      <c r="A4" t="s">
        <v>30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14.980241775512695</v>
      </c>
      <c r="H4">
        <v>14.965669631958008</v>
      </c>
      <c r="I4">
        <v>2.0607449114322662E-2</v>
      </c>
      <c r="J4">
        <v>50000000</v>
      </c>
      <c r="K4" t="s">
        <v>24</v>
      </c>
      <c r="L4" t="s">
        <v>24</v>
      </c>
      <c r="M4" s="14">
        <f>SUMIF(A:A,"b1",G:G)</f>
        <v>18.957149505615234</v>
      </c>
      <c r="N4" s="14">
        <f>SUMIF(A:A,"b2",G:G)</f>
        <v>18.873649597167969</v>
      </c>
      <c r="O4" s="15">
        <f>SUMIF(A:A,"b1",J:J)</f>
        <v>5000000</v>
      </c>
      <c r="P4" s="15">
        <f>SUMIF(A:A,"b2",J:J)</f>
        <v>5000000</v>
      </c>
      <c r="Q4" s="10"/>
      <c r="R4" s="16" t="s">
        <v>309</v>
      </c>
      <c r="S4" s="16" t="s">
        <v>310</v>
      </c>
    </row>
    <row r="5" spans="1:21" ht="15">
      <c r="A5" t="s">
        <v>31</v>
      </c>
      <c r="B5" t="s">
        <v>32</v>
      </c>
      <c r="C5" t="s">
        <v>25</v>
      </c>
      <c r="D5" t="s">
        <v>33</v>
      </c>
      <c r="E5" t="s">
        <v>27</v>
      </c>
      <c r="F5" t="s">
        <v>28</v>
      </c>
      <c r="G5">
        <v>13.818707466125488</v>
      </c>
      <c r="H5">
        <v>13.845188140869141</v>
      </c>
      <c r="I5">
        <v>3.7448655813932419E-2</v>
      </c>
      <c r="J5">
        <v>133032520</v>
      </c>
      <c r="K5">
        <v>130776048</v>
      </c>
      <c r="L5">
        <v>3191127.75</v>
      </c>
      <c r="M5" s="14">
        <f>SUMIF(A:A,"c1",G:G)</f>
        <v>22.479665756225586</v>
      </c>
      <c r="N5" s="14">
        <f>SUMIF(A:A,"c2",G:G)</f>
        <v>22.506780624389648</v>
      </c>
      <c r="O5" s="15">
        <f>SUMIF(A:A,"c1",J:J)</f>
        <v>500000</v>
      </c>
      <c r="P5" s="15">
        <f>SUMIF(A:A,"c2",J:J)</f>
        <v>500000</v>
      </c>
      <c r="Q5" s="10"/>
      <c r="R5" s="16" t="s">
        <v>311</v>
      </c>
      <c r="S5" s="16" t="s">
        <v>312</v>
      </c>
    </row>
    <row r="6" spans="1:21" ht="15">
      <c r="A6" t="s">
        <v>34</v>
      </c>
      <c r="B6" t="s">
        <v>32</v>
      </c>
      <c r="C6" t="s">
        <v>25</v>
      </c>
      <c r="D6" t="s">
        <v>33</v>
      </c>
      <c r="E6" t="s">
        <v>27</v>
      </c>
      <c r="F6" t="s">
        <v>28</v>
      </c>
      <c r="G6">
        <v>13.871667861938477</v>
      </c>
      <c r="H6">
        <v>13.845188140869141</v>
      </c>
      <c r="I6">
        <v>3.7448655813932419E-2</v>
      </c>
      <c r="J6">
        <v>128519584</v>
      </c>
      <c r="K6">
        <v>130776048</v>
      </c>
      <c r="L6">
        <v>3191127.75</v>
      </c>
      <c r="M6" s="14">
        <f>SUMIF(A:A,"d1",G:G)</f>
        <v>26.136688232421875</v>
      </c>
      <c r="N6" s="14">
        <f>SUMIF(A:A,"d2",G:G)</f>
        <v>26.540008544921875</v>
      </c>
      <c r="O6" s="15">
        <f>SUMIF(A:A,"d1",J:J)</f>
        <v>50000</v>
      </c>
      <c r="P6" s="15">
        <f>SUMIF(A:A,"d2",J:J)</f>
        <v>50000</v>
      </c>
      <c r="Q6" s="10"/>
      <c r="R6" s="16" t="s">
        <v>313</v>
      </c>
      <c r="S6" s="16" t="s">
        <v>314</v>
      </c>
    </row>
    <row r="7" spans="1:21" ht="15">
      <c r="A7" t="s">
        <v>35</v>
      </c>
      <c r="B7" t="s">
        <v>36</v>
      </c>
      <c r="C7" t="s">
        <v>25</v>
      </c>
      <c r="D7" t="s">
        <v>33</v>
      </c>
      <c r="E7" t="s">
        <v>27</v>
      </c>
      <c r="F7" t="s">
        <v>28</v>
      </c>
      <c r="G7">
        <v>11.153896331787109</v>
      </c>
      <c r="H7">
        <v>11.244863510131836</v>
      </c>
      <c r="I7">
        <v>0.12864701449871063</v>
      </c>
      <c r="J7">
        <v>755327680</v>
      </c>
      <c r="K7">
        <v>713104384</v>
      </c>
      <c r="L7">
        <v>59712756</v>
      </c>
      <c r="M7" s="14">
        <f>SUMIF(A:A,"e1",G:G)</f>
        <v>29.899141311645508</v>
      </c>
      <c r="N7" s="14">
        <f>SUMIF(A:A,"e2",G:G)</f>
        <v>29.741056442260742</v>
      </c>
      <c r="O7" s="15">
        <f>SUMIF(A:A,"e1",J:J)</f>
        <v>5000</v>
      </c>
      <c r="P7" s="15">
        <f>SUMIF(A:A,"e2",J:J)</f>
        <v>5000</v>
      </c>
      <c r="Q7" s="10"/>
      <c r="R7" s="16" t="s">
        <v>315</v>
      </c>
      <c r="S7" s="16" t="s">
        <v>316</v>
      </c>
    </row>
    <row r="8" spans="1:21" ht="15">
      <c r="A8" t="s">
        <v>37</v>
      </c>
      <c r="B8" t="s">
        <v>36</v>
      </c>
      <c r="C8" t="s">
        <v>25</v>
      </c>
      <c r="D8" t="s">
        <v>33</v>
      </c>
      <c r="E8" t="s">
        <v>27</v>
      </c>
      <c r="F8" t="s">
        <v>28</v>
      </c>
      <c r="G8">
        <v>11.335830688476562</v>
      </c>
      <c r="H8">
        <v>11.244863510131836</v>
      </c>
      <c r="I8">
        <v>0.12864701449871063</v>
      </c>
      <c r="J8">
        <v>670881088</v>
      </c>
      <c r="K8">
        <v>713104384</v>
      </c>
      <c r="L8">
        <v>59712756</v>
      </c>
      <c r="M8" s="14">
        <f>SUMIF(A:A,"f1",G:G)</f>
        <v>32.465030670166016</v>
      </c>
      <c r="N8" s="14">
        <f>SUMIF(A:A,"f2",G:G)</f>
        <v>32.311286926269531</v>
      </c>
      <c r="O8" s="15">
        <f>SUMIF(A:A,"f1",J:J)</f>
        <v>500</v>
      </c>
      <c r="P8" s="15">
        <f>SUMIF(A:A,"f2",J:J)</f>
        <v>500</v>
      </c>
      <c r="Q8" s="10"/>
      <c r="R8" s="16" t="s">
        <v>317</v>
      </c>
      <c r="S8" s="16" t="s">
        <v>318</v>
      </c>
      <c r="T8" s="1"/>
    </row>
    <row r="9" spans="1:21" ht="16" thickBot="1">
      <c r="A9" t="s">
        <v>38</v>
      </c>
      <c r="B9" t="s">
        <v>39</v>
      </c>
      <c r="C9" t="s">
        <v>25</v>
      </c>
      <c r="D9" t="s">
        <v>33</v>
      </c>
      <c r="E9" t="s">
        <v>27</v>
      </c>
      <c r="F9" t="s">
        <v>28</v>
      </c>
      <c r="G9">
        <v>11.639802932739258</v>
      </c>
      <c r="H9">
        <v>11.6397705078125</v>
      </c>
      <c r="I9">
        <v>4.5181423047324643E-5</v>
      </c>
      <c r="J9">
        <v>550322496</v>
      </c>
      <c r="K9">
        <v>550333952</v>
      </c>
      <c r="L9">
        <v>16201.23046875</v>
      </c>
      <c r="M9" s="17">
        <f>SUMIF(A:A,"g1",G:G)</f>
        <v>0</v>
      </c>
      <c r="N9" s="17">
        <f>SUMIF(A:A,"g2",G:G)</f>
        <v>0</v>
      </c>
      <c r="O9" s="18">
        <f>SUMIF(A:A,"g1",J:J)</f>
        <v>0</v>
      </c>
      <c r="P9" s="18">
        <f>SUMIF(A:A,"g2",J:J)</f>
        <v>0</v>
      </c>
      <c r="Q9" s="27"/>
      <c r="R9" s="19" t="s">
        <v>319</v>
      </c>
      <c r="S9" s="19" t="s">
        <v>320</v>
      </c>
      <c r="T9" s="20"/>
    </row>
    <row r="10" spans="1:21" ht="15">
      <c r="A10" t="s">
        <v>40</v>
      </c>
      <c r="B10" t="s">
        <v>39</v>
      </c>
      <c r="C10" t="s">
        <v>25</v>
      </c>
      <c r="D10" t="s">
        <v>33</v>
      </c>
      <c r="E10" t="s">
        <v>27</v>
      </c>
      <c r="F10" t="s">
        <v>28</v>
      </c>
      <c r="G10">
        <v>11.639739036560059</v>
      </c>
      <c r="H10">
        <v>11.6397705078125</v>
      </c>
      <c r="I10">
        <v>4.5181423047324643E-5</v>
      </c>
      <c r="J10">
        <v>550345408</v>
      </c>
      <c r="K10">
        <v>550333952</v>
      </c>
      <c r="L10">
        <v>16201.23046875</v>
      </c>
      <c r="M10" s="51">
        <f>SUMIF(A:A,"A3",G:G)</f>
        <v>13.818707466125488</v>
      </c>
      <c r="N10" s="52">
        <f>SUMIF(A:A,"A4",G:G)</f>
        <v>13.871667861938477</v>
      </c>
      <c r="O10" s="53">
        <f>SUMIF(A:A,"A3",J:J)</f>
        <v>133032520</v>
      </c>
      <c r="P10" s="54">
        <f>SUMIF(A:A,"A4",J:J)</f>
        <v>128519584</v>
      </c>
      <c r="Q10" s="10"/>
      <c r="R10" s="16" t="s">
        <v>321</v>
      </c>
      <c r="S10" s="16" t="s">
        <v>322</v>
      </c>
      <c r="T10" s="24" t="s">
        <v>403</v>
      </c>
      <c r="U10" s="41" t="s">
        <v>323</v>
      </c>
    </row>
    <row r="11" spans="1:21" ht="15">
      <c r="A11" t="s">
        <v>47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18.957149505615234</v>
      </c>
      <c r="H11">
        <v>18.915399551391602</v>
      </c>
      <c r="I11">
        <v>5.904335156083107E-2</v>
      </c>
      <c r="J11">
        <v>5000000</v>
      </c>
      <c r="K11" t="s">
        <v>24</v>
      </c>
      <c r="L11" t="s">
        <v>24</v>
      </c>
      <c r="M11" s="51">
        <f>SUMIF(A:A,"b3",G:G)</f>
        <v>13.65153980255127</v>
      </c>
      <c r="N11" s="52">
        <f>SUMIF(A:A,"b4",G:G)</f>
        <v>13.869942665100098</v>
      </c>
      <c r="O11" s="53">
        <f>SUMIF(A:A,"b3",J:J)</f>
        <v>148343504</v>
      </c>
      <c r="P11" s="54">
        <f>SUMIF(A:A,"b4",J:J)</f>
        <v>128664152</v>
      </c>
      <c r="Q11" s="10"/>
      <c r="R11" s="16" t="s">
        <v>324</v>
      </c>
      <c r="S11" s="16" t="s">
        <v>325</v>
      </c>
      <c r="T11" s="24" t="s">
        <v>404</v>
      </c>
    </row>
    <row r="12" spans="1:21" ht="15">
      <c r="A12" t="s">
        <v>48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18.873649597167969</v>
      </c>
      <c r="H12">
        <v>18.915399551391602</v>
      </c>
      <c r="I12">
        <v>5.904335156083107E-2</v>
      </c>
      <c r="J12">
        <v>5000000</v>
      </c>
      <c r="K12" t="s">
        <v>24</v>
      </c>
      <c r="L12" t="s">
        <v>24</v>
      </c>
      <c r="M12" s="51">
        <f>SUMIF(A:A,"c3",G:G)</f>
        <v>12.403717041015625</v>
      </c>
      <c r="N12" s="52">
        <f>SUMIF(A:A,"c4",G:G)</f>
        <v>12.368759155273438</v>
      </c>
      <c r="O12" s="53">
        <f>SUMIF(A:A,"c3",J:J)</f>
        <v>334517824</v>
      </c>
      <c r="P12" s="54">
        <f>SUMIF(A:A,"c4",J:J)</f>
        <v>342225856</v>
      </c>
      <c r="Q12" s="10"/>
      <c r="R12" s="16" t="s">
        <v>326</v>
      </c>
      <c r="S12" s="16" t="s">
        <v>327</v>
      </c>
      <c r="T12" s="24" t="s">
        <v>405</v>
      </c>
    </row>
    <row r="13" spans="1:21" ht="15">
      <c r="A13" t="s">
        <v>49</v>
      </c>
      <c r="B13" t="s">
        <v>50</v>
      </c>
      <c r="C13" t="s">
        <v>25</v>
      </c>
      <c r="D13" t="s">
        <v>33</v>
      </c>
      <c r="E13" t="s">
        <v>27</v>
      </c>
      <c r="F13" t="s">
        <v>28</v>
      </c>
      <c r="G13">
        <v>13.65153980255127</v>
      </c>
      <c r="H13">
        <v>13.760741233825684</v>
      </c>
      <c r="I13">
        <v>0.15443414449691772</v>
      </c>
      <c r="J13">
        <v>148343504</v>
      </c>
      <c r="K13">
        <v>138503824</v>
      </c>
      <c r="L13">
        <v>13915403</v>
      </c>
      <c r="M13" s="51">
        <f>SUMIF(A:A,"d3",G:G)</f>
        <v>13.615444183349609</v>
      </c>
      <c r="N13" s="52">
        <f>SUMIF(A:A,"d4",G:G)</f>
        <v>13.346470832824707</v>
      </c>
      <c r="O13" s="53">
        <f>SUMIF(A:A,"d3",J:J)</f>
        <v>151874224</v>
      </c>
      <c r="P13" s="54">
        <f>SUMIF(A:A,"d4",J:J)</f>
        <v>180970240</v>
      </c>
      <c r="Q13" s="10"/>
      <c r="R13" s="16" t="s">
        <v>328</v>
      </c>
      <c r="S13" s="16" t="s">
        <v>329</v>
      </c>
      <c r="T13" s="24" t="s">
        <v>406</v>
      </c>
    </row>
    <row r="14" spans="1:21" ht="15">
      <c r="A14" t="s">
        <v>51</v>
      </c>
      <c r="B14" t="s">
        <v>50</v>
      </c>
      <c r="C14" t="s">
        <v>25</v>
      </c>
      <c r="D14" t="s">
        <v>33</v>
      </c>
      <c r="E14" t="s">
        <v>27</v>
      </c>
      <c r="F14" t="s">
        <v>28</v>
      </c>
      <c r="G14">
        <v>13.869942665100098</v>
      </c>
      <c r="H14">
        <v>13.760741233825684</v>
      </c>
      <c r="I14">
        <v>0.15443414449691772</v>
      </c>
      <c r="J14">
        <v>128664152</v>
      </c>
      <c r="K14">
        <v>138503824</v>
      </c>
      <c r="L14">
        <v>13915403</v>
      </c>
      <c r="M14" s="51">
        <f>SUMIF(A:A,"e3",G:G)</f>
        <v>13.800491333007812</v>
      </c>
      <c r="N14" s="52">
        <f>SUMIF(A:A,"e4",G:G)</f>
        <v>13.715537071228027</v>
      </c>
      <c r="O14" s="53">
        <f>SUMIF(A:A,"e3",J:J)</f>
        <v>134621120</v>
      </c>
      <c r="P14" s="54">
        <f>SUMIF(A:A,"e4",J:J)</f>
        <v>142284112</v>
      </c>
      <c r="Q14" s="10"/>
      <c r="R14" s="16" t="s">
        <v>330</v>
      </c>
      <c r="S14" s="16" t="s">
        <v>331</v>
      </c>
      <c r="T14" s="24" t="s">
        <v>407</v>
      </c>
    </row>
    <row r="15" spans="1:21" ht="15">
      <c r="A15" t="s">
        <v>52</v>
      </c>
      <c r="B15" t="s">
        <v>53</v>
      </c>
      <c r="C15" t="s">
        <v>25</v>
      </c>
      <c r="D15" t="s">
        <v>33</v>
      </c>
      <c r="E15" t="s">
        <v>27</v>
      </c>
      <c r="F15" t="s">
        <v>28</v>
      </c>
      <c r="G15">
        <v>12.171513557434082</v>
      </c>
      <c r="H15">
        <v>12.071239471435547</v>
      </c>
      <c r="I15">
        <v>0.14180964231491089</v>
      </c>
      <c r="J15">
        <v>389166976</v>
      </c>
      <c r="K15">
        <v>416333728</v>
      </c>
      <c r="L15">
        <v>38419588</v>
      </c>
      <c r="M15" s="51">
        <f>SUMIF(A:A,"f3",G:G)</f>
        <v>12.722023010253906</v>
      </c>
      <c r="N15" s="52">
        <f>SUMIF(A:A,"f4",G:G)</f>
        <v>12.556673049926758</v>
      </c>
      <c r="O15" s="53">
        <f>SUMIF(A:A,"f3",J:J)</f>
        <v>271853152</v>
      </c>
      <c r="P15" s="54">
        <f>SUMIF(A:A,"f4",J:J)</f>
        <v>302782400</v>
      </c>
      <c r="Q15" s="10"/>
      <c r="R15" s="16" t="s">
        <v>332</v>
      </c>
      <c r="S15" s="16" t="s">
        <v>333</v>
      </c>
      <c r="T15" s="24" t="s">
        <v>408</v>
      </c>
    </row>
    <row r="16" spans="1:21" ht="15">
      <c r="A16" t="s">
        <v>54</v>
      </c>
      <c r="B16" t="s">
        <v>53</v>
      </c>
      <c r="C16" t="s">
        <v>25</v>
      </c>
      <c r="D16" t="s">
        <v>33</v>
      </c>
      <c r="E16" t="s">
        <v>27</v>
      </c>
      <c r="F16" t="s">
        <v>28</v>
      </c>
      <c r="G16">
        <v>11.970964431762695</v>
      </c>
      <c r="H16">
        <v>12.071239471435547</v>
      </c>
      <c r="I16">
        <v>0.14180964231491089</v>
      </c>
      <c r="J16">
        <v>443500480</v>
      </c>
      <c r="K16">
        <v>416333728</v>
      </c>
      <c r="L16">
        <v>38419588</v>
      </c>
      <c r="M16" s="51">
        <f>SUMIF(A:A,"g3",G:G)</f>
        <v>12.707447052001953</v>
      </c>
      <c r="N16" s="52">
        <f>SUMIF(A:A,"g4",G:G)</f>
        <v>12.654256820678711</v>
      </c>
      <c r="O16" s="53">
        <f>SUMIF(A:A,"g3",J:J)</f>
        <v>274447680</v>
      </c>
      <c r="P16" s="54">
        <f>SUMIF(A:A,"g4",J:J)</f>
        <v>284127392</v>
      </c>
      <c r="Q16" s="10"/>
      <c r="R16" s="16" t="s">
        <v>334</v>
      </c>
      <c r="S16" s="16" t="s">
        <v>335</v>
      </c>
      <c r="T16" s="24" t="s">
        <v>409</v>
      </c>
    </row>
    <row r="17" spans="1:20" ht="15">
      <c r="A17" t="s">
        <v>55</v>
      </c>
      <c r="B17" t="s">
        <v>56</v>
      </c>
      <c r="C17" t="s">
        <v>25</v>
      </c>
      <c r="D17" t="s">
        <v>33</v>
      </c>
      <c r="E17" t="s">
        <v>27</v>
      </c>
      <c r="F17" t="s">
        <v>28</v>
      </c>
      <c r="G17">
        <v>11.185166358947754</v>
      </c>
      <c r="H17">
        <v>11.195852279663086</v>
      </c>
      <c r="I17">
        <v>1.5112173743546009E-2</v>
      </c>
      <c r="J17">
        <v>740091776</v>
      </c>
      <c r="K17">
        <v>734973824</v>
      </c>
      <c r="L17">
        <v>7237922.5</v>
      </c>
      <c r="M17" s="56">
        <f>SUMIF(A:A,"h3",G:G)</f>
        <v>11.410981178283691</v>
      </c>
      <c r="N17" s="57">
        <f>SUMIF(A:A,"h4",G:G)</f>
        <v>11.499599456787109</v>
      </c>
      <c r="O17" s="58">
        <f>SUMIF(A:A,"h3",J:J)</f>
        <v>638817664</v>
      </c>
      <c r="P17" s="59">
        <f>SUMIF(A:A,"h4",J:J)</f>
        <v>602971456</v>
      </c>
      <c r="Q17" s="10"/>
      <c r="R17" s="21" t="s">
        <v>336</v>
      </c>
      <c r="S17" s="21" t="s">
        <v>337</v>
      </c>
      <c r="T17" s="24" t="s">
        <v>410</v>
      </c>
    </row>
    <row r="18" spans="1:20" ht="15">
      <c r="A18" t="s">
        <v>57</v>
      </c>
      <c r="B18" t="s">
        <v>56</v>
      </c>
      <c r="C18" t="s">
        <v>25</v>
      </c>
      <c r="D18" t="s">
        <v>33</v>
      </c>
      <c r="E18" t="s">
        <v>27</v>
      </c>
      <c r="F18" t="s">
        <v>28</v>
      </c>
      <c r="G18">
        <v>11.206538200378418</v>
      </c>
      <c r="H18">
        <v>11.195852279663086</v>
      </c>
      <c r="I18">
        <v>1.5112173743546009E-2</v>
      </c>
      <c r="J18">
        <v>729855808</v>
      </c>
      <c r="K18">
        <v>734973824</v>
      </c>
      <c r="L18">
        <v>7237922.5</v>
      </c>
      <c r="M18" s="51">
        <f>SUMIF(A:A,"A5",G:G)</f>
        <v>11.153896331787109</v>
      </c>
      <c r="N18" s="52">
        <f>SUMIF(A:A,"A6",G:G)</f>
        <v>11.335830688476562</v>
      </c>
      <c r="O18" s="53">
        <f>SUMIF(A:A,"A5",J:J)</f>
        <v>755327680</v>
      </c>
      <c r="P18" s="54">
        <f>SUMIF(A:A,"A6",J:J)</f>
        <v>670881088</v>
      </c>
      <c r="Q18" s="10"/>
      <c r="R18" s="16" t="s">
        <v>338</v>
      </c>
      <c r="S18" s="87" t="s">
        <v>339</v>
      </c>
      <c r="T18" s="24" t="s">
        <v>411</v>
      </c>
    </row>
    <row r="19" spans="1:20" ht="15">
      <c r="A19" t="s">
        <v>64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22.479665756225586</v>
      </c>
      <c r="H19">
        <v>22.493223190307617</v>
      </c>
      <c r="I19">
        <v>1.9173108041286469E-2</v>
      </c>
      <c r="J19">
        <v>500000</v>
      </c>
      <c r="K19" t="s">
        <v>24</v>
      </c>
      <c r="L19" t="s">
        <v>24</v>
      </c>
      <c r="M19" s="51">
        <f>SUMIF(A:A,"b5",G:G)</f>
        <v>12.171513557434082</v>
      </c>
      <c r="N19" s="52">
        <f>SUMIF(A:A,"b6",G:G)</f>
        <v>11.970964431762695</v>
      </c>
      <c r="O19" s="53">
        <f>SUMIF(A:A,"b5",J:J)</f>
        <v>389166976</v>
      </c>
      <c r="P19" s="54">
        <f>SUMIF(A:A,"b6",J:J)</f>
        <v>443500480</v>
      </c>
      <c r="Q19" s="10"/>
      <c r="R19" s="16" t="s">
        <v>340</v>
      </c>
      <c r="S19" s="87" t="s">
        <v>341</v>
      </c>
      <c r="T19" s="24" t="s">
        <v>412</v>
      </c>
    </row>
    <row r="20" spans="1:20" ht="15">
      <c r="A20" t="s">
        <v>65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22.506780624389648</v>
      </c>
      <c r="H20">
        <v>22.493223190307617</v>
      </c>
      <c r="I20">
        <v>1.9173108041286469E-2</v>
      </c>
      <c r="J20">
        <v>500000</v>
      </c>
      <c r="K20" t="s">
        <v>24</v>
      </c>
      <c r="L20" t="s">
        <v>24</v>
      </c>
      <c r="M20" s="51">
        <f>SUMIF(A:A,"c5",G:G)</f>
        <v>12.757363319396973</v>
      </c>
      <c r="N20" s="52">
        <f>SUMIF(A:A,"c6",G:G)</f>
        <v>12.701064109802246</v>
      </c>
      <c r="O20" s="53">
        <f>SUMIF(A:A,"c5",J:J)</f>
        <v>265663920</v>
      </c>
      <c r="P20" s="54">
        <f>SUMIF(A:A,"c6",J:J)</f>
        <v>275591616</v>
      </c>
      <c r="Q20" s="10"/>
      <c r="R20" s="16" t="s">
        <v>342</v>
      </c>
      <c r="S20" s="87" t="s">
        <v>343</v>
      </c>
      <c r="T20" s="24" t="s">
        <v>413</v>
      </c>
    </row>
    <row r="21" spans="1:20" ht="15">
      <c r="A21" t="s">
        <v>66</v>
      </c>
      <c r="B21" t="s">
        <v>67</v>
      </c>
      <c r="C21" t="s">
        <v>25</v>
      </c>
      <c r="D21" t="s">
        <v>33</v>
      </c>
      <c r="E21" t="s">
        <v>27</v>
      </c>
      <c r="F21" t="s">
        <v>28</v>
      </c>
      <c r="G21">
        <v>12.403717041015625</v>
      </c>
      <c r="H21">
        <v>12.386238098144531</v>
      </c>
      <c r="I21">
        <v>2.4718958884477615E-2</v>
      </c>
      <c r="J21">
        <v>334517824</v>
      </c>
      <c r="K21">
        <v>338371840</v>
      </c>
      <c r="L21">
        <v>5450401.5</v>
      </c>
      <c r="M21" s="51">
        <f>SUMIF(A:A,"d5",G:G)</f>
        <v>11.99601936340332</v>
      </c>
      <c r="N21" s="52">
        <f>SUMIF(A:A,"d6",G:G)</f>
        <v>11.930785179138184</v>
      </c>
      <c r="O21" s="53">
        <f>SUMIF(A:A,"d5",J:J)</f>
        <v>436318080</v>
      </c>
      <c r="P21" s="54">
        <f>SUMIF(A:A,"d6",J:J)</f>
        <v>455266144</v>
      </c>
      <c r="Q21" s="10"/>
      <c r="R21" s="16" t="s">
        <v>344</v>
      </c>
      <c r="S21" s="87" t="s">
        <v>345</v>
      </c>
      <c r="T21" s="24" t="s">
        <v>414</v>
      </c>
    </row>
    <row r="22" spans="1:20" ht="15">
      <c r="A22" t="s">
        <v>68</v>
      </c>
      <c r="B22" t="s">
        <v>67</v>
      </c>
      <c r="C22" t="s">
        <v>25</v>
      </c>
      <c r="D22" t="s">
        <v>33</v>
      </c>
      <c r="E22" t="s">
        <v>27</v>
      </c>
      <c r="F22" t="s">
        <v>28</v>
      </c>
      <c r="G22">
        <v>12.368759155273438</v>
      </c>
      <c r="H22">
        <v>12.386238098144531</v>
      </c>
      <c r="I22">
        <v>2.4718958884477615E-2</v>
      </c>
      <c r="J22">
        <v>342225856</v>
      </c>
      <c r="K22">
        <v>338371840</v>
      </c>
      <c r="L22">
        <v>5450401.5</v>
      </c>
      <c r="M22" s="51">
        <f>SUMIF(A:A,"e5",G:G)</f>
        <v>9.8405923843383789</v>
      </c>
      <c r="N22" s="52">
        <f>SUMIF(A:A,"e6",G:G)</f>
        <v>9.9003124237060547</v>
      </c>
      <c r="O22" s="53">
        <f>SUMIF(A:A,"e5",J:J)</f>
        <v>1777535104</v>
      </c>
      <c r="P22" s="54">
        <f>SUMIF(A:A,"e6",J:J)</f>
        <v>1709687040</v>
      </c>
      <c r="Q22" s="10"/>
      <c r="R22" s="16" t="s">
        <v>346</v>
      </c>
      <c r="S22" s="88" t="s">
        <v>347</v>
      </c>
      <c r="T22" s="24" t="s">
        <v>415</v>
      </c>
    </row>
    <row r="23" spans="1:20" ht="15">
      <c r="A23" t="s">
        <v>69</v>
      </c>
      <c r="B23" t="s">
        <v>70</v>
      </c>
      <c r="C23" t="s">
        <v>25</v>
      </c>
      <c r="D23" t="s">
        <v>33</v>
      </c>
      <c r="E23" t="s">
        <v>27</v>
      </c>
      <c r="F23" t="s">
        <v>28</v>
      </c>
      <c r="G23">
        <v>12.757363319396973</v>
      </c>
      <c r="H23">
        <v>12.729213714599609</v>
      </c>
      <c r="I23">
        <v>3.980955109000206E-2</v>
      </c>
      <c r="J23">
        <v>265663920</v>
      </c>
      <c r="K23">
        <v>270627776</v>
      </c>
      <c r="L23">
        <v>7019941</v>
      </c>
      <c r="M23" s="51">
        <f>SUMIF(A:A,"f5",G:G)</f>
        <v>10.451946258544922</v>
      </c>
      <c r="N23" s="52">
        <f>SUMIF(A:A,"f6",G:G)</f>
        <v>10.543176651000977</v>
      </c>
      <c r="O23" s="53">
        <f>SUMIF(A:A,"f5",J:J)</f>
        <v>1193429504</v>
      </c>
      <c r="P23" s="54">
        <f>SUMIF(A:A,"f6",J:J)</f>
        <v>1124546304</v>
      </c>
      <c r="Q23" s="10"/>
      <c r="R23" s="16" t="s">
        <v>348</v>
      </c>
      <c r="S23" s="88" t="s">
        <v>349</v>
      </c>
      <c r="T23" s="24" t="s">
        <v>416</v>
      </c>
    </row>
    <row r="24" spans="1:20" ht="15">
      <c r="A24" t="s">
        <v>71</v>
      </c>
      <c r="B24" t="s">
        <v>70</v>
      </c>
      <c r="C24" t="s">
        <v>25</v>
      </c>
      <c r="D24" t="s">
        <v>33</v>
      </c>
      <c r="E24" t="s">
        <v>27</v>
      </c>
      <c r="F24" t="s">
        <v>28</v>
      </c>
      <c r="G24">
        <v>12.701064109802246</v>
      </c>
      <c r="H24">
        <v>12.729213714599609</v>
      </c>
      <c r="I24">
        <v>3.980955109000206E-2</v>
      </c>
      <c r="J24">
        <v>275591616</v>
      </c>
      <c r="K24">
        <v>270627776</v>
      </c>
      <c r="L24">
        <v>7019941</v>
      </c>
      <c r="M24" s="51">
        <f>SUMIF(A:A,"g5",G:G)</f>
        <v>11.054573059082031</v>
      </c>
      <c r="N24" s="52">
        <f>SUMIF(A:A,"g6",G:G)</f>
        <v>11.079248428344727</v>
      </c>
      <c r="O24" s="53">
        <f>SUMIF(A:A,"g5",J:J)</f>
        <v>805833344</v>
      </c>
      <c r="P24" s="54">
        <f>SUMIF(A:A,"g6",J:J)</f>
        <v>792979200</v>
      </c>
      <c r="Q24" s="10"/>
      <c r="R24" s="16" t="s">
        <v>350</v>
      </c>
      <c r="S24" s="88" t="s">
        <v>351</v>
      </c>
      <c r="T24" s="24" t="s">
        <v>417</v>
      </c>
    </row>
    <row r="25" spans="1:20" ht="15">
      <c r="A25" t="s">
        <v>72</v>
      </c>
      <c r="B25" t="s">
        <v>73</v>
      </c>
      <c r="C25" t="s">
        <v>25</v>
      </c>
      <c r="D25" t="s">
        <v>33</v>
      </c>
      <c r="E25" t="s">
        <v>27</v>
      </c>
      <c r="F25" t="s">
        <v>28</v>
      </c>
      <c r="G25">
        <v>11.284746170043945</v>
      </c>
      <c r="H25">
        <v>11.3258056640625</v>
      </c>
      <c r="I25">
        <v>5.8066219091415405E-2</v>
      </c>
      <c r="J25">
        <v>693590528</v>
      </c>
      <c r="K25">
        <v>675520192</v>
      </c>
      <c r="L25">
        <v>25555314</v>
      </c>
      <c r="M25" s="56">
        <f>SUMIF(A:A,"h5",G:G)</f>
        <v>10.416784286499023</v>
      </c>
      <c r="N25" s="57">
        <f>SUMIF(A:A,"h6",G:G)</f>
        <v>10.889835357666016</v>
      </c>
      <c r="O25" s="58">
        <f>SUMIF(A:A,"h5",J:J)</f>
        <v>1221091200</v>
      </c>
      <c r="P25" s="59">
        <f>SUMIF(A:A,"h6",J:J)</f>
        <v>897156544</v>
      </c>
      <c r="Q25" s="10"/>
      <c r="R25" s="21" t="s">
        <v>352</v>
      </c>
      <c r="S25" s="89" t="s">
        <v>353</v>
      </c>
      <c r="T25" s="24" t="s">
        <v>418</v>
      </c>
    </row>
    <row r="26" spans="1:20" ht="15">
      <c r="A26" t="s">
        <v>74</v>
      </c>
      <c r="B26" t="s">
        <v>73</v>
      </c>
      <c r="C26" t="s">
        <v>25</v>
      </c>
      <c r="D26" t="s">
        <v>33</v>
      </c>
      <c r="E26" t="s">
        <v>27</v>
      </c>
      <c r="F26" t="s">
        <v>28</v>
      </c>
      <c r="G26">
        <v>11.366864204406738</v>
      </c>
      <c r="H26">
        <v>11.3258056640625</v>
      </c>
      <c r="I26">
        <v>5.8066219091415405E-2</v>
      </c>
      <c r="J26">
        <v>657449856</v>
      </c>
      <c r="K26">
        <v>675520192</v>
      </c>
      <c r="L26">
        <v>25555314</v>
      </c>
      <c r="M26" s="55">
        <f>SUMIF(A:A,"A7",G:G)</f>
        <v>11.639802932739258</v>
      </c>
      <c r="N26" s="55">
        <f>SUMIF(A:A,"A8",G:G)</f>
        <v>11.639739036560059</v>
      </c>
      <c r="O26" s="53">
        <f>SUMIF(A:A,"A7",J:J)</f>
        <v>550322496</v>
      </c>
      <c r="P26" s="54">
        <f>SUMIF(A:A,"A8",J:J)</f>
        <v>550345408</v>
      </c>
      <c r="Q26" s="10"/>
      <c r="R26" s="16" t="s">
        <v>355</v>
      </c>
      <c r="S26" s="16" t="s">
        <v>356</v>
      </c>
      <c r="T26" s="24" t="s">
        <v>419</v>
      </c>
    </row>
    <row r="27" spans="1:20" ht="15">
      <c r="A27" t="s">
        <v>81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>
        <v>26.136688232421875</v>
      </c>
      <c r="H27">
        <v>26.338348388671875</v>
      </c>
      <c r="I27">
        <v>0.28519052267074585</v>
      </c>
      <c r="J27">
        <v>50000</v>
      </c>
      <c r="K27" t="s">
        <v>24</v>
      </c>
      <c r="L27" t="s">
        <v>24</v>
      </c>
      <c r="M27" s="55">
        <f>SUMIF(A:A,"b7",G:G)</f>
        <v>11.185166358947754</v>
      </c>
      <c r="N27" s="55">
        <f>SUMIF(A:A,"b8",G:G)</f>
        <v>11.206538200378418</v>
      </c>
      <c r="O27" s="53">
        <f>SUMIF(A:A,"b7",J:J)</f>
        <v>740091776</v>
      </c>
      <c r="P27" s="54">
        <f>SUMIF(A:A,"b8",J:J)</f>
        <v>729855808</v>
      </c>
      <c r="Q27" s="10"/>
      <c r="R27" s="16" t="s">
        <v>357</v>
      </c>
      <c r="S27" s="16" t="s">
        <v>358</v>
      </c>
      <c r="T27" s="24" t="s">
        <v>420</v>
      </c>
    </row>
    <row r="28" spans="1:20" ht="15">
      <c r="A28" t="s">
        <v>82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>
        <v>26.540008544921875</v>
      </c>
      <c r="H28">
        <v>26.338348388671875</v>
      </c>
      <c r="I28">
        <v>0.28519052267074585</v>
      </c>
      <c r="J28">
        <v>50000</v>
      </c>
      <c r="K28" t="s">
        <v>24</v>
      </c>
      <c r="L28" t="s">
        <v>24</v>
      </c>
      <c r="M28" s="55">
        <f>SUMIF(A:A,"c7",G:G)</f>
        <v>11.284746170043945</v>
      </c>
      <c r="N28" s="55">
        <f>SUMIF(A:A,"c8",G:G)</f>
        <v>11.366864204406738</v>
      </c>
      <c r="O28" s="53">
        <f>SUMIF(A:A,"c7",J:J)</f>
        <v>693590528</v>
      </c>
      <c r="P28" s="54">
        <f>SUMIF(A:A,"c8",J:J)</f>
        <v>657449856</v>
      </c>
      <c r="Q28" s="10"/>
      <c r="R28" s="16" t="s">
        <v>359</v>
      </c>
      <c r="S28" s="16" t="s">
        <v>360</v>
      </c>
      <c r="T28" s="24" t="s">
        <v>421</v>
      </c>
    </row>
    <row r="29" spans="1:20" ht="15">
      <c r="A29" t="s">
        <v>83</v>
      </c>
      <c r="B29" t="s">
        <v>84</v>
      </c>
      <c r="C29" t="s">
        <v>25</v>
      </c>
      <c r="D29" t="s">
        <v>33</v>
      </c>
      <c r="E29" t="s">
        <v>27</v>
      </c>
      <c r="F29" t="s">
        <v>28</v>
      </c>
      <c r="G29">
        <v>13.615444183349609</v>
      </c>
      <c r="H29">
        <v>13.48095703125</v>
      </c>
      <c r="I29">
        <v>0.19019287824630737</v>
      </c>
      <c r="J29">
        <v>151874224</v>
      </c>
      <c r="K29">
        <v>166422240</v>
      </c>
      <c r="L29">
        <v>20573990</v>
      </c>
      <c r="M29" s="55">
        <f>SUMIF(A:A,"d7",G:G)</f>
        <v>11.014986991882324</v>
      </c>
      <c r="N29" s="55">
        <f>SUMIF(A:A,"d8",G:G)</f>
        <v>11.143852233886719</v>
      </c>
      <c r="O29" s="53">
        <f>SUMIF(A:A,"d7",J:J)</f>
        <v>826891712</v>
      </c>
      <c r="P29" s="54">
        <f>SUMIF(A:A,"d8",J:J)</f>
        <v>760287808</v>
      </c>
      <c r="Q29" s="10"/>
      <c r="R29" s="16" t="s">
        <v>361</v>
      </c>
      <c r="S29" s="16" t="s">
        <v>362</v>
      </c>
      <c r="T29" s="24" t="s">
        <v>422</v>
      </c>
    </row>
    <row r="30" spans="1:20" ht="15">
      <c r="A30" t="s">
        <v>85</v>
      </c>
      <c r="B30" t="s">
        <v>84</v>
      </c>
      <c r="C30" t="s">
        <v>25</v>
      </c>
      <c r="D30" t="s">
        <v>33</v>
      </c>
      <c r="E30" t="s">
        <v>27</v>
      </c>
      <c r="F30" t="s">
        <v>28</v>
      </c>
      <c r="G30">
        <v>13.346470832824707</v>
      </c>
      <c r="H30">
        <v>13.48095703125</v>
      </c>
      <c r="I30">
        <v>0.19019287824630737</v>
      </c>
      <c r="J30">
        <v>180970240</v>
      </c>
      <c r="K30">
        <v>166422240</v>
      </c>
      <c r="L30">
        <v>20573990</v>
      </c>
      <c r="M30" s="55">
        <f>SUMIF(A:A,"e7",G:G)</f>
        <v>10.360742568969727</v>
      </c>
      <c r="N30" s="55">
        <f>SUMIF(A:A,"e8",G:G)</f>
        <v>10.513825416564941</v>
      </c>
      <c r="O30" s="53">
        <f>SUMIF(A:A,"e7",J:J)</f>
        <v>1266510080</v>
      </c>
      <c r="P30" s="54">
        <f>SUMIF(A:A,"e8",J:J)</f>
        <v>1146262656</v>
      </c>
      <c r="Q30" s="10"/>
      <c r="R30" s="16" t="s">
        <v>363</v>
      </c>
      <c r="S30" s="16" t="s">
        <v>364</v>
      </c>
      <c r="T30" s="24" t="s">
        <v>423</v>
      </c>
    </row>
    <row r="31" spans="1:20" ht="15">
      <c r="A31" t="s">
        <v>86</v>
      </c>
      <c r="B31" t="s">
        <v>87</v>
      </c>
      <c r="C31" t="s">
        <v>25</v>
      </c>
      <c r="D31" t="s">
        <v>33</v>
      </c>
      <c r="E31" t="s">
        <v>27</v>
      </c>
      <c r="F31" t="s">
        <v>28</v>
      </c>
      <c r="G31">
        <v>11.99601936340332</v>
      </c>
      <c r="H31">
        <v>11.963401794433594</v>
      </c>
      <c r="I31">
        <v>4.6127535402774811E-2</v>
      </c>
      <c r="J31">
        <v>436318080</v>
      </c>
      <c r="K31">
        <v>445792128</v>
      </c>
      <c r="L31">
        <v>13398305</v>
      </c>
      <c r="M31" s="55">
        <f>SUMIF(A:A,"f7",G:G)</f>
        <v>11.213201522827148</v>
      </c>
      <c r="N31" s="55">
        <f>SUMIF(A:A,"f8",G:G)</f>
        <v>11.294681549072266</v>
      </c>
      <c r="O31" s="53">
        <f>SUMIF(A:A,"f7",J:J)</f>
        <v>726693440</v>
      </c>
      <c r="P31" s="54">
        <f>SUMIF(A:A,"f8",J:J)</f>
        <v>689114368</v>
      </c>
      <c r="Q31" s="10"/>
      <c r="R31" s="16" t="s">
        <v>365</v>
      </c>
      <c r="S31" s="16" t="s">
        <v>366</v>
      </c>
      <c r="T31" s="24" t="s">
        <v>424</v>
      </c>
    </row>
    <row r="32" spans="1:20" ht="15">
      <c r="A32" t="s">
        <v>88</v>
      </c>
      <c r="B32" t="s">
        <v>87</v>
      </c>
      <c r="C32" t="s">
        <v>25</v>
      </c>
      <c r="D32" t="s">
        <v>33</v>
      </c>
      <c r="E32" t="s">
        <v>27</v>
      </c>
      <c r="F32" t="s">
        <v>28</v>
      </c>
      <c r="G32">
        <v>11.930785179138184</v>
      </c>
      <c r="H32">
        <v>11.963401794433594</v>
      </c>
      <c r="I32">
        <v>4.6127535402774811E-2</v>
      </c>
      <c r="J32">
        <v>455266144</v>
      </c>
      <c r="K32">
        <v>445792128</v>
      </c>
      <c r="L32">
        <v>13398305</v>
      </c>
      <c r="M32" s="55">
        <f>SUMIF(A:A,"g7",G:G)</f>
        <v>11.360137939453125</v>
      </c>
      <c r="N32" s="55">
        <f>SUMIF(A:A,"g8",G:G)</f>
        <v>11.406368255615234</v>
      </c>
      <c r="O32" s="53">
        <f>SUMIF(A:A,"g7",J:J)</f>
        <v>660337920</v>
      </c>
      <c r="P32" s="54">
        <f>SUMIF(A:A,"g8",J:J)</f>
        <v>640740864</v>
      </c>
      <c r="Q32" s="10"/>
      <c r="R32" s="16" t="s">
        <v>367</v>
      </c>
      <c r="S32" s="16" t="s">
        <v>368</v>
      </c>
      <c r="T32" s="24" t="s">
        <v>425</v>
      </c>
    </row>
    <row r="33" spans="1:20" ht="15">
      <c r="A33" t="s">
        <v>89</v>
      </c>
      <c r="B33" t="s">
        <v>90</v>
      </c>
      <c r="C33" t="s">
        <v>25</v>
      </c>
      <c r="D33" t="s">
        <v>33</v>
      </c>
      <c r="E33" t="s">
        <v>27</v>
      </c>
      <c r="F33" t="s">
        <v>28</v>
      </c>
      <c r="G33">
        <v>11.014986991882324</v>
      </c>
      <c r="H33">
        <v>11.07942008972168</v>
      </c>
      <c r="I33">
        <v>9.1121487319469452E-2</v>
      </c>
      <c r="J33">
        <v>826891712</v>
      </c>
      <c r="K33">
        <v>793589760</v>
      </c>
      <c r="L33">
        <v>47096072</v>
      </c>
      <c r="M33" s="57">
        <f>SUMIF(A:A,"h7",G:G)</f>
        <v>12.244077682495117</v>
      </c>
      <c r="N33" s="57">
        <f>SUMIF(A:A,"h8",G:G)</f>
        <v>12.038273811340332</v>
      </c>
      <c r="O33" s="59">
        <f>SUMIF(A:A,"h7",J:J)</f>
        <v>371192640</v>
      </c>
      <c r="P33" s="59">
        <f>SUMIF(A:A,"h8",J:J)</f>
        <v>424467680</v>
      </c>
      <c r="Q33" s="10"/>
      <c r="R33" s="21" t="s">
        <v>401</v>
      </c>
      <c r="S33" s="21" t="s">
        <v>402</v>
      </c>
      <c r="T33" s="24" t="s">
        <v>426</v>
      </c>
    </row>
    <row r="34" spans="1:20" ht="15">
      <c r="A34" t="s">
        <v>91</v>
      </c>
      <c r="B34" t="s">
        <v>90</v>
      </c>
      <c r="C34" t="s">
        <v>25</v>
      </c>
      <c r="D34" t="s">
        <v>33</v>
      </c>
      <c r="E34" t="s">
        <v>27</v>
      </c>
      <c r="F34" t="s">
        <v>28</v>
      </c>
      <c r="G34">
        <v>11.143852233886719</v>
      </c>
      <c r="H34">
        <v>11.07942008972168</v>
      </c>
      <c r="I34">
        <v>9.1121487319469452E-2</v>
      </c>
      <c r="J34">
        <v>760287808</v>
      </c>
      <c r="K34">
        <v>793589760</v>
      </c>
      <c r="L34">
        <v>47096072</v>
      </c>
      <c r="M34" s="52">
        <f>SUMIF(A:A,"A9",G:G)</f>
        <v>0</v>
      </c>
      <c r="N34" s="52">
        <f>SUMIF(A:A,"A10",G:G)</f>
        <v>0</v>
      </c>
      <c r="O34" s="54">
        <f>SUMIF(A:A,"A9",J:J)</f>
        <v>0</v>
      </c>
      <c r="P34" s="54">
        <f>SUMIF(A:A,"A10",J:J)</f>
        <v>0</v>
      </c>
      <c r="Q34" s="10"/>
      <c r="R34" s="16" t="s">
        <v>369</v>
      </c>
      <c r="S34" s="16" t="s">
        <v>370</v>
      </c>
      <c r="T34" s="24" t="s">
        <v>427</v>
      </c>
    </row>
    <row r="35" spans="1:20" ht="15">
      <c r="A35" t="s">
        <v>98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>
        <v>29.899141311645508</v>
      </c>
      <c r="H35">
        <v>29.820098876953125</v>
      </c>
      <c r="I35">
        <v>0.11178288608789444</v>
      </c>
      <c r="J35">
        <v>5000</v>
      </c>
      <c r="K35" t="s">
        <v>24</v>
      </c>
      <c r="L35" t="s">
        <v>24</v>
      </c>
      <c r="M35" s="52">
        <f>SUMIF(A:A,"b9",G:G)</f>
        <v>0</v>
      </c>
      <c r="N35" s="52">
        <f>SUMIF(A:A,"b10",G:G)</f>
        <v>0</v>
      </c>
      <c r="O35" s="54">
        <f>SUMIF(A:A,"b9",J:J)</f>
        <v>0</v>
      </c>
      <c r="P35" s="54">
        <f>SUMIF(A:A,"b10",J:J)</f>
        <v>0</v>
      </c>
      <c r="Q35" s="10"/>
      <c r="R35" s="16" t="s">
        <v>371</v>
      </c>
      <c r="S35" s="16" t="s">
        <v>372</v>
      </c>
      <c r="T35" s="24" t="s">
        <v>428</v>
      </c>
    </row>
    <row r="36" spans="1:20" ht="15">
      <c r="A36" t="s">
        <v>99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>
        <v>29.741056442260742</v>
      </c>
      <c r="H36">
        <v>29.820098876953125</v>
      </c>
      <c r="I36">
        <v>0.11178288608789444</v>
      </c>
      <c r="J36">
        <v>5000</v>
      </c>
      <c r="K36" t="s">
        <v>24</v>
      </c>
      <c r="L36" t="s">
        <v>24</v>
      </c>
      <c r="M36" s="52">
        <f>SUMIF(A:A,"c9",G:G)</f>
        <v>0</v>
      </c>
      <c r="N36" s="52">
        <f>SUMIF(A:A,"c10",G:G)</f>
        <v>0</v>
      </c>
      <c r="O36" s="54">
        <f>SUMIF(A:A,"c9",J:J)</f>
        <v>0</v>
      </c>
      <c r="P36" s="54">
        <f>SUMIF(A:A,"c10",J:J)</f>
        <v>0</v>
      </c>
      <c r="Q36" s="10"/>
      <c r="R36" s="16" t="s">
        <v>373</v>
      </c>
      <c r="S36" s="16" t="s">
        <v>374</v>
      </c>
      <c r="T36" s="24" t="s">
        <v>429</v>
      </c>
    </row>
    <row r="37" spans="1:20" ht="15">
      <c r="A37" t="s">
        <v>100</v>
      </c>
      <c r="B37" t="s">
        <v>101</v>
      </c>
      <c r="C37" t="s">
        <v>25</v>
      </c>
      <c r="D37" t="s">
        <v>33</v>
      </c>
      <c r="E37" t="s">
        <v>27</v>
      </c>
      <c r="F37" t="s">
        <v>28</v>
      </c>
      <c r="G37">
        <v>13.800491333007812</v>
      </c>
      <c r="H37">
        <v>13.758014678955078</v>
      </c>
      <c r="I37">
        <v>6.0071732848882675E-2</v>
      </c>
      <c r="J37">
        <v>134621120</v>
      </c>
      <c r="K37">
        <v>138452608</v>
      </c>
      <c r="L37">
        <v>5418553.5</v>
      </c>
      <c r="M37" s="52">
        <f>SUMIF(A:A,"d9",G:G)</f>
        <v>0</v>
      </c>
      <c r="N37" s="52">
        <f>SUMIF(A:A,"d10",G:G)</f>
        <v>0</v>
      </c>
      <c r="O37" s="54">
        <f>SUMIF(A:A,"d9",J:J)</f>
        <v>0</v>
      </c>
      <c r="P37" s="54">
        <f>SUMIF(A:A,"d10",J:J)</f>
        <v>0</v>
      </c>
      <c r="Q37" s="10"/>
      <c r="R37" s="16" t="s">
        <v>375</v>
      </c>
      <c r="S37" s="16" t="s">
        <v>376</v>
      </c>
      <c r="T37" s="24" t="s">
        <v>430</v>
      </c>
    </row>
    <row r="38" spans="1:20" ht="15">
      <c r="A38" t="s">
        <v>102</v>
      </c>
      <c r="B38" t="s">
        <v>101</v>
      </c>
      <c r="C38" t="s">
        <v>25</v>
      </c>
      <c r="D38" t="s">
        <v>33</v>
      </c>
      <c r="E38" t="s">
        <v>27</v>
      </c>
      <c r="F38" t="s">
        <v>28</v>
      </c>
      <c r="G38">
        <v>13.715537071228027</v>
      </c>
      <c r="H38">
        <v>13.758014678955078</v>
      </c>
      <c r="I38">
        <v>6.0071732848882675E-2</v>
      </c>
      <c r="J38">
        <v>142284112</v>
      </c>
      <c r="K38">
        <v>138452608</v>
      </c>
      <c r="L38">
        <v>5418553.5</v>
      </c>
      <c r="M38" s="52">
        <f>SUMIF(A:A,"e9",G:G)</f>
        <v>0</v>
      </c>
      <c r="N38" s="52">
        <f>SUMIF(A:A,"e10",G:G)</f>
        <v>0</v>
      </c>
      <c r="O38" s="54">
        <f>SUMIF(A:A,"e9",J:J)</f>
        <v>0</v>
      </c>
      <c r="P38" s="54">
        <f>SUMIF(A:A,"e10",J:J)</f>
        <v>0</v>
      </c>
      <c r="Q38" s="10"/>
      <c r="R38" s="16" t="s">
        <v>377</v>
      </c>
      <c r="S38" s="16" t="s">
        <v>378</v>
      </c>
      <c r="T38" s="24" t="s">
        <v>431</v>
      </c>
    </row>
    <row r="39" spans="1:20" ht="15">
      <c r="A39" t="s">
        <v>103</v>
      </c>
      <c r="B39" t="s">
        <v>104</v>
      </c>
      <c r="C39" t="s">
        <v>25</v>
      </c>
      <c r="D39" t="s">
        <v>33</v>
      </c>
      <c r="E39" t="s">
        <v>27</v>
      </c>
      <c r="F39" t="s">
        <v>28</v>
      </c>
      <c r="G39">
        <v>9.8405923843383789</v>
      </c>
      <c r="H39">
        <v>9.870452880859375</v>
      </c>
      <c r="I39">
        <v>4.2228445410728455E-2</v>
      </c>
      <c r="J39">
        <v>1777535104</v>
      </c>
      <c r="K39">
        <v>1743611136</v>
      </c>
      <c r="L39">
        <v>47975828</v>
      </c>
      <c r="M39" s="52">
        <f>SUMIF(A:A,"f9",G:G)</f>
        <v>0</v>
      </c>
      <c r="N39" s="52">
        <f>SUMIF(A:A,"f10",G:G)</f>
        <v>0</v>
      </c>
      <c r="O39" s="54">
        <f>SUMIF(A:A,"f9",J:J)</f>
        <v>0</v>
      </c>
      <c r="P39" s="54">
        <f>SUMIF(A:A,"f10",J:J)</f>
        <v>0</v>
      </c>
      <c r="Q39" s="10"/>
      <c r="R39" s="16" t="s">
        <v>379</v>
      </c>
      <c r="S39" s="16" t="s">
        <v>380</v>
      </c>
      <c r="T39" s="24" t="s">
        <v>432</v>
      </c>
    </row>
    <row r="40" spans="1:20" ht="15">
      <c r="A40" t="s">
        <v>105</v>
      </c>
      <c r="B40" t="s">
        <v>104</v>
      </c>
      <c r="C40" t="s">
        <v>25</v>
      </c>
      <c r="D40" t="s">
        <v>33</v>
      </c>
      <c r="E40" t="s">
        <v>27</v>
      </c>
      <c r="F40" t="s">
        <v>28</v>
      </c>
      <c r="G40">
        <v>9.9003124237060547</v>
      </c>
      <c r="H40">
        <v>9.870452880859375</v>
      </c>
      <c r="I40">
        <v>4.2228445410728455E-2</v>
      </c>
      <c r="J40">
        <v>1709687040</v>
      </c>
      <c r="K40">
        <v>1743611136</v>
      </c>
      <c r="L40">
        <v>47975828</v>
      </c>
      <c r="M40" s="52">
        <f>SUMIF(A:A,"g9",G:G)</f>
        <v>0</v>
      </c>
      <c r="N40" s="52">
        <f>SUMIF(A:A,"g10",G:G)</f>
        <v>0</v>
      </c>
      <c r="O40" s="54">
        <f>SUMIF(A:A,"g9",J:J)</f>
        <v>0</v>
      </c>
      <c r="P40" s="54">
        <f>SUMIF(A:A,"g10",J:J)</f>
        <v>0</v>
      </c>
      <c r="Q40" s="10"/>
      <c r="R40" s="16" t="s">
        <v>381</v>
      </c>
      <c r="S40" s="16" t="s">
        <v>382</v>
      </c>
      <c r="T40" s="24" t="s">
        <v>433</v>
      </c>
    </row>
    <row r="41" spans="1:20" ht="15">
      <c r="A41" t="s">
        <v>106</v>
      </c>
      <c r="B41" t="s">
        <v>107</v>
      </c>
      <c r="C41" t="s">
        <v>25</v>
      </c>
      <c r="D41" t="s">
        <v>33</v>
      </c>
      <c r="E41" t="s">
        <v>27</v>
      </c>
      <c r="F41" t="s">
        <v>28</v>
      </c>
      <c r="G41">
        <v>10.360742568969727</v>
      </c>
      <c r="H41">
        <v>10.437284469604492</v>
      </c>
      <c r="I41">
        <v>0.10824591666460037</v>
      </c>
      <c r="J41">
        <v>1266510080</v>
      </c>
      <c r="K41">
        <v>1206386432</v>
      </c>
      <c r="L41">
        <v>85027768</v>
      </c>
      <c r="M41" s="57">
        <f>SUMIF(A:A,"h9",G:G)</f>
        <v>0</v>
      </c>
      <c r="N41" s="57">
        <f>SUMIF(A:A,"h10",G:G)</f>
        <v>0</v>
      </c>
      <c r="O41" s="59">
        <f>SUMIF(A:A,"h9",J:J)</f>
        <v>0</v>
      </c>
      <c r="P41" s="59">
        <f>SUMIF(A:A,"h10",J:J)</f>
        <v>0</v>
      </c>
      <c r="Q41" s="10"/>
      <c r="R41" s="21" t="s">
        <v>383</v>
      </c>
      <c r="S41" s="21" t="s">
        <v>384</v>
      </c>
      <c r="T41" s="24" t="s">
        <v>434</v>
      </c>
    </row>
    <row r="42" spans="1:20" ht="15">
      <c r="A42" t="s">
        <v>108</v>
      </c>
      <c r="B42" t="s">
        <v>107</v>
      </c>
      <c r="C42" t="s">
        <v>25</v>
      </c>
      <c r="D42" t="s">
        <v>33</v>
      </c>
      <c r="E42" t="s">
        <v>27</v>
      </c>
      <c r="F42" t="s">
        <v>28</v>
      </c>
      <c r="G42">
        <v>10.513825416564941</v>
      </c>
      <c r="H42">
        <v>10.437284469604492</v>
      </c>
      <c r="I42">
        <v>0.10824591666460037</v>
      </c>
      <c r="J42">
        <v>1146262656</v>
      </c>
      <c r="K42">
        <v>1206386432</v>
      </c>
      <c r="L42">
        <v>85027768</v>
      </c>
      <c r="M42" s="52">
        <f>SUMIF(A:A,"A11",G:G)</f>
        <v>0</v>
      </c>
      <c r="N42" s="52">
        <f>SUMIF(A:A,"A12",G:G)</f>
        <v>0</v>
      </c>
      <c r="O42" s="54">
        <f>SUMIF(A:A,"A11",J:J)</f>
        <v>0</v>
      </c>
      <c r="P42" s="54">
        <f>SUMIF(A:A,"A12",J:J)</f>
        <v>0</v>
      </c>
      <c r="Q42" s="10"/>
      <c r="R42" s="16" t="s">
        <v>385</v>
      </c>
      <c r="S42" s="16" t="s">
        <v>386</v>
      </c>
      <c r="T42" s="24" t="s">
        <v>435</v>
      </c>
    </row>
    <row r="43" spans="1:20" ht="15">
      <c r="A43" t="s">
        <v>116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>
        <v>32.465030670166016</v>
      </c>
      <c r="H43">
        <v>32.388160705566406</v>
      </c>
      <c r="I43">
        <v>0.10871324688196182</v>
      </c>
      <c r="J43">
        <v>500</v>
      </c>
      <c r="K43" t="s">
        <v>24</v>
      </c>
      <c r="L43" t="s">
        <v>24</v>
      </c>
      <c r="M43" s="52">
        <f>SUMIF(A:A,"b11",G:G)</f>
        <v>0</v>
      </c>
      <c r="N43" s="52">
        <f>SUMIF(A:A,"b12",G:G)</f>
        <v>0</v>
      </c>
      <c r="O43" s="54">
        <f>SUMIF(A:A,"b11",J:J)</f>
        <v>0</v>
      </c>
      <c r="P43" s="54">
        <f>SUMIF(A:A,"b12",J:J)</f>
        <v>0</v>
      </c>
      <c r="Q43" s="10"/>
      <c r="R43" s="16" t="s">
        <v>387</v>
      </c>
      <c r="S43" s="16" t="s">
        <v>388</v>
      </c>
      <c r="T43" s="24" t="s">
        <v>436</v>
      </c>
    </row>
    <row r="44" spans="1:20" ht="15">
      <c r="A44" t="s">
        <v>117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>
        <v>32.311286926269531</v>
      </c>
      <c r="H44">
        <v>32.388160705566406</v>
      </c>
      <c r="I44">
        <v>0.10871324688196182</v>
      </c>
      <c r="J44">
        <v>500</v>
      </c>
      <c r="K44" t="s">
        <v>24</v>
      </c>
      <c r="L44" t="s">
        <v>24</v>
      </c>
      <c r="M44" s="52">
        <f>SUMIF(A:A,"c11",G:G)</f>
        <v>0</v>
      </c>
      <c r="N44" s="52">
        <f>SUMIF(A:A,"c12",G:G)</f>
        <v>0</v>
      </c>
      <c r="O44" s="54">
        <f>SUMIF(A:A,"c11",J:J)</f>
        <v>0</v>
      </c>
      <c r="P44" s="54">
        <f>SUMIF(A:A,"c12",J:J)</f>
        <v>0</v>
      </c>
      <c r="Q44" s="10"/>
      <c r="R44" s="16" t="s">
        <v>389</v>
      </c>
      <c r="S44" s="16" t="s">
        <v>390</v>
      </c>
      <c r="T44" s="24" t="s">
        <v>437</v>
      </c>
    </row>
    <row r="45" spans="1:20" ht="15">
      <c r="A45" t="s">
        <v>118</v>
      </c>
      <c r="B45" t="s">
        <v>119</v>
      </c>
      <c r="C45" t="s">
        <v>25</v>
      </c>
      <c r="D45" t="s">
        <v>33</v>
      </c>
      <c r="E45" t="s">
        <v>27</v>
      </c>
      <c r="F45" t="s">
        <v>28</v>
      </c>
      <c r="G45">
        <v>12.722023010253906</v>
      </c>
      <c r="H45">
        <v>12.639348030090332</v>
      </c>
      <c r="I45">
        <v>0.11692007631063461</v>
      </c>
      <c r="J45">
        <v>271853152</v>
      </c>
      <c r="K45">
        <v>287317760</v>
      </c>
      <c r="L45">
        <v>21870280</v>
      </c>
      <c r="M45" s="52">
        <f>SUMIF(A:A,"d11",G:G)</f>
        <v>0</v>
      </c>
      <c r="N45" s="52">
        <f>SUMIF(A:A,"d12",G:G)</f>
        <v>0</v>
      </c>
      <c r="O45" s="54">
        <f>SUMIF(A:A,"d11",J:J)</f>
        <v>0</v>
      </c>
      <c r="P45" s="54">
        <f>SUMIF(A:A,"d12",J:J)</f>
        <v>0</v>
      </c>
      <c r="Q45" s="10"/>
      <c r="R45" s="16" t="s">
        <v>391</v>
      </c>
      <c r="S45" s="16" t="s">
        <v>392</v>
      </c>
      <c r="T45" s="24" t="s">
        <v>438</v>
      </c>
    </row>
    <row r="46" spans="1:20" ht="15">
      <c r="A46" t="s">
        <v>120</v>
      </c>
      <c r="B46" t="s">
        <v>119</v>
      </c>
      <c r="C46" t="s">
        <v>25</v>
      </c>
      <c r="D46" t="s">
        <v>33</v>
      </c>
      <c r="E46" t="s">
        <v>27</v>
      </c>
      <c r="F46" t="s">
        <v>28</v>
      </c>
      <c r="G46">
        <v>12.556673049926758</v>
      </c>
      <c r="H46">
        <v>12.639348030090332</v>
      </c>
      <c r="I46">
        <v>0.11692007631063461</v>
      </c>
      <c r="J46">
        <v>302782400</v>
      </c>
      <c r="K46">
        <v>287317760</v>
      </c>
      <c r="L46">
        <v>21870280</v>
      </c>
      <c r="M46" s="52">
        <f>SUMIF(A:A,"e11",G:G)</f>
        <v>0</v>
      </c>
      <c r="N46" s="52">
        <f>SUMIF(A:A,"e12",G:G)</f>
        <v>0</v>
      </c>
      <c r="O46" s="54">
        <f>SUMIF(A:A,"e11",J:J)</f>
        <v>0</v>
      </c>
      <c r="P46" s="54">
        <f>SUMIF(A:A,"e12",J:J)</f>
        <v>0</v>
      </c>
      <c r="Q46" s="10"/>
      <c r="R46" s="16" t="s">
        <v>393</v>
      </c>
      <c r="S46" s="16" t="s">
        <v>394</v>
      </c>
      <c r="T46" s="24" t="s">
        <v>439</v>
      </c>
    </row>
    <row r="47" spans="1:20" ht="15">
      <c r="A47" t="s">
        <v>121</v>
      </c>
      <c r="B47" t="s">
        <v>122</v>
      </c>
      <c r="C47" t="s">
        <v>25</v>
      </c>
      <c r="D47" t="s">
        <v>33</v>
      </c>
      <c r="E47" t="s">
        <v>27</v>
      </c>
      <c r="F47" t="s">
        <v>28</v>
      </c>
      <c r="G47">
        <v>10.451946258544922</v>
      </c>
      <c r="H47">
        <v>10.497561454772949</v>
      </c>
      <c r="I47">
        <v>6.450963020324707E-2</v>
      </c>
      <c r="J47">
        <v>1193429504</v>
      </c>
      <c r="K47">
        <v>1158987904</v>
      </c>
      <c r="L47">
        <v>48707776</v>
      </c>
      <c r="M47" s="52">
        <f>SUMIF(A:A,"f11",G:G)</f>
        <v>0</v>
      </c>
      <c r="N47" s="52">
        <f>SUMIF(A:A,"f12",G:G)</f>
        <v>0</v>
      </c>
      <c r="O47" s="54">
        <f>SUMIF(A:A,"f11",J:J)</f>
        <v>0</v>
      </c>
      <c r="P47" s="54">
        <f>SUMIF(A:A,"f12",J:J)</f>
        <v>0</v>
      </c>
      <c r="Q47" s="10"/>
      <c r="R47" s="16" t="s">
        <v>395</v>
      </c>
      <c r="S47" s="16" t="s">
        <v>396</v>
      </c>
      <c r="T47" s="24" t="s">
        <v>440</v>
      </c>
    </row>
    <row r="48" spans="1:20" ht="15">
      <c r="A48" t="s">
        <v>123</v>
      </c>
      <c r="B48" t="s">
        <v>122</v>
      </c>
      <c r="C48" t="s">
        <v>25</v>
      </c>
      <c r="D48" t="s">
        <v>33</v>
      </c>
      <c r="E48" t="s">
        <v>27</v>
      </c>
      <c r="F48" t="s">
        <v>28</v>
      </c>
      <c r="G48">
        <v>10.543176651000977</v>
      </c>
      <c r="H48">
        <v>10.497561454772949</v>
      </c>
      <c r="I48">
        <v>6.450963020324707E-2</v>
      </c>
      <c r="J48">
        <v>1124546304</v>
      </c>
      <c r="K48">
        <v>1158987904</v>
      </c>
      <c r="L48">
        <v>48707776</v>
      </c>
      <c r="M48" s="52">
        <f>SUMIF(A:A,"g11",G:G)</f>
        <v>0</v>
      </c>
      <c r="N48" s="52">
        <f>SUMIF(A:A,"g12",G:G)</f>
        <v>0</v>
      </c>
      <c r="O48" s="54">
        <f>SUMIF(A:A,"g11",J:J)</f>
        <v>0</v>
      </c>
      <c r="P48" s="54">
        <f>SUMIF(A:A,"g12",J:J)</f>
        <v>0</v>
      </c>
      <c r="Q48" s="10"/>
      <c r="R48" s="16" t="s">
        <v>397</v>
      </c>
      <c r="S48" s="16" t="s">
        <v>398</v>
      </c>
      <c r="T48" s="24" t="s">
        <v>441</v>
      </c>
    </row>
    <row r="49" spans="1:20" ht="15">
      <c r="A49" t="s">
        <v>124</v>
      </c>
      <c r="B49" t="s">
        <v>125</v>
      </c>
      <c r="C49" t="s">
        <v>25</v>
      </c>
      <c r="D49" t="s">
        <v>33</v>
      </c>
      <c r="E49" t="s">
        <v>27</v>
      </c>
      <c r="F49" t="s">
        <v>28</v>
      </c>
      <c r="G49">
        <v>11.213201522827148</v>
      </c>
      <c r="H49">
        <v>11.253941535949707</v>
      </c>
      <c r="I49">
        <v>5.7615078985691071E-2</v>
      </c>
      <c r="J49">
        <v>726693440</v>
      </c>
      <c r="K49">
        <v>707903872</v>
      </c>
      <c r="L49">
        <v>26572416</v>
      </c>
      <c r="M49" s="57">
        <f>SUMIF(A:A,"h11",G:G)</f>
        <v>0</v>
      </c>
      <c r="N49" s="57">
        <f>SUMIF(A:A,"h12",G:G)</f>
        <v>0</v>
      </c>
      <c r="O49" s="59">
        <f>SUMIF(A:A,"h11",J:J)</f>
        <v>0</v>
      </c>
      <c r="P49" s="59">
        <f>SUMIF(A:A,"h12",J:J)</f>
        <v>0</v>
      </c>
      <c r="Q49" s="10"/>
      <c r="R49" s="21" t="s">
        <v>399</v>
      </c>
      <c r="S49" s="21" t="s">
        <v>400</v>
      </c>
      <c r="T49" s="24" t="s">
        <v>442</v>
      </c>
    </row>
    <row r="50" spans="1:20" ht="15">
      <c r="A50" t="s">
        <v>126</v>
      </c>
      <c r="B50" t="s">
        <v>125</v>
      </c>
      <c r="C50" t="s">
        <v>25</v>
      </c>
      <c r="D50" t="s">
        <v>33</v>
      </c>
      <c r="E50" t="s">
        <v>27</v>
      </c>
      <c r="F50" t="s">
        <v>28</v>
      </c>
      <c r="G50">
        <v>11.294681549072266</v>
      </c>
      <c r="H50">
        <v>11.253941535949707</v>
      </c>
      <c r="I50">
        <v>5.7615078985691071E-2</v>
      </c>
      <c r="J50">
        <v>689114368</v>
      </c>
      <c r="K50">
        <v>707903872</v>
      </c>
      <c r="L50">
        <v>26572416</v>
      </c>
      <c r="Q50" s="10"/>
      <c r="T50" s="1"/>
    </row>
    <row r="51" spans="1:20" ht="15">
      <c r="A51" t="s">
        <v>133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s="28" t="s">
        <v>354</v>
      </c>
      <c r="N51" s="4"/>
      <c r="O51" s="23"/>
      <c r="P51" s="23"/>
      <c r="Q51" s="10"/>
      <c r="R51" s="7"/>
    </row>
    <row r="52" spans="1:20" ht="15">
      <c r="A52" t="s">
        <v>134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s="4"/>
      <c r="N52" s="4"/>
      <c r="O52" s="23"/>
      <c r="P52" s="23"/>
      <c r="Q52" s="10"/>
      <c r="T52" s="22"/>
    </row>
    <row r="53" spans="1:20" ht="15">
      <c r="A53" t="s">
        <v>135</v>
      </c>
      <c r="B53" t="s">
        <v>136</v>
      </c>
      <c r="C53" t="s">
        <v>25</v>
      </c>
      <c r="D53" t="s">
        <v>33</v>
      </c>
      <c r="E53" t="s">
        <v>27</v>
      </c>
      <c r="F53" t="s">
        <v>28</v>
      </c>
      <c r="G53">
        <v>12.707447052001953</v>
      </c>
      <c r="H53">
        <v>12.680851936340332</v>
      </c>
      <c r="I53">
        <v>3.761117160320282E-2</v>
      </c>
      <c r="J53">
        <v>274447680</v>
      </c>
      <c r="K53">
        <v>279287552</v>
      </c>
      <c r="L53">
        <v>6844590</v>
      </c>
      <c r="M53" s="4"/>
      <c r="N53" s="4"/>
      <c r="O53" s="23"/>
      <c r="P53" s="23"/>
      <c r="Q53" s="10"/>
      <c r="T53" s="22"/>
    </row>
    <row r="54" spans="1:20" ht="15">
      <c r="A54" t="s">
        <v>137</v>
      </c>
      <c r="B54" t="s">
        <v>136</v>
      </c>
      <c r="C54" t="s">
        <v>25</v>
      </c>
      <c r="D54" t="s">
        <v>33</v>
      </c>
      <c r="E54" t="s">
        <v>27</v>
      </c>
      <c r="F54" t="s">
        <v>28</v>
      </c>
      <c r="G54">
        <v>12.654256820678711</v>
      </c>
      <c r="H54">
        <v>12.680851936340332</v>
      </c>
      <c r="I54">
        <v>3.761117160320282E-2</v>
      </c>
      <c r="J54">
        <v>284127392</v>
      </c>
      <c r="K54">
        <v>279287552</v>
      </c>
      <c r="L54">
        <v>6844590</v>
      </c>
      <c r="M54" s="4"/>
      <c r="N54" s="4"/>
      <c r="O54" s="23"/>
      <c r="P54" s="23"/>
      <c r="Q54" s="10"/>
    </row>
    <row r="55" spans="1:20" ht="15">
      <c r="A55" t="s">
        <v>138</v>
      </c>
      <c r="B55" t="s">
        <v>139</v>
      </c>
      <c r="C55" t="s">
        <v>25</v>
      </c>
      <c r="D55" t="s">
        <v>33</v>
      </c>
      <c r="E55" t="s">
        <v>27</v>
      </c>
      <c r="F55" t="s">
        <v>28</v>
      </c>
      <c r="G55">
        <v>11.054573059082031</v>
      </c>
      <c r="H55">
        <v>11.066910743713379</v>
      </c>
      <c r="I55">
        <v>1.7448121681809425E-2</v>
      </c>
      <c r="J55">
        <v>805833344</v>
      </c>
      <c r="K55">
        <v>799406272</v>
      </c>
      <c r="L55">
        <v>9089252</v>
      </c>
      <c r="N55" s="4"/>
      <c r="O55" s="23"/>
      <c r="P55" s="23"/>
      <c r="Q55" s="10"/>
      <c r="R55" s="7"/>
    </row>
    <row r="56" spans="1:20" ht="15">
      <c r="A56" t="s">
        <v>140</v>
      </c>
      <c r="B56" t="s">
        <v>139</v>
      </c>
      <c r="C56" t="s">
        <v>25</v>
      </c>
      <c r="D56" t="s">
        <v>33</v>
      </c>
      <c r="E56" t="s">
        <v>27</v>
      </c>
      <c r="F56" t="s">
        <v>28</v>
      </c>
      <c r="G56">
        <v>11.079248428344727</v>
      </c>
      <c r="H56">
        <v>11.066910743713379</v>
      </c>
      <c r="I56">
        <v>1.7448121681809425E-2</v>
      </c>
      <c r="J56">
        <v>792979200</v>
      </c>
      <c r="K56">
        <v>799406272</v>
      </c>
      <c r="L56">
        <v>9089252</v>
      </c>
      <c r="M56" s="4"/>
      <c r="N56" s="4"/>
      <c r="O56" s="23"/>
      <c r="P56" s="23"/>
      <c r="Q56" s="10"/>
      <c r="R56" s="7"/>
    </row>
    <row r="57" spans="1:20" ht="15">
      <c r="A57" t="s">
        <v>141</v>
      </c>
      <c r="B57" t="s">
        <v>142</v>
      </c>
      <c r="C57" t="s">
        <v>25</v>
      </c>
      <c r="D57" t="s">
        <v>33</v>
      </c>
      <c r="E57" t="s">
        <v>27</v>
      </c>
      <c r="F57" t="s">
        <v>28</v>
      </c>
      <c r="G57">
        <v>11.360137939453125</v>
      </c>
      <c r="H57">
        <v>11.38325309753418</v>
      </c>
      <c r="I57">
        <v>3.2689768821001053E-2</v>
      </c>
      <c r="J57">
        <v>660337920</v>
      </c>
      <c r="K57">
        <v>650539392</v>
      </c>
      <c r="L57">
        <v>13857211</v>
      </c>
      <c r="M57" s="4"/>
      <c r="N57" s="4"/>
      <c r="O57" s="23"/>
      <c r="P57" s="23"/>
      <c r="Q57" s="10"/>
      <c r="R57" s="7"/>
    </row>
    <row r="58" spans="1:20" ht="15">
      <c r="A58" t="s">
        <v>143</v>
      </c>
      <c r="B58" t="s">
        <v>142</v>
      </c>
      <c r="C58" t="s">
        <v>25</v>
      </c>
      <c r="D58" t="s">
        <v>33</v>
      </c>
      <c r="E58" t="s">
        <v>27</v>
      </c>
      <c r="F58" t="s">
        <v>28</v>
      </c>
      <c r="G58">
        <v>11.406368255615234</v>
      </c>
      <c r="H58">
        <v>11.38325309753418</v>
      </c>
      <c r="I58">
        <v>3.2689768821001053E-2</v>
      </c>
      <c r="J58">
        <v>640740864</v>
      </c>
      <c r="K58">
        <v>650539392</v>
      </c>
      <c r="L58">
        <v>13857211</v>
      </c>
      <c r="M58" s="4"/>
      <c r="N58" s="4"/>
      <c r="O58" s="23"/>
      <c r="P58" s="23"/>
      <c r="Q58" s="10"/>
      <c r="R58" s="7"/>
    </row>
    <row r="59" spans="1:20" ht="15">
      <c r="A59" t="s">
        <v>150</v>
      </c>
      <c r="B59" t="s">
        <v>24</v>
      </c>
      <c r="C59" t="s">
        <v>25</v>
      </c>
      <c r="D59" t="s">
        <v>151</v>
      </c>
      <c r="E59" t="s">
        <v>27</v>
      </c>
      <c r="F59" t="s">
        <v>28</v>
      </c>
      <c r="G59">
        <v>37.414165496826172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s="4"/>
      <c r="N59" s="4"/>
      <c r="O59" s="23"/>
      <c r="P59" s="23"/>
      <c r="Q59" s="10"/>
      <c r="R59" s="7"/>
    </row>
    <row r="60" spans="1:20" ht="15">
      <c r="A60" t="s">
        <v>152</v>
      </c>
      <c r="B60" t="s">
        <v>24</v>
      </c>
      <c r="C60" t="s">
        <v>25</v>
      </c>
      <c r="D60" t="s">
        <v>151</v>
      </c>
      <c r="E60" t="s">
        <v>27</v>
      </c>
      <c r="F60" t="s">
        <v>28</v>
      </c>
      <c r="G60">
        <v>40.128326416015625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s="4"/>
      <c r="N60" s="4"/>
      <c r="O60" s="23"/>
      <c r="P60" s="23"/>
      <c r="Q60" s="10"/>
      <c r="R60" s="7"/>
    </row>
    <row r="61" spans="1:20" ht="15">
      <c r="A61" t="s">
        <v>153</v>
      </c>
      <c r="B61" t="s">
        <v>154</v>
      </c>
      <c r="C61" t="s">
        <v>25</v>
      </c>
      <c r="D61" t="s">
        <v>33</v>
      </c>
      <c r="E61" t="s">
        <v>27</v>
      </c>
      <c r="F61" t="s">
        <v>28</v>
      </c>
      <c r="G61">
        <v>11.410981178283691</v>
      </c>
      <c r="H61">
        <v>11.455289840698242</v>
      </c>
      <c r="I61">
        <v>6.2662586569786072E-2</v>
      </c>
      <c r="J61">
        <v>638817664</v>
      </c>
      <c r="K61">
        <v>620894592</v>
      </c>
      <c r="L61">
        <v>25347096</v>
      </c>
      <c r="M61" s="4"/>
      <c r="N61" s="4"/>
      <c r="O61" s="23"/>
      <c r="P61" s="23"/>
      <c r="Q61" s="10"/>
      <c r="R61" s="7"/>
    </row>
    <row r="62" spans="1:20" ht="15">
      <c r="A62" t="s">
        <v>155</v>
      </c>
      <c r="B62" t="s">
        <v>154</v>
      </c>
      <c r="C62" t="s">
        <v>25</v>
      </c>
      <c r="D62" t="s">
        <v>33</v>
      </c>
      <c r="E62" t="s">
        <v>27</v>
      </c>
      <c r="F62" t="s">
        <v>28</v>
      </c>
      <c r="G62">
        <v>11.499599456787109</v>
      </c>
      <c r="H62">
        <v>11.455289840698242</v>
      </c>
      <c r="I62">
        <v>6.2662586569786072E-2</v>
      </c>
      <c r="J62">
        <v>602971456</v>
      </c>
      <c r="K62">
        <v>620894592</v>
      </c>
      <c r="L62">
        <v>25347096</v>
      </c>
      <c r="M62" s="4"/>
      <c r="N62" s="4"/>
      <c r="O62" s="23"/>
      <c r="P62" s="23"/>
      <c r="Q62" s="10"/>
      <c r="R62" s="7"/>
    </row>
    <row r="63" spans="1:20" ht="15">
      <c r="A63" t="s">
        <v>156</v>
      </c>
      <c r="B63" t="s">
        <v>157</v>
      </c>
      <c r="C63" t="s">
        <v>25</v>
      </c>
      <c r="D63" t="s">
        <v>33</v>
      </c>
      <c r="E63" t="s">
        <v>27</v>
      </c>
      <c r="F63" t="s">
        <v>28</v>
      </c>
      <c r="G63">
        <v>10.416784286499023</v>
      </c>
      <c r="H63">
        <v>10.65330982208252</v>
      </c>
      <c r="I63">
        <v>0.33449763059616089</v>
      </c>
      <c r="J63">
        <v>1221091200</v>
      </c>
      <c r="K63">
        <v>1059123840</v>
      </c>
      <c r="L63">
        <v>229056384</v>
      </c>
      <c r="M63" s="4"/>
      <c r="N63" s="4"/>
      <c r="O63" s="23"/>
      <c r="P63" s="23"/>
      <c r="Q63" s="10"/>
      <c r="R63" s="7"/>
    </row>
    <row r="64" spans="1:20" ht="15">
      <c r="A64" t="s">
        <v>158</v>
      </c>
      <c r="B64" t="s">
        <v>157</v>
      </c>
      <c r="C64" t="s">
        <v>25</v>
      </c>
      <c r="D64" t="s">
        <v>33</v>
      </c>
      <c r="E64" t="s">
        <v>27</v>
      </c>
      <c r="F64" t="s">
        <v>28</v>
      </c>
      <c r="G64">
        <v>10.889835357666016</v>
      </c>
      <c r="H64">
        <v>10.65330982208252</v>
      </c>
      <c r="I64">
        <v>0.33449763059616089</v>
      </c>
      <c r="J64">
        <v>897156544</v>
      </c>
      <c r="K64">
        <v>1059123840</v>
      </c>
      <c r="L64">
        <v>229056384</v>
      </c>
      <c r="M64" s="4"/>
      <c r="N64" s="4"/>
      <c r="O64" s="23"/>
      <c r="P64" s="23"/>
      <c r="Q64" s="10"/>
      <c r="R64" s="7"/>
    </row>
    <row r="65" spans="1:18" ht="15">
      <c r="A65" t="s">
        <v>159</v>
      </c>
      <c r="B65" t="s">
        <v>160</v>
      </c>
      <c r="C65" t="s">
        <v>25</v>
      </c>
      <c r="D65" t="s">
        <v>33</v>
      </c>
      <c r="E65" t="s">
        <v>27</v>
      </c>
      <c r="F65" t="s">
        <v>28</v>
      </c>
      <c r="G65">
        <v>12.244077682495117</v>
      </c>
      <c r="H65">
        <v>12.141176223754883</v>
      </c>
      <c r="I65">
        <v>0.14552530646324158</v>
      </c>
      <c r="J65">
        <v>371192640</v>
      </c>
      <c r="K65">
        <v>397830144</v>
      </c>
      <c r="L65">
        <v>37671144</v>
      </c>
      <c r="M65" s="4"/>
      <c r="N65" s="4"/>
      <c r="O65" s="23"/>
      <c r="P65" s="23"/>
      <c r="Q65" s="10"/>
      <c r="R65" s="7"/>
    </row>
    <row r="66" spans="1:18" ht="15">
      <c r="A66" t="s">
        <v>161</v>
      </c>
      <c r="B66" t="s">
        <v>160</v>
      </c>
      <c r="C66" t="s">
        <v>25</v>
      </c>
      <c r="D66" t="s">
        <v>33</v>
      </c>
      <c r="E66" t="s">
        <v>27</v>
      </c>
      <c r="F66" t="s">
        <v>28</v>
      </c>
      <c r="G66">
        <v>12.038273811340332</v>
      </c>
      <c r="H66">
        <v>12.141176223754883</v>
      </c>
      <c r="I66">
        <v>0.14552530646324158</v>
      </c>
      <c r="J66">
        <v>424467680</v>
      </c>
      <c r="K66">
        <v>397830144</v>
      </c>
      <c r="L66">
        <v>37671144</v>
      </c>
      <c r="M66" s="4"/>
      <c r="N66" s="4"/>
      <c r="O66" s="23"/>
      <c r="P66" s="23"/>
      <c r="Q66" s="10"/>
      <c r="R66" s="7"/>
    </row>
    <row r="67" spans="1:18" ht="15">
      <c r="A67"/>
      <c r="B67"/>
      <c r="C67"/>
      <c r="D67"/>
      <c r="E67"/>
      <c r="F67"/>
      <c r="G67"/>
      <c r="H67"/>
      <c r="I67"/>
      <c r="J67"/>
      <c r="K67"/>
      <c r="L67"/>
      <c r="M67" s="4"/>
      <c r="N67" s="4"/>
      <c r="O67" s="23"/>
      <c r="P67" s="23"/>
      <c r="Q67" s="10"/>
      <c r="R67" s="7"/>
    </row>
    <row r="68" spans="1:18" ht="15">
      <c r="A68"/>
      <c r="B68"/>
      <c r="C68"/>
      <c r="D68"/>
      <c r="E68"/>
      <c r="F68"/>
      <c r="G68"/>
      <c r="H68"/>
      <c r="I68"/>
      <c r="J68"/>
      <c r="K68"/>
      <c r="L68"/>
      <c r="M68" s="4"/>
      <c r="N68" s="4"/>
      <c r="O68" s="23"/>
      <c r="P68" s="23"/>
      <c r="Q68" s="10"/>
    </row>
    <row r="69" spans="1:18" ht="15">
      <c r="A69"/>
      <c r="B69"/>
      <c r="C69"/>
      <c r="D69"/>
      <c r="E69"/>
      <c r="F69"/>
      <c r="G69"/>
      <c r="H69"/>
      <c r="I69"/>
      <c r="J69"/>
      <c r="K69"/>
      <c r="L69"/>
      <c r="M69" s="4"/>
      <c r="N69" s="4"/>
      <c r="O69" s="23"/>
      <c r="P69" s="23"/>
      <c r="Q69" s="10"/>
    </row>
    <row r="70" spans="1:18" ht="15">
      <c r="A70"/>
      <c r="B70"/>
      <c r="C70"/>
      <c r="D70"/>
      <c r="E70"/>
      <c r="F70"/>
      <c r="G70"/>
      <c r="H70"/>
      <c r="I70"/>
      <c r="J70"/>
      <c r="K70"/>
      <c r="L70"/>
      <c r="M70" s="4"/>
      <c r="N70" s="4"/>
      <c r="O70" s="23"/>
      <c r="P70" s="23"/>
      <c r="Q70" s="10"/>
    </row>
    <row r="71" spans="1:18" ht="15">
      <c r="A71"/>
      <c r="B71"/>
      <c r="C71"/>
      <c r="D71"/>
      <c r="E71"/>
      <c r="F71"/>
      <c r="G71"/>
      <c r="H71"/>
      <c r="I71"/>
      <c r="J71"/>
      <c r="K71"/>
      <c r="L71"/>
      <c r="M71" s="4"/>
      <c r="N71" s="4"/>
      <c r="O71" s="23"/>
      <c r="P71" s="23"/>
      <c r="Q71" s="10"/>
    </row>
    <row r="72" spans="1:18" ht="15">
      <c r="A72"/>
      <c r="B72"/>
      <c r="C72"/>
      <c r="D72"/>
      <c r="E72"/>
      <c r="F72"/>
      <c r="G72"/>
      <c r="H72"/>
      <c r="I72"/>
      <c r="J72"/>
      <c r="K72"/>
      <c r="L72"/>
      <c r="M72" s="4"/>
      <c r="N72" s="4"/>
      <c r="O72" s="23"/>
      <c r="P72" s="23"/>
      <c r="Q72" s="10"/>
    </row>
    <row r="73" spans="1:18" ht="15">
      <c r="A73"/>
      <c r="B73"/>
      <c r="C73"/>
      <c r="D73"/>
      <c r="E73"/>
      <c r="F73"/>
      <c r="G73"/>
      <c r="H73"/>
      <c r="I73"/>
      <c r="J73"/>
      <c r="K73"/>
      <c r="L73"/>
      <c r="M73" s="4"/>
      <c r="N73" s="4"/>
      <c r="O73" s="23"/>
      <c r="P73" s="23"/>
      <c r="Q73" s="10"/>
    </row>
    <row r="74" spans="1:18" ht="15">
      <c r="A74"/>
      <c r="B74"/>
      <c r="C74"/>
      <c r="D74"/>
      <c r="E74"/>
      <c r="F74"/>
      <c r="G74"/>
      <c r="H74"/>
      <c r="I74"/>
      <c r="J74"/>
      <c r="K74"/>
      <c r="L74"/>
      <c r="M74" s="4"/>
      <c r="N74" s="4"/>
      <c r="O74" s="23"/>
      <c r="P74" s="23"/>
      <c r="Q74" s="10"/>
    </row>
    <row r="75" spans="1:18" ht="15">
      <c r="A75"/>
      <c r="B75"/>
      <c r="C75"/>
      <c r="D75"/>
      <c r="E75"/>
      <c r="F75"/>
      <c r="G75"/>
      <c r="H75"/>
      <c r="I75"/>
      <c r="J75"/>
      <c r="K75"/>
      <c r="L75"/>
      <c r="M75" s="4"/>
      <c r="N75" s="4"/>
      <c r="O75" s="23"/>
      <c r="P75" s="23"/>
      <c r="Q75" s="10"/>
    </row>
    <row r="76" spans="1:18" ht="15">
      <c r="A76"/>
      <c r="B76"/>
      <c r="C76"/>
      <c r="D76"/>
      <c r="E76"/>
      <c r="F76"/>
      <c r="G76"/>
      <c r="H76"/>
      <c r="I76"/>
      <c r="J76"/>
      <c r="K76"/>
      <c r="L76"/>
      <c r="M76" s="4"/>
      <c r="N76" s="4"/>
      <c r="O76" s="23"/>
      <c r="P76" s="23"/>
      <c r="Q76" s="10"/>
    </row>
    <row r="77" spans="1:18" ht="15">
      <c r="A77"/>
      <c r="B77"/>
      <c r="C77"/>
      <c r="D77"/>
      <c r="E77"/>
      <c r="F77"/>
      <c r="G77"/>
      <c r="H77"/>
      <c r="I77"/>
      <c r="J77"/>
      <c r="K77"/>
      <c r="L77"/>
      <c r="M77" s="4"/>
      <c r="N77" s="4"/>
      <c r="O77" s="23"/>
      <c r="P77" s="23"/>
      <c r="Q77" s="10"/>
    </row>
    <row r="78" spans="1:18" ht="15">
      <c r="A78"/>
      <c r="B78"/>
      <c r="C78"/>
      <c r="D78"/>
      <c r="E78"/>
      <c r="F78"/>
      <c r="G78"/>
      <c r="H78"/>
      <c r="I78"/>
      <c r="J78"/>
      <c r="K78"/>
      <c r="L78"/>
      <c r="M78" s="4"/>
      <c r="N78" s="4"/>
      <c r="O78" s="23"/>
      <c r="P78" s="23"/>
      <c r="Q78" s="10"/>
    </row>
    <row r="79" spans="1:18" ht="15">
      <c r="A79"/>
      <c r="B79"/>
      <c r="C79"/>
      <c r="D79"/>
      <c r="E79"/>
      <c r="F79"/>
      <c r="G79"/>
      <c r="H79"/>
      <c r="I79"/>
      <c r="J79"/>
      <c r="K79"/>
      <c r="L79"/>
      <c r="M79" s="4"/>
      <c r="N79" s="4"/>
      <c r="O79" s="23"/>
      <c r="P79" s="23"/>
      <c r="Q79" s="10"/>
    </row>
    <row r="80" spans="1:18" ht="15">
      <c r="A80"/>
      <c r="B80"/>
      <c r="C80"/>
      <c r="D80"/>
      <c r="E80"/>
      <c r="F80"/>
      <c r="G80"/>
      <c r="H80"/>
      <c r="I80"/>
      <c r="J80"/>
      <c r="K80"/>
      <c r="L80"/>
      <c r="M80" s="4"/>
      <c r="N80" s="4"/>
      <c r="O80" s="23"/>
      <c r="P80" s="23"/>
      <c r="Q80" s="10"/>
    </row>
    <row r="81" spans="1:17" ht="15">
      <c r="A81"/>
      <c r="B81"/>
      <c r="C81"/>
      <c r="D81"/>
      <c r="E81"/>
      <c r="F81"/>
      <c r="G81"/>
      <c r="H81"/>
      <c r="I81"/>
      <c r="J81"/>
      <c r="K81"/>
      <c r="L81"/>
      <c r="M81" s="4"/>
      <c r="N81" s="4"/>
      <c r="O81" s="23"/>
      <c r="P81" s="23"/>
      <c r="Q81" s="10"/>
    </row>
    <row r="82" spans="1:17" ht="15">
      <c r="A82"/>
      <c r="B82"/>
      <c r="C82"/>
      <c r="D82"/>
      <c r="E82"/>
      <c r="F82"/>
      <c r="G82"/>
      <c r="H82"/>
      <c r="I82"/>
      <c r="J82"/>
      <c r="K82"/>
      <c r="L82"/>
      <c r="M82" s="4"/>
      <c r="N82" s="4"/>
      <c r="O82" s="23"/>
      <c r="P82" s="23"/>
      <c r="Q82" s="10"/>
    </row>
    <row r="83" spans="1:17" ht="15">
      <c r="A83"/>
      <c r="B83"/>
      <c r="C83"/>
      <c r="D83"/>
      <c r="E83"/>
      <c r="F83"/>
      <c r="G83"/>
      <c r="H83"/>
      <c r="I83"/>
      <c r="J83"/>
      <c r="K83"/>
      <c r="L83"/>
      <c r="M83" s="4"/>
      <c r="N83" s="4"/>
      <c r="O83" s="23"/>
      <c r="P83" s="23"/>
      <c r="Q83" s="10"/>
    </row>
    <row r="84" spans="1:17" ht="15">
      <c r="A84"/>
      <c r="B84"/>
      <c r="C84"/>
      <c r="D84"/>
      <c r="E84"/>
      <c r="F84"/>
      <c r="G84"/>
      <c r="H84"/>
      <c r="I84"/>
      <c r="J84"/>
      <c r="K84"/>
      <c r="L84"/>
      <c r="M84" s="4"/>
      <c r="N84" s="4"/>
      <c r="O84" s="23"/>
      <c r="P84" s="23"/>
      <c r="Q84" s="10"/>
    </row>
    <row r="85" spans="1:17" ht="15">
      <c r="A85"/>
      <c r="B85"/>
      <c r="C85"/>
      <c r="D85"/>
      <c r="E85"/>
      <c r="F85"/>
      <c r="G85"/>
      <c r="H85"/>
      <c r="I85"/>
      <c r="J85"/>
      <c r="K85"/>
      <c r="L85"/>
      <c r="M85" s="4"/>
      <c r="N85" s="4"/>
      <c r="O85" s="23"/>
      <c r="P85" s="23"/>
      <c r="Q85" s="10"/>
    </row>
    <row r="86" spans="1:17" ht="15">
      <c r="A86"/>
      <c r="B86"/>
      <c r="C86"/>
      <c r="D86"/>
      <c r="E86"/>
      <c r="F86"/>
      <c r="G86"/>
      <c r="H86"/>
      <c r="I86"/>
      <c r="J86"/>
      <c r="K86"/>
      <c r="L86"/>
      <c r="M86" s="4"/>
      <c r="N86" s="4"/>
      <c r="O86" s="23"/>
      <c r="P86" s="23"/>
      <c r="Q86" s="10"/>
    </row>
    <row r="87" spans="1:17" ht="15">
      <c r="A87"/>
      <c r="B87"/>
      <c r="C87"/>
      <c r="D87"/>
      <c r="E87"/>
      <c r="F87"/>
      <c r="G87"/>
      <c r="H87"/>
      <c r="I87"/>
      <c r="J87"/>
      <c r="K87"/>
      <c r="L87"/>
      <c r="M87" s="4"/>
      <c r="N87" s="4"/>
      <c r="O87" s="23"/>
      <c r="P87" s="23"/>
      <c r="Q87" s="10"/>
    </row>
    <row r="88" spans="1:17" ht="15">
      <c r="A88"/>
      <c r="B88"/>
      <c r="C88"/>
      <c r="D88"/>
      <c r="E88"/>
      <c r="F88"/>
      <c r="G88"/>
      <c r="H88"/>
      <c r="I88"/>
      <c r="J88"/>
      <c r="K88"/>
      <c r="L88"/>
      <c r="M88" s="4"/>
      <c r="N88" s="4"/>
      <c r="O88" s="23"/>
      <c r="P88" s="23"/>
      <c r="Q88" s="10"/>
    </row>
    <row r="89" spans="1:17" ht="15">
      <c r="A89"/>
      <c r="B89"/>
      <c r="C89"/>
      <c r="D89"/>
      <c r="E89"/>
      <c r="F89"/>
      <c r="G89"/>
      <c r="H89"/>
      <c r="I89"/>
      <c r="J89"/>
      <c r="K89"/>
      <c r="L89"/>
      <c r="M89" s="4"/>
      <c r="N89" s="4"/>
      <c r="O89" s="23"/>
      <c r="P89" s="23"/>
      <c r="Q89" s="10"/>
    </row>
    <row r="90" spans="1:17" ht="15">
      <c r="A90"/>
      <c r="B90"/>
      <c r="C90"/>
      <c r="D90"/>
      <c r="E90"/>
      <c r="F90"/>
      <c r="G90"/>
      <c r="H90"/>
      <c r="I90"/>
      <c r="J90"/>
      <c r="K90"/>
      <c r="L90"/>
      <c r="M90" s="4"/>
      <c r="N90" s="4"/>
      <c r="O90" s="23"/>
      <c r="P90" s="23"/>
      <c r="Q90" s="10"/>
    </row>
    <row r="91" spans="1:17" ht="15">
      <c r="A91"/>
      <c r="B91"/>
      <c r="C91"/>
      <c r="D91"/>
      <c r="E91"/>
      <c r="F91"/>
      <c r="G91"/>
      <c r="H91"/>
      <c r="I91"/>
      <c r="J91"/>
      <c r="K91"/>
      <c r="L91"/>
      <c r="M91" s="4"/>
      <c r="N91" s="4"/>
      <c r="O91" s="23"/>
      <c r="P91" s="23"/>
      <c r="Q91" s="10"/>
    </row>
    <row r="92" spans="1:17" ht="15">
      <c r="A92"/>
      <c r="B92"/>
      <c r="C92"/>
      <c r="D92"/>
      <c r="E92"/>
      <c r="F92"/>
      <c r="G92"/>
      <c r="H92"/>
      <c r="I92"/>
      <c r="J92"/>
      <c r="K92"/>
      <c r="L92"/>
      <c r="M92" s="4"/>
      <c r="N92" s="4"/>
      <c r="O92" s="23"/>
      <c r="P92" s="23"/>
      <c r="Q92" s="10"/>
    </row>
    <row r="93" spans="1:17" ht="15">
      <c r="A93"/>
      <c r="B93"/>
      <c r="C93"/>
      <c r="D93"/>
      <c r="E93"/>
      <c r="F93"/>
      <c r="G93"/>
      <c r="H93"/>
      <c r="I93"/>
      <c r="J93"/>
      <c r="K93"/>
      <c r="L93"/>
      <c r="M93" s="4"/>
      <c r="N93" s="4"/>
      <c r="O93" s="23"/>
      <c r="P93" s="23"/>
      <c r="Q93" s="10"/>
    </row>
    <row r="94" spans="1:17" ht="15">
      <c r="A94"/>
      <c r="B94"/>
      <c r="C94"/>
      <c r="D94"/>
      <c r="E94"/>
      <c r="F94"/>
      <c r="G94"/>
      <c r="H94"/>
      <c r="I94"/>
      <c r="J94"/>
      <c r="K94"/>
      <c r="L94"/>
      <c r="M94" s="4"/>
      <c r="N94" s="4"/>
      <c r="O94" s="23"/>
      <c r="P94" s="23"/>
      <c r="Q94" s="10"/>
    </row>
    <row r="95" spans="1:17" ht="15">
      <c r="A95"/>
      <c r="B95"/>
      <c r="C95"/>
      <c r="D95"/>
      <c r="E95"/>
      <c r="F95"/>
      <c r="G95"/>
      <c r="H95"/>
      <c r="I95"/>
      <c r="J95"/>
      <c r="K95"/>
      <c r="L95"/>
    </row>
    <row r="96" spans="1:17" ht="15">
      <c r="A96"/>
      <c r="B96"/>
      <c r="C96"/>
      <c r="D96"/>
      <c r="E96"/>
      <c r="F96"/>
      <c r="G96"/>
      <c r="H96"/>
      <c r="I96"/>
      <c r="J96"/>
      <c r="K96"/>
      <c r="L96"/>
    </row>
    <row r="97" spans="1:12" ht="15">
      <c r="A97"/>
      <c r="B97"/>
      <c r="C97"/>
      <c r="D97"/>
      <c r="E97"/>
      <c r="F97"/>
      <c r="G97"/>
      <c r="H97"/>
      <c r="I97"/>
      <c r="J97"/>
      <c r="K97"/>
      <c r="L97"/>
    </row>
    <row r="98" spans="1:12" ht="15">
      <c r="A98"/>
      <c r="B98"/>
      <c r="C98"/>
      <c r="D98"/>
      <c r="E98"/>
      <c r="F98"/>
      <c r="G98"/>
      <c r="H98"/>
      <c r="I98"/>
      <c r="J98"/>
      <c r="K98"/>
      <c r="L98"/>
    </row>
    <row r="99" spans="1:12" ht="15">
      <c r="A99"/>
      <c r="B99"/>
      <c r="C99"/>
      <c r="D99"/>
      <c r="E99"/>
      <c r="F99"/>
      <c r="G99"/>
      <c r="H99"/>
      <c r="I99"/>
      <c r="J99"/>
      <c r="K99"/>
      <c r="L99"/>
    </row>
    <row r="100" spans="1:12" ht="1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ht="1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ht="1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ht="1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ht="1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ht="1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ht="1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ht="1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ht="1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ht="1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ht="1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ht="1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ht="1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ht="1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ht="1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1:1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spans="1:1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1:1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1:1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1:1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1:1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1:1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1:1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1:1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0"/>
      <c r="L127" s="10"/>
    </row>
    <row r="128" spans="1:1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0"/>
      <c r="L128" s="10"/>
    </row>
    <row r="129" spans="1:1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0"/>
      <c r="L129" s="10"/>
    </row>
    <row r="130" spans="1:1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0"/>
      <c r="L130" s="10"/>
    </row>
    <row r="131" spans="1:1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0"/>
      <c r="L131" s="10"/>
    </row>
    <row r="132" spans="1:1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0"/>
      <c r="L132" s="10"/>
    </row>
    <row r="133" spans="1:1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0"/>
      <c r="L133" s="10"/>
    </row>
    <row r="134" spans="1:1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0"/>
      <c r="L134" s="10"/>
    </row>
    <row r="135" spans="1:1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0"/>
      <c r="L135" s="10"/>
    </row>
    <row r="136" spans="1:1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0"/>
      <c r="L136" s="10"/>
    </row>
    <row r="137" spans="1:1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0"/>
      <c r="L137" s="10"/>
    </row>
    <row r="138" spans="1:1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0"/>
      <c r="L138" s="10"/>
    </row>
    <row r="139" spans="1:1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0"/>
      <c r="L139" s="10"/>
    </row>
    <row r="140" spans="1:1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0"/>
      <c r="L140" s="10"/>
    </row>
    <row r="141" spans="1:1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0"/>
      <c r="L141" s="10"/>
    </row>
    <row r="142" spans="1:1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0"/>
      <c r="L142" s="10"/>
    </row>
    <row r="143" spans="1:1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0"/>
      <c r="L143" s="10"/>
    </row>
    <row r="144" spans="1:1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0"/>
      <c r="L144" s="10"/>
    </row>
    <row r="145" spans="1:1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0"/>
      <c r="L145" s="10"/>
    </row>
    <row r="146" spans="1:1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0"/>
      <c r="L146" s="10"/>
    </row>
    <row r="147" spans="1:1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0"/>
      <c r="L147" s="10"/>
    </row>
    <row r="148" spans="1:1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0"/>
      <c r="L148" s="10"/>
    </row>
    <row r="149" spans="1:1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0"/>
      <c r="L149" s="10"/>
    </row>
    <row r="150" spans="1:1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0"/>
      <c r="L150" s="10"/>
    </row>
    <row r="151" spans="1:1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0"/>
      <c r="L151" s="10"/>
    </row>
    <row r="152" spans="1:1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0"/>
      <c r="L152" s="10"/>
    </row>
    <row r="153" spans="1:1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0"/>
      <c r="L153" s="10"/>
    </row>
    <row r="154" spans="1:1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0"/>
      <c r="L154" s="10"/>
    </row>
    <row r="155" spans="1:1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0"/>
      <c r="L155" s="10"/>
    </row>
    <row r="156" spans="1:1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0"/>
      <c r="L156" s="10"/>
    </row>
    <row r="157" spans="1:1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0"/>
      <c r="L157" s="10"/>
    </row>
    <row r="158" spans="1:1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0"/>
      <c r="L158" s="10"/>
    </row>
    <row r="159" spans="1:1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0"/>
      <c r="L159" s="10"/>
    </row>
    <row r="160" spans="1:1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0"/>
      <c r="L160" s="10"/>
    </row>
    <row r="161" spans="1:1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0"/>
      <c r="L161" s="10"/>
    </row>
    <row r="162" spans="1:1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0"/>
      <c r="L162" s="10"/>
    </row>
    <row r="163" spans="1:1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0"/>
      <c r="L163" s="10"/>
    </row>
    <row r="164" spans="1:1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0"/>
      <c r="L164" s="10"/>
    </row>
    <row r="165" spans="1:1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0"/>
      <c r="L165" s="10"/>
    </row>
    <row r="166" spans="1:1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0"/>
      <c r="L166" s="10"/>
    </row>
    <row r="167" spans="1:1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0"/>
      <c r="L167" s="10"/>
    </row>
    <row r="168" spans="1:1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0"/>
      <c r="L168" s="10"/>
    </row>
    <row r="169" spans="1:1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0"/>
      <c r="L169" s="10"/>
    </row>
    <row r="170" spans="1:1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0"/>
      <c r="L170" s="10"/>
    </row>
    <row r="171" spans="1:1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0"/>
      <c r="L171" s="10"/>
    </row>
    <row r="172" spans="1:1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0"/>
      <c r="L172" s="10"/>
    </row>
    <row r="173" spans="1:1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0"/>
      <c r="L173" s="10"/>
    </row>
    <row r="174" spans="1:1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0"/>
      <c r="L174" s="10"/>
    </row>
    <row r="175" spans="1:1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0"/>
      <c r="L175" s="10"/>
    </row>
    <row r="176" spans="1:1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0"/>
      <c r="L176" s="10"/>
    </row>
    <row r="177" spans="1:1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0"/>
      <c r="L177" s="10"/>
    </row>
    <row r="178" spans="1:1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0"/>
      <c r="L178" s="10"/>
    </row>
    <row r="179" spans="1:1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0"/>
      <c r="L179" s="10"/>
    </row>
    <row r="180" spans="1:1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0"/>
      <c r="L180" s="10"/>
    </row>
    <row r="181" spans="1:1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0"/>
      <c r="L181" s="10"/>
    </row>
    <row r="182" spans="1:1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0"/>
      <c r="L182" s="10"/>
    </row>
    <row r="183" spans="1:1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0"/>
      <c r="L183" s="10"/>
    </row>
    <row r="184" spans="1:1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0"/>
      <c r="L184" s="10"/>
    </row>
    <row r="185" spans="1:1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0"/>
      <c r="L185" s="10"/>
    </row>
    <row r="186" spans="1:1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0"/>
      <c r="L186" s="10"/>
    </row>
    <row r="187" spans="1:1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0"/>
      <c r="L187" s="10"/>
    </row>
    <row r="188" spans="1:1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0"/>
      <c r="L188" s="10"/>
    </row>
    <row r="189" spans="1:1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0"/>
      <c r="L189" s="10"/>
    </row>
    <row r="190" spans="1:1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0"/>
      <c r="L190" s="10"/>
    </row>
    <row r="191" spans="1:1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0"/>
      <c r="L191" s="10"/>
    </row>
    <row r="192" spans="1:1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0"/>
      <c r="L192" s="10"/>
    </row>
    <row r="193" spans="1:1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0"/>
      <c r="L193" s="10"/>
    </row>
    <row r="194" spans="1:1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0"/>
      <c r="L194" s="10"/>
    </row>
    <row r="195" spans="1:1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0"/>
      <c r="L195" s="10"/>
    </row>
    <row r="196" spans="1:1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0"/>
      <c r="L196" s="10"/>
    </row>
    <row r="197" spans="1:1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0"/>
      <c r="L197" s="10"/>
    </row>
    <row r="198" spans="1:1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0"/>
      <c r="L198" s="10"/>
    </row>
    <row r="199" spans="1:1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0"/>
      <c r="L199" s="10"/>
    </row>
    <row r="200" spans="1:1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0"/>
      <c r="L200" s="10"/>
    </row>
    <row r="201" spans="1:1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0"/>
      <c r="L201" s="10"/>
    </row>
    <row r="202" spans="1:1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0"/>
      <c r="L202" s="10"/>
    </row>
    <row r="203" spans="1:1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0"/>
      <c r="L203" s="10"/>
    </row>
    <row r="204" spans="1:1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0"/>
      <c r="L204" s="10"/>
    </row>
    <row r="205" spans="1:1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0"/>
      <c r="L205" s="10"/>
    </row>
    <row r="206" spans="1:1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0"/>
      <c r="L206" s="10"/>
    </row>
    <row r="207" spans="1:1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0"/>
      <c r="L207" s="10"/>
    </row>
    <row r="208" spans="1:1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0"/>
      <c r="L208" s="10"/>
    </row>
    <row r="209" spans="1:1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0"/>
      <c r="L209" s="10"/>
    </row>
    <row r="210" spans="1:1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0"/>
      <c r="L210" s="10"/>
    </row>
    <row r="211" spans="1:1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0"/>
      <c r="L211" s="10"/>
    </row>
    <row r="212" spans="1: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0"/>
      <c r="L212" s="10"/>
    </row>
    <row r="213" spans="1:1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0"/>
      <c r="L213" s="10"/>
    </row>
    <row r="214" spans="1:1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0"/>
      <c r="L214" s="10"/>
    </row>
    <row r="215" spans="1:1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0"/>
      <c r="L215" s="10"/>
    </row>
    <row r="216" spans="1:1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0"/>
      <c r="L216" s="10"/>
    </row>
    <row r="217" spans="1:1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0"/>
      <c r="L217" s="10"/>
    </row>
    <row r="218" spans="1:1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0"/>
      <c r="L218" s="10"/>
    </row>
    <row r="219" spans="1:1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0"/>
      <c r="L219" s="10"/>
    </row>
    <row r="220" spans="1:1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0"/>
      <c r="L220" s="10"/>
    </row>
    <row r="221" spans="1:1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0"/>
      <c r="L221" s="10"/>
    </row>
    <row r="222" spans="1:1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0"/>
      <c r="L222" s="10"/>
    </row>
    <row r="223" spans="1:1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0"/>
      <c r="L223" s="10"/>
    </row>
    <row r="224" spans="1:1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0"/>
      <c r="L224" s="10"/>
    </row>
    <row r="225" spans="1:1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0"/>
      <c r="L225" s="10"/>
    </row>
    <row r="226" spans="1:1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0"/>
      <c r="L226" s="10"/>
    </row>
    <row r="227" spans="1:1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0"/>
      <c r="L227" s="10"/>
    </row>
    <row r="228" spans="1:1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0"/>
      <c r="L228" s="10"/>
    </row>
    <row r="229" spans="1:1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0"/>
      <c r="L229" s="10"/>
    </row>
    <row r="230" spans="1:1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0"/>
      <c r="L230" s="10"/>
    </row>
    <row r="231" spans="1:1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0"/>
      <c r="L231" s="10"/>
    </row>
    <row r="232" spans="1:1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0"/>
      <c r="L232" s="10"/>
    </row>
    <row r="233" spans="1:1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0"/>
      <c r="L233" s="10"/>
    </row>
    <row r="234" spans="1:1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0"/>
      <c r="L234" s="10"/>
    </row>
    <row r="235" spans="1:1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0"/>
      <c r="L235" s="10"/>
    </row>
    <row r="236" spans="1:1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0"/>
      <c r="L236" s="10"/>
    </row>
    <row r="237" spans="1:1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0"/>
      <c r="L237" s="10"/>
    </row>
    <row r="238" spans="1:1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0"/>
      <c r="L238" s="10"/>
    </row>
    <row r="239" spans="1:1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0"/>
      <c r="L239" s="10"/>
    </row>
    <row r="240" spans="1:1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0"/>
      <c r="L240" s="10"/>
    </row>
    <row r="241" spans="1:1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0"/>
      <c r="L241" s="10"/>
    </row>
    <row r="242" spans="1:1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0"/>
      <c r="L242" s="10"/>
    </row>
    <row r="243" spans="1:1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0"/>
      <c r="L243" s="10"/>
    </row>
    <row r="244" spans="1:1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0"/>
      <c r="L244" s="10"/>
    </row>
    <row r="245" spans="1:1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0"/>
      <c r="L245" s="10"/>
    </row>
    <row r="246" spans="1:1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0"/>
      <c r="L246" s="10"/>
    </row>
    <row r="247" spans="1:1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0"/>
      <c r="L247" s="10"/>
    </row>
    <row r="248" spans="1:1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0"/>
      <c r="L248" s="10"/>
    </row>
    <row r="249" spans="1:1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0"/>
      <c r="L249" s="10"/>
    </row>
    <row r="250" spans="1:1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0"/>
      <c r="L250" s="10"/>
    </row>
    <row r="251" spans="1:1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0"/>
      <c r="L251" s="10"/>
    </row>
    <row r="252" spans="1:1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0"/>
      <c r="L252" s="10"/>
    </row>
    <row r="253" spans="1:1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0"/>
      <c r="L253" s="10"/>
    </row>
    <row r="254" spans="1:1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0"/>
      <c r="L254" s="10"/>
    </row>
    <row r="255" spans="1:1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0"/>
      <c r="L255" s="10"/>
    </row>
    <row r="256" spans="1:1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0"/>
      <c r="L256" s="10"/>
    </row>
    <row r="257" spans="1:1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0"/>
      <c r="L257" s="10"/>
    </row>
    <row r="258" spans="1:1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0"/>
      <c r="L258" s="10"/>
    </row>
    <row r="259" spans="1:1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0"/>
      <c r="L259" s="10"/>
    </row>
    <row r="260" spans="1:1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0"/>
      <c r="L260" s="10"/>
    </row>
    <row r="261" spans="1:1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0"/>
      <c r="L261" s="10"/>
    </row>
    <row r="262" spans="1:1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0"/>
      <c r="L262" s="10"/>
    </row>
    <row r="263" spans="1:1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0"/>
      <c r="L263" s="10"/>
    </row>
    <row r="264" spans="1:1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0"/>
      <c r="L264" s="10"/>
    </row>
    <row r="265" spans="1:1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0"/>
      <c r="L265" s="10"/>
    </row>
    <row r="266" spans="1:1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0"/>
      <c r="L266" s="10"/>
    </row>
    <row r="267" spans="1:1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0"/>
      <c r="L267" s="10"/>
    </row>
    <row r="268" spans="1:1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0"/>
      <c r="L268" s="10"/>
    </row>
    <row r="269" spans="1:1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0"/>
      <c r="L269" s="10"/>
    </row>
    <row r="270" spans="1:1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0"/>
      <c r="L270" s="10"/>
    </row>
    <row r="271" spans="1:1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0"/>
      <c r="L271" s="10"/>
    </row>
    <row r="272" spans="1:1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0"/>
      <c r="L272" s="10"/>
    </row>
    <row r="273" spans="1:1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0"/>
      <c r="L273" s="10"/>
    </row>
    <row r="274" spans="1:1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0"/>
      <c r="L274" s="10"/>
    </row>
    <row r="275" spans="1:1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0"/>
      <c r="L275" s="10"/>
    </row>
    <row r="276" spans="1:1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0"/>
      <c r="L276" s="10"/>
    </row>
    <row r="277" spans="1:1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0"/>
      <c r="L277" s="10"/>
    </row>
    <row r="278" spans="1:1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0"/>
      <c r="L278" s="10"/>
    </row>
    <row r="279" spans="1:1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0"/>
      <c r="L279" s="10"/>
    </row>
    <row r="280" spans="1:1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0"/>
      <c r="L280" s="10"/>
    </row>
    <row r="281" spans="1:1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0"/>
      <c r="L281" s="10"/>
    </row>
    <row r="282" spans="1:1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0"/>
      <c r="L282" s="10"/>
    </row>
    <row r="283" spans="1:1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0"/>
      <c r="L283" s="10"/>
    </row>
    <row r="284" spans="1:1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0"/>
      <c r="L284" s="10"/>
    </row>
    <row r="285" spans="1:1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0"/>
      <c r="L285" s="10"/>
    </row>
    <row r="286" spans="1:1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0"/>
      <c r="L286" s="10"/>
    </row>
    <row r="287" spans="1:1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0"/>
      <c r="L287" s="10"/>
    </row>
    <row r="288" spans="1:1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0"/>
      <c r="L288" s="10"/>
    </row>
    <row r="289" spans="1:1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0"/>
      <c r="L289" s="10"/>
    </row>
    <row r="290" spans="1:1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0"/>
      <c r="L290" s="10"/>
    </row>
    <row r="291" spans="1:1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0"/>
      <c r="L291" s="10"/>
    </row>
    <row r="292" spans="1:1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0"/>
      <c r="L292" s="10"/>
    </row>
    <row r="293" spans="1:1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0"/>
      <c r="L293" s="10"/>
    </row>
    <row r="294" spans="1:1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0"/>
      <c r="L294" s="10"/>
    </row>
    <row r="295" spans="1:1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0"/>
      <c r="L295" s="10"/>
    </row>
    <row r="296" spans="1:1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0"/>
      <c r="L296" s="10"/>
    </row>
    <row r="297" spans="1:1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0"/>
      <c r="L297" s="10"/>
    </row>
    <row r="298" spans="1:1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0"/>
      <c r="L298" s="10"/>
    </row>
    <row r="299" spans="1:1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0"/>
      <c r="L299" s="10"/>
    </row>
    <row r="300" spans="1:1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0"/>
      <c r="L300" s="10"/>
    </row>
    <row r="301" spans="1:1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0"/>
      <c r="L301" s="10"/>
    </row>
    <row r="302" spans="1:1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0"/>
      <c r="L302" s="10"/>
    </row>
    <row r="303" spans="1:1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0"/>
      <c r="L303" s="10"/>
    </row>
    <row r="304" spans="1:1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0"/>
      <c r="L304" s="10"/>
    </row>
    <row r="305" spans="1:1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0"/>
      <c r="L305" s="10"/>
    </row>
    <row r="306" spans="1:1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0"/>
      <c r="L306" s="10"/>
    </row>
    <row r="307" spans="1:1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0"/>
      <c r="L307" s="10"/>
    </row>
    <row r="308" spans="1:1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0"/>
      <c r="L308" s="10"/>
    </row>
    <row r="309" spans="1:1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0"/>
      <c r="L309" s="10"/>
    </row>
    <row r="310" spans="1:1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0"/>
      <c r="L310" s="10"/>
    </row>
    <row r="311" spans="1:12">
      <c r="K311" s="10"/>
      <c r="L311" s="10"/>
    </row>
    <row r="312" spans="1:12">
      <c r="K312" s="10"/>
      <c r="L312" s="10"/>
    </row>
    <row r="313" spans="1:12">
      <c r="K313" s="10"/>
      <c r="L313" s="10"/>
    </row>
    <row r="314" spans="1:12">
      <c r="K314" s="10"/>
      <c r="L314" s="10"/>
    </row>
    <row r="315" spans="1:12">
      <c r="K315" s="10"/>
      <c r="L315" s="10"/>
    </row>
    <row r="316" spans="1:12">
      <c r="K316" s="10"/>
      <c r="L316" s="10"/>
    </row>
    <row r="317" spans="1:12">
      <c r="K317" s="10"/>
      <c r="L317" s="10"/>
    </row>
    <row r="318" spans="1:12">
      <c r="K318" s="10"/>
      <c r="L318" s="10"/>
    </row>
    <row r="319" spans="1:12">
      <c r="K319" s="10"/>
      <c r="L319" s="10"/>
    </row>
    <row r="320" spans="1:12">
      <c r="K320" s="10"/>
      <c r="L320" s="10"/>
    </row>
    <row r="321" spans="11:12">
      <c r="K321" s="10"/>
      <c r="L321" s="10"/>
    </row>
    <row r="322" spans="11:12">
      <c r="K322" s="10"/>
      <c r="L322" s="10"/>
    </row>
    <row r="323" spans="11:12">
      <c r="K323" s="10"/>
      <c r="L323" s="10"/>
    </row>
    <row r="324" spans="11:12">
      <c r="K324" s="10"/>
      <c r="L324" s="10"/>
    </row>
    <row r="325" spans="11:12">
      <c r="K325" s="10"/>
      <c r="L325" s="10"/>
    </row>
    <row r="326" spans="11:12">
      <c r="K326" s="10"/>
      <c r="L326" s="10"/>
    </row>
    <row r="327" spans="11:12">
      <c r="K327" s="10"/>
      <c r="L327" s="10"/>
    </row>
    <row r="328" spans="11:12">
      <c r="K328" s="10"/>
      <c r="L328" s="10"/>
    </row>
    <row r="329" spans="11:12">
      <c r="K329" s="10"/>
      <c r="L329" s="10"/>
    </row>
    <row r="330" spans="11:12">
      <c r="K330" s="10"/>
      <c r="L330" s="10"/>
    </row>
    <row r="331" spans="11:12">
      <c r="K331" s="10"/>
      <c r="L331" s="10"/>
    </row>
    <row r="332" spans="11:12">
      <c r="K332" s="10"/>
      <c r="L332" s="10"/>
    </row>
    <row r="333" spans="11:12">
      <c r="K333" s="10"/>
      <c r="L333" s="10"/>
    </row>
    <row r="334" spans="11:12">
      <c r="K334" s="10"/>
      <c r="L334" s="10"/>
    </row>
    <row r="335" spans="11:12">
      <c r="K335" s="10"/>
      <c r="L335" s="10"/>
    </row>
    <row r="336" spans="11:12">
      <c r="K336" s="10"/>
      <c r="L336" s="10"/>
    </row>
    <row r="337" spans="11:12">
      <c r="K337" s="10"/>
      <c r="L337" s="10"/>
    </row>
    <row r="338" spans="11:12">
      <c r="K338" s="10"/>
      <c r="L338" s="10"/>
    </row>
    <row r="339" spans="11:12">
      <c r="K339" s="10"/>
      <c r="L339" s="10"/>
    </row>
    <row r="340" spans="11:12">
      <c r="K340" s="10"/>
      <c r="L340" s="10"/>
    </row>
    <row r="341" spans="11:12">
      <c r="K341" s="10"/>
      <c r="L341" s="10"/>
    </row>
    <row r="342" spans="11:12">
      <c r="K342" s="10"/>
      <c r="L342" s="10"/>
    </row>
    <row r="343" spans="11:12">
      <c r="K343" s="10"/>
      <c r="L343" s="10"/>
    </row>
    <row r="344" spans="11:12">
      <c r="K344" s="10"/>
      <c r="L344" s="10"/>
    </row>
    <row r="345" spans="11:12">
      <c r="K345" s="10"/>
      <c r="L345" s="10"/>
    </row>
    <row r="346" spans="11:12">
      <c r="K346" s="10"/>
      <c r="L346" s="10"/>
    </row>
    <row r="347" spans="11:12">
      <c r="K347" s="10"/>
      <c r="L347" s="10"/>
    </row>
    <row r="348" spans="11:12">
      <c r="K348" s="10"/>
      <c r="L348" s="10"/>
    </row>
    <row r="349" spans="11:12">
      <c r="K349" s="10"/>
      <c r="L349" s="10"/>
    </row>
    <row r="350" spans="11:12">
      <c r="K350" s="10"/>
      <c r="L350" s="10"/>
    </row>
    <row r="351" spans="11:12">
      <c r="K351" s="10"/>
      <c r="L351" s="10"/>
    </row>
    <row r="352" spans="11:12">
      <c r="K352" s="10"/>
      <c r="L352" s="10"/>
    </row>
    <row r="353" spans="11:12">
      <c r="K353" s="10"/>
      <c r="L353" s="10"/>
    </row>
    <row r="354" spans="11:12">
      <c r="K354" s="10"/>
      <c r="L354" s="10"/>
    </row>
    <row r="355" spans="11:12">
      <c r="K355" s="10"/>
      <c r="L355" s="10"/>
    </row>
    <row r="356" spans="11:12">
      <c r="K356" s="10"/>
      <c r="L356" s="10"/>
    </row>
    <row r="357" spans="11:12">
      <c r="K357" s="10"/>
      <c r="L357" s="10"/>
    </row>
    <row r="358" spans="11:12">
      <c r="K358" s="10"/>
      <c r="L358" s="10"/>
    </row>
    <row r="359" spans="11:12">
      <c r="K359" s="10"/>
      <c r="L359" s="10"/>
    </row>
    <row r="360" spans="11:12">
      <c r="K360" s="10"/>
      <c r="L360" s="10"/>
    </row>
    <row r="361" spans="11:12">
      <c r="K361" s="10"/>
      <c r="L361" s="10"/>
    </row>
    <row r="362" spans="11:12">
      <c r="K362" s="10"/>
      <c r="L362" s="10"/>
    </row>
    <row r="363" spans="11:12">
      <c r="K363" s="10"/>
      <c r="L363" s="10"/>
    </row>
    <row r="364" spans="11:12">
      <c r="K364" s="10"/>
      <c r="L364" s="10"/>
    </row>
    <row r="365" spans="11:12">
      <c r="K365" s="10"/>
      <c r="L365" s="10"/>
    </row>
    <row r="366" spans="11:12">
      <c r="K366" s="10"/>
      <c r="L366" s="10"/>
    </row>
    <row r="367" spans="11:12">
      <c r="K367" s="10"/>
      <c r="L367" s="10"/>
    </row>
    <row r="368" spans="11:12">
      <c r="K368" s="10"/>
      <c r="L368" s="10"/>
    </row>
    <row r="369" spans="11:12">
      <c r="K369" s="10"/>
      <c r="L369" s="10"/>
    </row>
    <row r="370" spans="11:12">
      <c r="K370" s="10"/>
      <c r="L370" s="10"/>
    </row>
    <row r="371" spans="11:12">
      <c r="K371" s="10"/>
      <c r="L371" s="10"/>
    </row>
    <row r="372" spans="11:12">
      <c r="K372" s="10"/>
      <c r="L372" s="10"/>
    </row>
    <row r="373" spans="11:12">
      <c r="K373" s="10"/>
      <c r="L373" s="10"/>
    </row>
    <row r="374" spans="11:12">
      <c r="K374" s="10"/>
      <c r="L374" s="10"/>
    </row>
    <row r="375" spans="11:12">
      <c r="K375" s="10"/>
      <c r="L375" s="10"/>
    </row>
    <row r="376" spans="11:12">
      <c r="K376" s="10"/>
      <c r="L376" s="10"/>
    </row>
    <row r="377" spans="11:12">
      <c r="K377" s="10"/>
      <c r="L377" s="10"/>
    </row>
    <row r="378" spans="11:12">
      <c r="K378" s="10"/>
      <c r="L378" s="10"/>
    </row>
    <row r="379" spans="11:12">
      <c r="K379" s="10"/>
      <c r="L379" s="10"/>
    </row>
    <row r="380" spans="11:12">
      <c r="K380" s="10"/>
      <c r="L380" s="10"/>
    </row>
    <row r="381" spans="11:12">
      <c r="K381" s="10"/>
      <c r="L381" s="10"/>
    </row>
    <row r="382" spans="11:12">
      <c r="K382" s="10"/>
      <c r="L382" s="10"/>
    </row>
    <row r="383" spans="11:12">
      <c r="K383" s="10"/>
      <c r="L383" s="10"/>
    </row>
    <row r="384" spans="11:12">
      <c r="K384" s="10"/>
      <c r="L384" s="10"/>
    </row>
    <row r="385" spans="11:12">
      <c r="K385" s="10"/>
      <c r="L385" s="10"/>
    </row>
    <row r="386" spans="11:12">
      <c r="K386" s="10"/>
      <c r="L386" s="10"/>
    </row>
    <row r="387" spans="11:12">
      <c r="K387" s="10"/>
      <c r="L387" s="10"/>
    </row>
    <row r="388" spans="11:12">
      <c r="K388" s="10"/>
      <c r="L388" s="10"/>
    </row>
    <row r="389" spans="11:12">
      <c r="K389" s="10"/>
      <c r="L389" s="10"/>
    </row>
    <row r="390" spans="11:12">
      <c r="K390" s="10"/>
      <c r="L390" s="10"/>
    </row>
    <row r="391" spans="11:12">
      <c r="K391" s="10"/>
      <c r="L391" s="10"/>
    </row>
    <row r="392" spans="11:12">
      <c r="K392" s="10"/>
      <c r="L392" s="10"/>
    </row>
    <row r="393" spans="11:12">
      <c r="K393" s="10"/>
      <c r="L393" s="10"/>
    </row>
    <row r="394" spans="11:12">
      <c r="K394" s="10"/>
      <c r="L394" s="10"/>
    </row>
    <row r="395" spans="11:12">
      <c r="K395" s="10"/>
      <c r="L395" s="10"/>
    </row>
    <row r="396" spans="11:12">
      <c r="K396" s="10"/>
      <c r="L396" s="10"/>
    </row>
    <row r="397" spans="11:12">
      <c r="K397" s="10"/>
      <c r="L397" s="10"/>
    </row>
    <row r="398" spans="11:12">
      <c r="K398" s="10"/>
      <c r="L398" s="10"/>
    </row>
    <row r="399" spans="11:12">
      <c r="K399" s="10"/>
      <c r="L399" s="10"/>
    </row>
    <row r="400" spans="11:12">
      <c r="K400" s="10"/>
      <c r="L400" s="10"/>
    </row>
    <row r="401" spans="11:12">
      <c r="K401" s="10"/>
      <c r="L401" s="10"/>
    </row>
    <row r="402" spans="11:12">
      <c r="K402" s="10"/>
      <c r="L402" s="10"/>
    </row>
    <row r="403" spans="11:12">
      <c r="K403" s="10"/>
      <c r="L403" s="10"/>
    </row>
    <row r="404" spans="11:12">
      <c r="K404" s="10"/>
      <c r="L404" s="10"/>
    </row>
    <row r="405" spans="11:12">
      <c r="K405" s="10"/>
      <c r="L405" s="10"/>
    </row>
    <row r="406" spans="11:12">
      <c r="K406" s="10"/>
      <c r="L406" s="10"/>
    </row>
    <row r="407" spans="11:12">
      <c r="K407" s="10"/>
      <c r="L407" s="10"/>
    </row>
    <row r="408" spans="11:12">
      <c r="K408" s="10"/>
      <c r="L408" s="10"/>
    </row>
    <row r="409" spans="11:12">
      <c r="K409" s="10"/>
      <c r="L409" s="10"/>
    </row>
    <row r="410" spans="11:12">
      <c r="K410" s="10"/>
      <c r="L410" s="10"/>
    </row>
    <row r="411" spans="11:12">
      <c r="K411" s="10"/>
      <c r="L411" s="10"/>
    </row>
    <row r="412" spans="11:12">
      <c r="K412" s="10"/>
      <c r="L412" s="10"/>
    </row>
    <row r="413" spans="11:12">
      <c r="K413" s="10"/>
      <c r="L413" s="10"/>
    </row>
    <row r="414" spans="11:12">
      <c r="K414" s="10"/>
      <c r="L414" s="10"/>
    </row>
    <row r="415" spans="11:12">
      <c r="K415" s="10"/>
      <c r="L415" s="10"/>
    </row>
    <row r="416" spans="11:12">
      <c r="K416" s="10"/>
      <c r="L416" s="10"/>
    </row>
    <row r="417" spans="11:12">
      <c r="K417" s="10"/>
      <c r="L417" s="10"/>
    </row>
    <row r="418" spans="11:12">
      <c r="K418" s="10"/>
      <c r="L418" s="10"/>
    </row>
    <row r="419" spans="11:12">
      <c r="K419" s="10"/>
      <c r="L419" s="10"/>
    </row>
    <row r="420" spans="11:12">
      <c r="K420" s="10"/>
      <c r="L420" s="10"/>
    </row>
    <row r="421" spans="11:12">
      <c r="K421" s="10"/>
      <c r="L421" s="10"/>
    </row>
    <row r="422" spans="11:12">
      <c r="K422" s="10"/>
      <c r="L422" s="10"/>
    </row>
    <row r="423" spans="11:12">
      <c r="K423" s="10"/>
      <c r="L423" s="10"/>
    </row>
    <row r="424" spans="11:12">
      <c r="K424" s="10"/>
      <c r="L424" s="10"/>
    </row>
    <row r="425" spans="11:12">
      <c r="K425" s="10"/>
      <c r="L425" s="10"/>
    </row>
    <row r="426" spans="11:12">
      <c r="K426" s="10"/>
      <c r="L426" s="10"/>
    </row>
    <row r="427" spans="11:12">
      <c r="K427" s="10"/>
      <c r="L427" s="10"/>
    </row>
    <row r="428" spans="11:12">
      <c r="K428" s="10"/>
      <c r="L428" s="10"/>
    </row>
    <row r="429" spans="11:12">
      <c r="K429" s="10"/>
      <c r="L429" s="10"/>
    </row>
    <row r="430" spans="11:12">
      <c r="K430" s="10"/>
      <c r="L430" s="10"/>
    </row>
    <row r="431" spans="11:12">
      <c r="K431" s="10"/>
      <c r="L431" s="10"/>
    </row>
    <row r="432" spans="11:12">
      <c r="K432" s="10"/>
      <c r="L432" s="10"/>
    </row>
    <row r="433" spans="11:12">
      <c r="K433" s="10"/>
      <c r="L433" s="10"/>
    </row>
    <row r="434" spans="11:12">
      <c r="K434" s="10"/>
      <c r="L434" s="10"/>
    </row>
    <row r="435" spans="11:12">
      <c r="K435" s="10"/>
      <c r="L435" s="10"/>
    </row>
    <row r="436" spans="11:12">
      <c r="K436" s="10"/>
      <c r="L436" s="10"/>
    </row>
    <row r="437" spans="11:12">
      <c r="K437" s="10"/>
      <c r="L437" s="10"/>
    </row>
    <row r="438" spans="11:12">
      <c r="K438" s="10"/>
      <c r="L438" s="10"/>
    </row>
    <row r="439" spans="11:12">
      <c r="K439" s="10"/>
      <c r="L439" s="10"/>
    </row>
    <row r="440" spans="11:12">
      <c r="K440" s="10"/>
      <c r="L440" s="10"/>
    </row>
    <row r="441" spans="11:12">
      <c r="K441" s="10"/>
      <c r="L441" s="10"/>
    </row>
    <row r="442" spans="11:12">
      <c r="K442" s="10"/>
      <c r="L442" s="10"/>
    </row>
    <row r="443" spans="11:12">
      <c r="K443" s="10"/>
      <c r="L443" s="10"/>
    </row>
    <row r="444" spans="11:12">
      <c r="K444" s="10"/>
      <c r="L444" s="10"/>
    </row>
    <row r="445" spans="11:12">
      <c r="K445" s="10"/>
      <c r="L445" s="10"/>
    </row>
    <row r="446" spans="11:12">
      <c r="K446" s="10"/>
      <c r="L446" s="10"/>
    </row>
    <row r="447" spans="11:12">
      <c r="K447" s="10"/>
      <c r="L447" s="10"/>
    </row>
    <row r="448" spans="11:12">
      <c r="K448" s="10"/>
      <c r="L448" s="10"/>
    </row>
    <row r="449" spans="11:12">
      <c r="K449" s="10"/>
      <c r="L449" s="10"/>
    </row>
    <row r="450" spans="11:12">
      <c r="K450" s="10"/>
      <c r="L450" s="10"/>
    </row>
    <row r="451" spans="11:12">
      <c r="K451" s="10"/>
      <c r="L451" s="10"/>
    </row>
    <row r="452" spans="11:12">
      <c r="K452" s="10"/>
      <c r="L452" s="10"/>
    </row>
    <row r="453" spans="11:12">
      <c r="K453" s="10"/>
      <c r="L453" s="10"/>
    </row>
    <row r="454" spans="11:12">
      <c r="K454" s="10"/>
      <c r="L454" s="10"/>
    </row>
    <row r="455" spans="11:12">
      <c r="K455" s="10"/>
      <c r="L455" s="10"/>
    </row>
    <row r="456" spans="11:12">
      <c r="K456" s="10"/>
      <c r="L456" s="10"/>
    </row>
    <row r="457" spans="11:12">
      <c r="K457" s="10"/>
      <c r="L457" s="10"/>
    </row>
    <row r="458" spans="11:12">
      <c r="K458" s="10"/>
      <c r="L458" s="10"/>
    </row>
    <row r="459" spans="11:12">
      <c r="K459" s="10"/>
      <c r="L459" s="10"/>
    </row>
    <row r="460" spans="11:12">
      <c r="K460" s="10"/>
      <c r="L460" s="10"/>
    </row>
    <row r="461" spans="11:12">
      <c r="K461" s="10"/>
      <c r="L461" s="10"/>
    </row>
    <row r="462" spans="11:12">
      <c r="K462" s="10"/>
      <c r="L462" s="10"/>
    </row>
    <row r="463" spans="11:12">
      <c r="K463" s="10"/>
      <c r="L463" s="10"/>
    </row>
    <row r="464" spans="11:12">
      <c r="K464" s="10"/>
      <c r="L464" s="10"/>
    </row>
    <row r="465" spans="11:12">
      <c r="K465" s="10"/>
      <c r="L465" s="10"/>
    </row>
    <row r="466" spans="11:12">
      <c r="K466" s="10"/>
      <c r="L466" s="10"/>
    </row>
    <row r="467" spans="11:12">
      <c r="K467" s="10"/>
      <c r="L467" s="10"/>
    </row>
    <row r="468" spans="11:12">
      <c r="K468" s="10"/>
      <c r="L468" s="10"/>
    </row>
    <row r="469" spans="11:12">
      <c r="K469" s="10"/>
      <c r="L469" s="10"/>
    </row>
    <row r="470" spans="11:12">
      <c r="K470" s="10"/>
      <c r="L470" s="10"/>
    </row>
    <row r="471" spans="11:12">
      <c r="K471" s="10"/>
      <c r="L471" s="10"/>
    </row>
    <row r="472" spans="11:12">
      <c r="K472" s="10"/>
      <c r="L472" s="10"/>
    </row>
    <row r="473" spans="11:12">
      <c r="K473" s="10"/>
      <c r="L473" s="10"/>
    </row>
    <row r="474" spans="11:12">
      <c r="K474" s="10"/>
      <c r="L474" s="10"/>
    </row>
    <row r="475" spans="11:12">
      <c r="K475" s="10"/>
      <c r="L475" s="10"/>
    </row>
    <row r="476" spans="11:12">
      <c r="K476" s="10"/>
      <c r="L476" s="10"/>
    </row>
    <row r="477" spans="11:12">
      <c r="K477" s="10"/>
      <c r="L477" s="10"/>
    </row>
    <row r="478" spans="11:12">
      <c r="K478" s="10"/>
      <c r="L478" s="10"/>
    </row>
    <row r="479" spans="11:12">
      <c r="K479" s="10"/>
      <c r="L479" s="10"/>
    </row>
    <row r="480" spans="11:12">
      <c r="K480" s="10"/>
      <c r="L480" s="10"/>
    </row>
    <row r="481" spans="11:12">
      <c r="K481" s="10"/>
      <c r="L481" s="10"/>
    </row>
    <row r="482" spans="11:12">
      <c r="K482" s="10"/>
      <c r="L482" s="10"/>
    </row>
    <row r="483" spans="11:12">
      <c r="K483" s="10"/>
      <c r="L483" s="10"/>
    </row>
    <row r="484" spans="11:12">
      <c r="K484" s="10"/>
      <c r="L484" s="10"/>
    </row>
    <row r="485" spans="11:12">
      <c r="K485" s="10"/>
      <c r="L485" s="10"/>
    </row>
    <row r="486" spans="11:12">
      <c r="K486" s="10"/>
      <c r="L486" s="10"/>
    </row>
    <row r="487" spans="11:12">
      <c r="K487" s="10"/>
      <c r="L487" s="10"/>
    </row>
    <row r="488" spans="11:12">
      <c r="K488" s="10"/>
      <c r="L488" s="10"/>
    </row>
    <row r="489" spans="11:12">
      <c r="K489" s="10"/>
      <c r="L489" s="10"/>
    </row>
    <row r="490" spans="11:12">
      <c r="K490" s="10"/>
      <c r="L490" s="10"/>
    </row>
    <row r="491" spans="11:12">
      <c r="K491" s="10"/>
      <c r="L491" s="10"/>
    </row>
    <row r="492" spans="11:12">
      <c r="K492" s="10"/>
      <c r="L492" s="10"/>
    </row>
    <row r="493" spans="11:12">
      <c r="K493" s="10"/>
      <c r="L493" s="10"/>
    </row>
    <row r="494" spans="11:12">
      <c r="K494" s="10"/>
      <c r="L494" s="10"/>
    </row>
    <row r="495" spans="11:12">
      <c r="K495" s="10"/>
      <c r="L495" s="10"/>
    </row>
    <row r="496" spans="11:12">
      <c r="K496" s="10"/>
      <c r="L496" s="10"/>
    </row>
    <row r="497" spans="11:12">
      <c r="K497" s="10"/>
      <c r="L497" s="10"/>
    </row>
    <row r="498" spans="11:12">
      <c r="K498" s="10"/>
      <c r="L498" s="10"/>
    </row>
    <row r="499" spans="11:12">
      <c r="K499" s="10"/>
      <c r="L499" s="10"/>
    </row>
    <row r="500" spans="11:12">
      <c r="K500" s="10"/>
      <c r="L500" s="10"/>
    </row>
    <row r="501" spans="11:12">
      <c r="K501" s="10"/>
      <c r="L501" s="10"/>
    </row>
    <row r="502" spans="11:12">
      <c r="K502" s="10"/>
      <c r="L502" s="10"/>
    </row>
    <row r="503" spans="11:12">
      <c r="K503" s="10"/>
      <c r="L503" s="10"/>
    </row>
    <row r="504" spans="11:12">
      <c r="K504" s="10"/>
      <c r="L504" s="10"/>
    </row>
    <row r="505" spans="11:12">
      <c r="K505" s="10"/>
      <c r="L505" s="10"/>
    </row>
    <row r="506" spans="11:12">
      <c r="K506" s="10"/>
      <c r="L506" s="10"/>
    </row>
    <row r="507" spans="11:12">
      <c r="K507" s="10"/>
      <c r="L507" s="10"/>
    </row>
    <row r="508" spans="11:12">
      <c r="K508" s="10"/>
      <c r="L508" s="10"/>
    </row>
    <row r="509" spans="11:12">
      <c r="K509" s="10"/>
      <c r="L509" s="10"/>
    </row>
    <row r="510" spans="11:12">
      <c r="K510" s="10"/>
      <c r="L510" s="10"/>
    </row>
    <row r="511" spans="11:12">
      <c r="K511" s="10"/>
      <c r="L511" s="10"/>
    </row>
    <row r="512" spans="11:12">
      <c r="K512" s="10"/>
      <c r="L512" s="10"/>
    </row>
    <row r="513" spans="11:12">
      <c r="K513" s="10"/>
      <c r="L513" s="10"/>
    </row>
    <row r="514" spans="11:12">
      <c r="K514" s="10"/>
      <c r="L514" s="10"/>
    </row>
    <row r="515" spans="11:12">
      <c r="K515" s="10"/>
      <c r="L515" s="10"/>
    </row>
    <row r="516" spans="11:12">
      <c r="K516" s="10"/>
      <c r="L516" s="10"/>
    </row>
    <row r="517" spans="11:12">
      <c r="K517" s="10"/>
      <c r="L517" s="10"/>
    </row>
    <row r="518" spans="11:12">
      <c r="K518" s="10"/>
      <c r="L518" s="10"/>
    </row>
    <row r="519" spans="11:12">
      <c r="K519" s="10"/>
      <c r="L519" s="10"/>
    </row>
    <row r="520" spans="11:12">
      <c r="K520" s="10"/>
      <c r="L520" s="10"/>
    </row>
    <row r="521" spans="11:12">
      <c r="K521" s="10"/>
      <c r="L521" s="10"/>
    </row>
    <row r="522" spans="11:12">
      <c r="K522" s="10"/>
      <c r="L522" s="10"/>
    </row>
    <row r="523" spans="11:12">
      <c r="K523" s="10"/>
      <c r="L523" s="10"/>
    </row>
    <row r="524" spans="11:12">
      <c r="K524" s="10"/>
      <c r="L524" s="10"/>
    </row>
    <row r="525" spans="11:12">
      <c r="K525" s="10"/>
      <c r="L525" s="10"/>
    </row>
    <row r="526" spans="11:12">
      <c r="K526" s="10"/>
      <c r="L526" s="10"/>
    </row>
    <row r="527" spans="11:12">
      <c r="K527" s="10"/>
      <c r="L527" s="10"/>
    </row>
    <row r="528" spans="11:12">
      <c r="K528" s="10"/>
      <c r="L528" s="10"/>
    </row>
    <row r="529" spans="11:12">
      <c r="K529" s="10"/>
      <c r="L529" s="10"/>
    </row>
    <row r="530" spans="11:12">
      <c r="K530" s="10"/>
      <c r="L530" s="10"/>
    </row>
    <row r="531" spans="11:12">
      <c r="K531" s="10"/>
      <c r="L531" s="10"/>
    </row>
    <row r="532" spans="11:12">
      <c r="K532" s="10"/>
      <c r="L532" s="10"/>
    </row>
    <row r="533" spans="11:12">
      <c r="K533" s="10"/>
      <c r="L533" s="10"/>
    </row>
    <row r="534" spans="11:12">
      <c r="K534" s="10"/>
      <c r="L534" s="10"/>
    </row>
    <row r="535" spans="11:12">
      <c r="K535" s="10"/>
      <c r="L535" s="10"/>
    </row>
    <row r="536" spans="11:12">
      <c r="K536" s="10"/>
      <c r="L536" s="10"/>
    </row>
    <row r="537" spans="11:12">
      <c r="K537" s="10"/>
      <c r="L537" s="10"/>
    </row>
    <row r="538" spans="11:12">
      <c r="K538" s="10"/>
      <c r="L538" s="10"/>
    </row>
    <row r="539" spans="11:12">
      <c r="K539" s="10"/>
      <c r="L539" s="10"/>
    </row>
    <row r="540" spans="11:12">
      <c r="K540" s="10"/>
      <c r="L540" s="10"/>
    </row>
    <row r="541" spans="11:12">
      <c r="K541" s="10"/>
      <c r="L541" s="10"/>
    </row>
    <row r="542" spans="11:12">
      <c r="K542" s="10"/>
      <c r="L542" s="10"/>
    </row>
    <row r="543" spans="11:12">
      <c r="K543" s="10"/>
      <c r="L543" s="10"/>
    </row>
    <row r="544" spans="11:12">
      <c r="K544" s="10"/>
      <c r="L544" s="10"/>
    </row>
    <row r="545" spans="11:12">
      <c r="K545" s="10"/>
      <c r="L545" s="10"/>
    </row>
    <row r="546" spans="11:12">
      <c r="K546" s="10"/>
      <c r="L546" s="10"/>
    </row>
    <row r="547" spans="11:12">
      <c r="K547" s="10"/>
      <c r="L547" s="10"/>
    </row>
    <row r="548" spans="11:12">
      <c r="K548" s="10"/>
      <c r="L548" s="10"/>
    </row>
    <row r="549" spans="11:12">
      <c r="K549" s="10"/>
      <c r="L549" s="10"/>
    </row>
    <row r="550" spans="11:12">
      <c r="K550" s="10"/>
      <c r="L550" s="10"/>
    </row>
    <row r="551" spans="11:12">
      <c r="K551" s="10"/>
      <c r="L551" s="10"/>
    </row>
    <row r="552" spans="11:12">
      <c r="K552" s="10"/>
      <c r="L552" s="10"/>
    </row>
    <row r="553" spans="11:12">
      <c r="K553" s="10"/>
      <c r="L553" s="10"/>
    </row>
    <row r="554" spans="11:12">
      <c r="K554" s="10"/>
      <c r="L554" s="10"/>
    </row>
    <row r="555" spans="11:12">
      <c r="K555" s="10"/>
      <c r="L555" s="10"/>
    </row>
    <row r="556" spans="11:12">
      <c r="K556" s="10"/>
      <c r="L556" s="10"/>
    </row>
    <row r="557" spans="11:12">
      <c r="K557" s="10"/>
      <c r="L557" s="10"/>
    </row>
    <row r="558" spans="11:12">
      <c r="K558" s="10"/>
      <c r="L558" s="10"/>
    </row>
    <row r="559" spans="11:12">
      <c r="K559" s="10"/>
      <c r="L559" s="10"/>
    </row>
    <row r="560" spans="11:12">
      <c r="K560" s="10"/>
      <c r="L560" s="10"/>
    </row>
    <row r="561" spans="11:12">
      <c r="K561" s="10"/>
      <c r="L561" s="10"/>
    </row>
    <row r="562" spans="11:12">
      <c r="K562" s="10"/>
      <c r="L562" s="10"/>
    </row>
    <row r="563" spans="11:12">
      <c r="K563" s="10"/>
      <c r="L563" s="10"/>
    </row>
    <row r="564" spans="11:12">
      <c r="K564" s="10"/>
      <c r="L564" s="10"/>
    </row>
    <row r="565" spans="11:12">
      <c r="K565" s="10"/>
      <c r="L565" s="10"/>
    </row>
    <row r="566" spans="11:12">
      <c r="K566" s="10"/>
      <c r="L566" s="10"/>
    </row>
    <row r="567" spans="11:12">
      <c r="K567" s="10"/>
      <c r="L567" s="10"/>
    </row>
    <row r="568" spans="11:12">
      <c r="K568" s="10"/>
      <c r="L568" s="10"/>
    </row>
    <row r="569" spans="11:12">
      <c r="K569" s="10"/>
      <c r="L569" s="10"/>
    </row>
    <row r="570" spans="11:12">
      <c r="K570" s="10"/>
      <c r="L570" s="10"/>
    </row>
    <row r="571" spans="11:12">
      <c r="K571" s="10"/>
      <c r="L571" s="10"/>
    </row>
    <row r="572" spans="11:12">
      <c r="K572" s="10"/>
      <c r="L572" s="10"/>
    </row>
    <row r="573" spans="11:12">
      <c r="K573" s="10"/>
      <c r="L573" s="10"/>
    </row>
    <row r="574" spans="11:12">
      <c r="K574" s="10"/>
      <c r="L574" s="10"/>
    </row>
    <row r="575" spans="11:12">
      <c r="K575" s="10"/>
      <c r="L575" s="10"/>
    </row>
    <row r="576" spans="11:12">
      <c r="K576" s="10"/>
      <c r="L576" s="10"/>
    </row>
    <row r="577" spans="11:12">
      <c r="K577" s="10"/>
      <c r="L577" s="10"/>
    </row>
    <row r="578" spans="11:12">
      <c r="K578" s="10"/>
      <c r="L578" s="10"/>
    </row>
    <row r="579" spans="11:12">
      <c r="K579" s="10"/>
      <c r="L579" s="10"/>
    </row>
    <row r="580" spans="11:12">
      <c r="K580" s="10"/>
      <c r="L580" s="10"/>
    </row>
    <row r="581" spans="11:12">
      <c r="K581" s="10"/>
      <c r="L581" s="10"/>
    </row>
    <row r="582" spans="11:12">
      <c r="K582" s="10"/>
      <c r="L582" s="10"/>
    </row>
    <row r="583" spans="11:12">
      <c r="K583" s="10"/>
      <c r="L583" s="10"/>
    </row>
    <row r="584" spans="11:12">
      <c r="K584" s="10"/>
      <c r="L584" s="10"/>
    </row>
    <row r="585" spans="11:12">
      <c r="K585" s="10"/>
      <c r="L585" s="10"/>
    </row>
    <row r="586" spans="11:12">
      <c r="K586" s="10"/>
      <c r="L586" s="10"/>
    </row>
    <row r="587" spans="11:12">
      <c r="K587" s="10"/>
      <c r="L587" s="10"/>
    </row>
    <row r="588" spans="11:12">
      <c r="K588" s="10"/>
      <c r="L588" s="10"/>
    </row>
    <row r="589" spans="11:12">
      <c r="K589" s="10"/>
      <c r="L589" s="10"/>
    </row>
    <row r="590" spans="11:12">
      <c r="K590" s="10"/>
      <c r="L590" s="10"/>
    </row>
    <row r="591" spans="11:12">
      <c r="K591" s="10"/>
      <c r="L591" s="10"/>
    </row>
    <row r="592" spans="11:12">
      <c r="K592" s="10"/>
      <c r="L592" s="10"/>
    </row>
    <row r="593" spans="11:12">
      <c r="K593" s="10"/>
      <c r="L593" s="10"/>
    </row>
    <row r="594" spans="11:12">
      <c r="K594" s="10"/>
      <c r="L594" s="10"/>
    </row>
    <row r="595" spans="11:12">
      <c r="K595" s="10"/>
      <c r="L595" s="10"/>
    </row>
    <row r="596" spans="11:12">
      <c r="K596" s="10"/>
      <c r="L596" s="10"/>
    </row>
    <row r="597" spans="11:12">
      <c r="K597" s="10"/>
      <c r="L597" s="10"/>
    </row>
    <row r="598" spans="11:12">
      <c r="K598" s="10"/>
      <c r="L598" s="10"/>
    </row>
    <row r="599" spans="11:12">
      <c r="K599" s="10"/>
      <c r="L599" s="10"/>
    </row>
    <row r="600" spans="11:12">
      <c r="K600" s="10"/>
      <c r="L600" s="10"/>
    </row>
    <row r="601" spans="11:12">
      <c r="K601" s="10"/>
      <c r="L601" s="10"/>
    </row>
    <row r="602" spans="11:12">
      <c r="K602" s="10"/>
      <c r="L602" s="10"/>
    </row>
    <row r="603" spans="11:12">
      <c r="K603" s="10"/>
      <c r="L603" s="10"/>
    </row>
    <row r="604" spans="11:12">
      <c r="K604" s="10"/>
      <c r="L604" s="10"/>
    </row>
    <row r="605" spans="11:12">
      <c r="K605" s="10"/>
      <c r="L605" s="10"/>
    </row>
    <row r="606" spans="11:12">
      <c r="K606" s="10"/>
      <c r="L606" s="10"/>
    </row>
    <row r="607" spans="11:12">
      <c r="K607" s="10"/>
      <c r="L607" s="10"/>
    </row>
    <row r="608" spans="11:12">
      <c r="K608" s="10"/>
      <c r="L608" s="10"/>
    </row>
    <row r="609" spans="11:12">
      <c r="K609" s="10"/>
      <c r="L609" s="10"/>
    </row>
    <row r="610" spans="11:12">
      <c r="K610" s="10"/>
      <c r="L610" s="10"/>
    </row>
    <row r="611" spans="11:12">
      <c r="K611" s="10"/>
      <c r="L611" s="10"/>
    </row>
    <row r="612" spans="11:12">
      <c r="K612" s="10"/>
      <c r="L612" s="10"/>
    </row>
    <row r="613" spans="11:12">
      <c r="K613" s="10"/>
      <c r="L613" s="10"/>
    </row>
    <row r="614" spans="11:12">
      <c r="K614" s="10"/>
      <c r="L614" s="10"/>
    </row>
    <row r="615" spans="11:12">
      <c r="K615" s="10"/>
      <c r="L615" s="10"/>
    </row>
    <row r="616" spans="11:12">
      <c r="K616" s="10"/>
      <c r="L616" s="10"/>
    </row>
    <row r="617" spans="11:12">
      <c r="K617" s="10"/>
      <c r="L617" s="10"/>
    </row>
    <row r="618" spans="11:12">
      <c r="K618" s="10"/>
      <c r="L618" s="10"/>
    </row>
    <row r="619" spans="11:12">
      <c r="K619" s="10"/>
      <c r="L619" s="10"/>
    </row>
    <row r="620" spans="11:12">
      <c r="K620" s="10"/>
      <c r="L620" s="10"/>
    </row>
    <row r="621" spans="11:12">
      <c r="K621" s="10"/>
      <c r="L621" s="10"/>
    </row>
    <row r="622" spans="11:12">
      <c r="K622" s="10"/>
      <c r="L622" s="10"/>
    </row>
    <row r="623" spans="11:12">
      <c r="K623" s="10"/>
      <c r="L623" s="10"/>
    </row>
    <row r="624" spans="11:12">
      <c r="K624" s="10"/>
      <c r="L624" s="10"/>
    </row>
    <row r="625" spans="11:12">
      <c r="K625" s="10"/>
      <c r="L625" s="10"/>
    </row>
    <row r="626" spans="11:12">
      <c r="K626" s="10"/>
      <c r="L626" s="10"/>
    </row>
    <row r="627" spans="11:12">
      <c r="K627" s="10"/>
      <c r="L627" s="10"/>
    </row>
    <row r="628" spans="11:12">
      <c r="K628" s="10"/>
      <c r="L628" s="10"/>
    </row>
    <row r="629" spans="11:12">
      <c r="K629" s="10"/>
      <c r="L629" s="10"/>
    </row>
    <row r="630" spans="11:12">
      <c r="K630" s="10"/>
      <c r="L630" s="10"/>
    </row>
    <row r="631" spans="11:12">
      <c r="K631" s="10"/>
      <c r="L631" s="10"/>
    </row>
    <row r="632" spans="11:12">
      <c r="K632" s="10"/>
      <c r="L632" s="10"/>
    </row>
    <row r="633" spans="11:12">
      <c r="K633" s="10"/>
      <c r="L633" s="10"/>
    </row>
    <row r="634" spans="11:12">
      <c r="K634" s="10"/>
      <c r="L634" s="10"/>
    </row>
    <row r="635" spans="11:12">
      <c r="K635" s="10"/>
      <c r="L635" s="10"/>
    </row>
    <row r="636" spans="11:12">
      <c r="K636" s="10"/>
      <c r="L636" s="10"/>
    </row>
    <row r="637" spans="11:12">
      <c r="K637" s="10"/>
      <c r="L637" s="10"/>
    </row>
    <row r="638" spans="11:12">
      <c r="K638" s="10"/>
      <c r="L638" s="10"/>
    </row>
    <row r="639" spans="11:12">
      <c r="K639" s="10"/>
      <c r="L639" s="10"/>
    </row>
    <row r="640" spans="11:12">
      <c r="K640" s="10"/>
      <c r="L640" s="10"/>
    </row>
    <row r="641" spans="11:12">
      <c r="K641" s="10"/>
      <c r="L641" s="10"/>
    </row>
    <row r="642" spans="11:12">
      <c r="K642" s="10"/>
      <c r="L642" s="10"/>
    </row>
    <row r="643" spans="11:12">
      <c r="K643" s="10"/>
      <c r="L643" s="10"/>
    </row>
    <row r="644" spans="11:12">
      <c r="K644" s="10"/>
      <c r="L644" s="10"/>
    </row>
    <row r="645" spans="11:12">
      <c r="K645" s="10"/>
      <c r="L645" s="10"/>
    </row>
    <row r="646" spans="11:12">
      <c r="K646" s="10"/>
      <c r="L646" s="10"/>
    </row>
    <row r="647" spans="11:12">
      <c r="K647" s="10"/>
      <c r="L647" s="10"/>
    </row>
    <row r="648" spans="11:12">
      <c r="K648" s="10"/>
      <c r="L648" s="10"/>
    </row>
    <row r="649" spans="11:12">
      <c r="K649" s="10"/>
      <c r="L649" s="10"/>
    </row>
    <row r="650" spans="11:12">
      <c r="K650" s="10"/>
      <c r="L650" s="10"/>
    </row>
    <row r="651" spans="11:12">
      <c r="K651" s="10"/>
      <c r="L651" s="10"/>
    </row>
    <row r="652" spans="11:12">
      <c r="K652" s="10"/>
      <c r="L652" s="10"/>
    </row>
    <row r="653" spans="11:12">
      <c r="K653" s="10"/>
      <c r="L653" s="10"/>
    </row>
    <row r="654" spans="11:12">
      <c r="K654" s="10"/>
      <c r="L654" s="10"/>
    </row>
    <row r="655" spans="11:12">
      <c r="K655" s="10"/>
      <c r="L655" s="10"/>
    </row>
    <row r="656" spans="11:12">
      <c r="K656" s="10"/>
      <c r="L656" s="10"/>
    </row>
    <row r="657" spans="11:12">
      <c r="K657" s="10"/>
      <c r="L657" s="10"/>
    </row>
    <row r="658" spans="11:12">
      <c r="K658" s="10"/>
      <c r="L658" s="10"/>
    </row>
    <row r="659" spans="11:12">
      <c r="K659" s="10"/>
      <c r="L659" s="10"/>
    </row>
    <row r="660" spans="11:12">
      <c r="K660" s="10"/>
      <c r="L660" s="10"/>
    </row>
    <row r="661" spans="11:12">
      <c r="K661" s="10"/>
      <c r="L661" s="10"/>
    </row>
    <row r="662" spans="11:12">
      <c r="K662" s="10"/>
      <c r="L662" s="10"/>
    </row>
    <row r="663" spans="11:12">
      <c r="K663" s="10"/>
      <c r="L663" s="10"/>
    </row>
    <row r="664" spans="11:12">
      <c r="K664" s="10"/>
      <c r="L664" s="10"/>
    </row>
    <row r="665" spans="11:12">
      <c r="K665" s="10"/>
      <c r="L665" s="10"/>
    </row>
    <row r="666" spans="11:12">
      <c r="K666" s="10"/>
      <c r="L666" s="10"/>
    </row>
    <row r="667" spans="11:12">
      <c r="K667" s="10"/>
      <c r="L667" s="10"/>
    </row>
    <row r="668" spans="11:12">
      <c r="K668" s="10"/>
      <c r="L668" s="10"/>
    </row>
    <row r="669" spans="11:12">
      <c r="K669" s="10"/>
      <c r="L669" s="10"/>
    </row>
    <row r="670" spans="11:12">
      <c r="K670" s="10"/>
      <c r="L670" s="10"/>
    </row>
    <row r="671" spans="11:12">
      <c r="K671" s="10"/>
      <c r="L671" s="10"/>
    </row>
    <row r="672" spans="11:12">
      <c r="K672" s="10"/>
      <c r="L672" s="10"/>
    </row>
    <row r="673" spans="11:12">
      <c r="K673" s="10"/>
      <c r="L673" s="10"/>
    </row>
    <row r="674" spans="11:12">
      <c r="K674" s="10"/>
      <c r="L674" s="10"/>
    </row>
    <row r="675" spans="11:12">
      <c r="K675" s="10"/>
      <c r="L675" s="10"/>
    </row>
    <row r="676" spans="11:12">
      <c r="K676" s="10"/>
      <c r="L676" s="10"/>
    </row>
    <row r="677" spans="11:12">
      <c r="K677" s="10"/>
      <c r="L677" s="10"/>
    </row>
    <row r="678" spans="11:12">
      <c r="K678" s="10"/>
      <c r="L678" s="10"/>
    </row>
    <row r="679" spans="11:12">
      <c r="K679" s="10"/>
      <c r="L679" s="10"/>
    </row>
    <row r="680" spans="11:12">
      <c r="K680" s="10"/>
      <c r="L680" s="10"/>
    </row>
    <row r="681" spans="11:12">
      <c r="K681" s="10"/>
      <c r="L681" s="10"/>
    </row>
    <row r="682" spans="11:12">
      <c r="K682" s="10"/>
      <c r="L682" s="10"/>
    </row>
    <row r="683" spans="11:12">
      <c r="K683" s="10"/>
      <c r="L683" s="10"/>
    </row>
    <row r="684" spans="11:12">
      <c r="K684" s="10"/>
      <c r="L684" s="10"/>
    </row>
    <row r="685" spans="11:12">
      <c r="K685" s="10"/>
      <c r="L685" s="10"/>
    </row>
    <row r="686" spans="11:12">
      <c r="K686" s="10"/>
      <c r="L686" s="10"/>
    </row>
    <row r="687" spans="11:12">
      <c r="K687" s="10"/>
      <c r="L687" s="10"/>
    </row>
    <row r="688" spans="11:12">
      <c r="K688" s="10"/>
      <c r="L688" s="10"/>
    </row>
    <row r="689" spans="11:12">
      <c r="K689" s="10"/>
      <c r="L689" s="10"/>
    </row>
    <row r="690" spans="11:12">
      <c r="K690" s="10"/>
      <c r="L690" s="10"/>
    </row>
    <row r="691" spans="11:12">
      <c r="K691" s="10"/>
      <c r="L691" s="10"/>
    </row>
    <row r="692" spans="11:12">
      <c r="K692" s="10"/>
      <c r="L692" s="10"/>
    </row>
    <row r="693" spans="11:12">
      <c r="K693" s="10"/>
      <c r="L693" s="10"/>
    </row>
    <row r="694" spans="11:12">
      <c r="K694" s="10"/>
      <c r="L694" s="10"/>
    </row>
    <row r="695" spans="11:12">
      <c r="K695" s="10"/>
      <c r="L695" s="10"/>
    </row>
    <row r="696" spans="11:12">
      <c r="K696" s="10"/>
      <c r="L696" s="10"/>
    </row>
    <row r="697" spans="11:12">
      <c r="K697" s="10"/>
      <c r="L697" s="10"/>
    </row>
    <row r="698" spans="11:12">
      <c r="K698" s="10"/>
      <c r="L698" s="10"/>
    </row>
    <row r="699" spans="11:12">
      <c r="K699" s="10"/>
      <c r="L699" s="10"/>
    </row>
    <row r="700" spans="11:12">
      <c r="K700" s="10"/>
      <c r="L700" s="10"/>
    </row>
    <row r="701" spans="11:12">
      <c r="K701" s="10"/>
      <c r="L701" s="10"/>
    </row>
    <row r="702" spans="11:12">
      <c r="K702" s="10"/>
      <c r="L702" s="10"/>
    </row>
    <row r="703" spans="11:12">
      <c r="K703" s="10"/>
      <c r="L703" s="10"/>
    </row>
    <row r="704" spans="11:12">
      <c r="K704" s="10"/>
      <c r="L704" s="10"/>
    </row>
    <row r="705" spans="11:12">
      <c r="K705" s="10"/>
      <c r="L705" s="10"/>
    </row>
    <row r="706" spans="11:12">
      <c r="K706" s="10"/>
      <c r="L706" s="10"/>
    </row>
    <row r="707" spans="11:12">
      <c r="K707" s="10"/>
      <c r="L707" s="10"/>
    </row>
    <row r="708" spans="11:12">
      <c r="K708" s="10"/>
      <c r="L708" s="10"/>
    </row>
    <row r="709" spans="11:12">
      <c r="K709" s="10"/>
      <c r="L709" s="10"/>
    </row>
    <row r="710" spans="11:12">
      <c r="K710" s="10"/>
      <c r="L710" s="10"/>
    </row>
    <row r="711" spans="11:12">
      <c r="K711" s="10"/>
      <c r="L711" s="10"/>
    </row>
    <row r="712" spans="11:12">
      <c r="K712" s="10"/>
      <c r="L712" s="10"/>
    </row>
    <row r="713" spans="11:12">
      <c r="K713" s="10"/>
      <c r="L713" s="10"/>
    </row>
    <row r="714" spans="11:12">
      <c r="K714" s="10"/>
      <c r="L714" s="10"/>
    </row>
    <row r="715" spans="11:12">
      <c r="K715" s="10"/>
      <c r="L715" s="10"/>
    </row>
    <row r="716" spans="11:12">
      <c r="K716" s="10"/>
      <c r="L716" s="10"/>
    </row>
    <row r="717" spans="11:12">
      <c r="K717" s="10"/>
      <c r="L717" s="10"/>
    </row>
    <row r="718" spans="11:12">
      <c r="K718" s="10"/>
      <c r="L718" s="10"/>
    </row>
    <row r="719" spans="11:12">
      <c r="K719" s="10"/>
      <c r="L719" s="10"/>
    </row>
    <row r="720" spans="11:12">
      <c r="K720" s="10"/>
      <c r="L720" s="10"/>
    </row>
    <row r="721" spans="11:12">
      <c r="K721" s="10"/>
      <c r="L721" s="10"/>
    </row>
    <row r="722" spans="11:12">
      <c r="K722" s="10"/>
      <c r="L722" s="10"/>
    </row>
    <row r="723" spans="11:12">
      <c r="K723" s="10"/>
      <c r="L723" s="10"/>
    </row>
    <row r="724" spans="11:12">
      <c r="K724" s="10"/>
      <c r="L724" s="10"/>
    </row>
    <row r="725" spans="11:12">
      <c r="K725" s="10"/>
      <c r="L725" s="10"/>
    </row>
    <row r="726" spans="11:12">
      <c r="K726" s="10"/>
      <c r="L726" s="10"/>
    </row>
    <row r="727" spans="11:12">
      <c r="K727" s="10"/>
      <c r="L727" s="10"/>
    </row>
    <row r="728" spans="11:12">
      <c r="K728" s="10"/>
      <c r="L728" s="10"/>
    </row>
    <row r="729" spans="11:12">
      <c r="K729" s="10"/>
      <c r="L729" s="10"/>
    </row>
    <row r="730" spans="11:12">
      <c r="K730" s="10"/>
      <c r="L730" s="10"/>
    </row>
    <row r="731" spans="11:12">
      <c r="K731" s="10"/>
      <c r="L731" s="10"/>
    </row>
    <row r="732" spans="11:12">
      <c r="K732" s="10"/>
      <c r="L732" s="10"/>
    </row>
    <row r="733" spans="11:12">
      <c r="K733" s="10"/>
      <c r="L733" s="10"/>
    </row>
    <row r="734" spans="11:12">
      <c r="K734" s="10"/>
      <c r="L734" s="10"/>
    </row>
    <row r="735" spans="11:12">
      <c r="K735" s="10"/>
      <c r="L735" s="10"/>
    </row>
    <row r="736" spans="11:12">
      <c r="K736" s="10"/>
      <c r="L736" s="10"/>
    </row>
    <row r="737" spans="11:12">
      <c r="K737" s="10"/>
      <c r="L737" s="10"/>
    </row>
    <row r="738" spans="11:12">
      <c r="K738" s="10"/>
      <c r="L738" s="10"/>
    </row>
    <row r="739" spans="11:12">
      <c r="K739" s="10"/>
      <c r="L739" s="10"/>
    </row>
    <row r="740" spans="11:12">
      <c r="K740" s="10"/>
      <c r="L740" s="10"/>
    </row>
    <row r="741" spans="11:12">
      <c r="K741" s="10"/>
      <c r="L741" s="10"/>
    </row>
    <row r="742" spans="11:12">
      <c r="K742" s="10"/>
      <c r="L742" s="10"/>
    </row>
    <row r="743" spans="11:12">
      <c r="K743" s="10"/>
      <c r="L743" s="10"/>
    </row>
    <row r="744" spans="11:12">
      <c r="K744" s="10"/>
      <c r="L744" s="10"/>
    </row>
    <row r="745" spans="11:12">
      <c r="K745" s="10"/>
      <c r="L745" s="10"/>
    </row>
    <row r="746" spans="11:12">
      <c r="K746" s="10"/>
      <c r="L746" s="10"/>
    </row>
    <row r="747" spans="11:12">
      <c r="K747" s="10"/>
      <c r="L747" s="10"/>
    </row>
    <row r="748" spans="11:12">
      <c r="K748" s="10"/>
      <c r="L748" s="10"/>
    </row>
    <row r="749" spans="11:12">
      <c r="K749" s="10"/>
      <c r="L749" s="10"/>
    </row>
    <row r="750" spans="11:12">
      <c r="K750" s="10"/>
      <c r="L750" s="10"/>
    </row>
    <row r="751" spans="11:12">
      <c r="K751" s="10"/>
      <c r="L751" s="10"/>
    </row>
    <row r="752" spans="11:12">
      <c r="K752" s="10"/>
      <c r="L752" s="10"/>
    </row>
    <row r="753" spans="11:12">
      <c r="K753" s="10"/>
      <c r="L753" s="10"/>
    </row>
    <row r="754" spans="11:12">
      <c r="K754" s="10"/>
      <c r="L754" s="10"/>
    </row>
    <row r="755" spans="11:12">
      <c r="K755" s="10"/>
      <c r="L755" s="10"/>
    </row>
    <row r="756" spans="11:12">
      <c r="K756" s="10"/>
      <c r="L756" s="10"/>
    </row>
    <row r="757" spans="11:12">
      <c r="K757" s="10"/>
      <c r="L757" s="10"/>
    </row>
    <row r="758" spans="11:12">
      <c r="K758" s="10"/>
      <c r="L758" s="10"/>
    </row>
    <row r="759" spans="11:12">
      <c r="K759" s="10"/>
      <c r="L759" s="10"/>
    </row>
    <row r="760" spans="11:12">
      <c r="K760" s="10"/>
      <c r="L760" s="10"/>
    </row>
    <row r="761" spans="11:12">
      <c r="K761" s="10"/>
      <c r="L761" s="10"/>
    </row>
    <row r="762" spans="11:12">
      <c r="K762" s="10"/>
      <c r="L762" s="10"/>
    </row>
    <row r="763" spans="11:12">
      <c r="K763" s="10"/>
      <c r="L763" s="10"/>
    </row>
    <row r="764" spans="11:12">
      <c r="K764" s="10"/>
      <c r="L764" s="10"/>
    </row>
    <row r="765" spans="11:12">
      <c r="K765" s="10"/>
      <c r="L765" s="10"/>
    </row>
    <row r="766" spans="11:12">
      <c r="K766" s="10"/>
      <c r="L766" s="10"/>
    </row>
    <row r="767" spans="11:12">
      <c r="K767" s="10"/>
      <c r="L767" s="10"/>
    </row>
    <row r="768" spans="11:12">
      <c r="K768" s="10"/>
      <c r="L768" s="10"/>
    </row>
    <row r="769" spans="11:12">
      <c r="K769" s="10"/>
      <c r="L769" s="10"/>
    </row>
    <row r="770" spans="11:12">
      <c r="K770" s="10"/>
      <c r="L770" s="10"/>
    </row>
    <row r="771" spans="11:12">
      <c r="K771" s="10"/>
      <c r="L771" s="10"/>
    </row>
    <row r="772" spans="11:12">
      <c r="K772" s="10"/>
      <c r="L772" s="10"/>
    </row>
    <row r="773" spans="11:12">
      <c r="K773" s="10"/>
      <c r="L773" s="10"/>
    </row>
    <row r="774" spans="11:12">
      <c r="K774" s="10"/>
      <c r="L774" s="10"/>
    </row>
    <row r="775" spans="11:12">
      <c r="K775" s="10"/>
      <c r="L775" s="10"/>
    </row>
    <row r="776" spans="11:12">
      <c r="K776" s="10"/>
      <c r="L776" s="10"/>
    </row>
    <row r="777" spans="11:12">
      <c r="K777" s="10"/>
      <c r="L777" s="10"/>
    </row>
    <row r="778" spans="11:12">
      <c r="K778" s="10"/>
      <c r="L778" s="10"/>
    </row>
    <row r="779" spans="11:12">
      <c r="K779" s="10"/>
      <c r="L779" s="10"/>
    </row>
    <row r="780" spans="11:12">
      <c r="K780" s="10"/>
      <c r="L780" s="10"/>
    </row>
    <row r="781" spans="11:12">
      <c r="K781" s="10"/>
      <c r="L781" s="10"/>
    </row>
    <row r="782" spans="11:12">
      <c r="K782" s="10"/>
      <c r="L782" s="10"/>
    </row>
    <row r="783" spans="11:12">
      <c r="K783" s="10"/>
      <c r="L783" s="10"/>
    </row>
    <row r="784" spans="11:12">
      <c r="K784" s="10"/>
      <c r="L784" s="10"/>
    </row>
    <row r="785" spans="11:12">
      <c r="K785" s="10"/>
      <c r="L785" s="10"/>
    </row>
    <row r="786" spans="11:12">
      <c r="K786" s="10"/>
      <c r="L786" s="10"/>
    </row>
    <row r="787" spans="11:12">
      <c r="K787" s="10"/>
      <c r="L787" s="10"/>
    </row>
    <row r="788" spans="11:12">
      <c r="K788" s="10"/>
      <c r="L788" s="10"/>
    </row>
    <row r="789" spans="11:12">
      <c r="K789" s="10"/>
      <c r="L789" s="10"/>
    </row>
    <row r="790" spans="11:12">
      <c r="K790" s="10"/>
      <c r="L790" s="10"/>
    </row>
    <row r="791" spans="11:12">
      <c r="K791" s="10"/>
      <c r="L791" s="10"/>
    </row>
    <row r="792" spans="11:12">
      <c r="K792" s="10"/>
      <c r="L792" s="10"/>
    </row>
    <row r="793" spans="11:12">
      <c r="K793" s="10"/>
      <c r="L793" s="10"/>
    </row>
    <row r="794" spans="11:12">
      <c r="K794" s="10"/>
      <c r="L794" s="10"/>
    </row>
    <row r="795" spans="11:12">
      <c r="K795" s="10"/>
      <c r="L795" s="10"/>
    </row>
    <row r="796" spans="11:12">
      <c r="K796" s="10"/>
      <c r="L796" s="10"/>
    </row>
    <row r="797" spans="11:12">
      <c r="K797" s="10"/>
      <c r="L797" s="10"/>
    </row>
    <row r="798" spans="11:12">
      <c r="K798" s="10"/>
      <c r="L798" s="10"/>
    </row>
    <row r="799" spans="11:12">
      <c r="K799" s="10"/>
      <c r="L799" s="10"/>
    </row>
    <row r="800" spans="11:12">
      <c r="K800" s="10"/>
      <c r="L800" s="10"/>
    </row>
    <row r="801" spans="11:12">
      <c r="K801" s="10"/>
      <c r="L801" s="10"/>
    </row>
    <row r="802" spans="11:12">
      <c r="K802" s="10"/>
      <c r="L802" s="10"/>
    </row>
    <row r="803" spans="11:12">
      <c r="K803" s="10"/>
      <c r="L803" s="10"/>
    </row>
    <row r="804" spans="11:12">
      <c r="K804" s="10"/>
      <c r="L804" s="10"/>
    </row>
    <row r="805" spans="11:12">
      <c r="K805" s="10"/>
      <c r="L805" s="10"/>
    </row>
    <row r="806" spans="11:12">
      <c r="K806" s="10"/>
      <c r="L806" s="10"/>
    </row>
    <row r="807" spans="11:12">
      <c r="K807" s="10"/>
      <c r="L807" s="10"/>
    </row>
    <row r="808" spans="11:12">
      <c r="K808" s="10"/>
      <c r="L808" s="10"/>
    </row>
    <row r="809" spans="11:12">
      <c r="K809" s="10"/>
      <c r="L809" s="10"/>
    </row>
    <row r="810" spans="11:12">
      <c r="K810" s="10"/>
      <c r="L810" s="10"/>
    </row>
    <row r="811" spans="11:12">
      <c r="K811" s="10"/>
      <c r="L811" s="10"/>
    </row>
    <row r="812" spans="11:12">
      <c r="K812" s="10"/>
      <c r="L812" s="10"/>
    </row>
    <row r="813" spans="11:12">
      <c r="K813" s="10"/>
      <c r="L813" s="10"/>
    </row>
    <row r="814" spans="11:12">
      <c r="K814" s="10"/>
      <c r="L814" s="10"/>
    </row>
    <row r="815" spans="11:12">
      <c r="K815" s="10"/>
      <c r="L815" s="10"/>
    </row>
    <row r="816" spans="11:12">
      <c r="K816" s="10"/>
      <c r="L816" s="10"/>
    </row>
    <row r="817" spans="11:12">
      <c r="K817" s="10"/>
      <c r="L817" s="10"/>
    </row>
    <row r="818" spans="11:12">
      <c r="K818" s="10"/>
      <c r="L818" s="10"/>
    </row>
    <row r="819" spans="11:12">
      <c r="K819" s="10"/>
      <c r="L819" s="10"/>
    </row>
    <row r="820" spans="11:12">
      <c r="K820" s="10"/>
      <c r="L820" s="10"/>
    </row>
    <row r="821" spans="11:12">
      <c r="K821" s="10"/>
      <c r="L821" s="10"/>
    </row>
    <row r="822" spans="11:12">
      <c r="K822" s="10"/>
      <c r="L822" s="10"/>
    </row>
    <row r="823" spans="11:12">
      <c r="K823" s="10"/>
      <c r="L823" s="10"/>
    </row>
    <row r="824" spans="11:12">
      <c r="K824" s="10"/>
      <c r="L824" s="10"/>
    </row>
    <row r="825" spans="11:12">
      <c r="K825" s="10"/>
      <c r="L825" s="10"/>
    </row>
    <row r="826" spans="11:12">
      <c r="K826" s="10"/>
      <c r="L826" s="10"/>
    </row>
    <row r="827" spans="11:12">
      <c r="K827" s="10"/>
      <c r="L827" s="10"/>
    </row>
    <row r="828" spans="11:12">
      <c r="K828" s="10"/>
      <c r="L828" s="10"/>
    </row>
    <row r="829" spans="11:12">
      <c r="K829" s="10"/>
      <c r="L829" s="10"/>
    </row>
    <row r="830" spans="11:12">
      <c r="K830" s="10"/>
      <c r="L830" s="10"/>
    </row>
    <row r="831" spans="11:12">
      <c r="K831" s="10"/>
      <c r="L831" s="10"/>
    </row>
    <row r="832" spans="11:12">
      <c r="K832" s="10"/>
      <c r="L832" s="10"/>
    </row>
    <row r="833" spans="11:12">
      <c r="K833" s="10"/>
      <c r="L833" s="10"/>
    </row>
    <row r="834" spans="11:12">
      <c r="K834" s="10"/>
      <c r="L834" s="10"/>
    </row>
    <row r="835" spans="11:12">
      <c r="K835" s="10"/>
      <c r="L835" s="10"/>
    </row>
    <row r="836" spans="11:12">
      <c r="K836" s="10"/>
      <c r="L836" s="10"/>
    </row>
    <row r="837" spans="11:12">
      <c r="K837" s="10"/>
      <c r="L837" s="10"/>
    </row>
    <row r="838" spans="11:12">
      <c r="K838" s="10"/>
      <c r="L838" s="10"/>
    </row>
    <row r="839" spans="11:12">
      <c r="K839" s="10"/>
      <c r="L839" s="10"/>
    </row>
    <row r="840" spans="11:12">
      <c r="K840" s="10"/>
      <c r="L840" s="10"/>
    </row>
    <row r="841" spans="11:12">
      <c r="K841" s="10"/>
      <c r="L841" s="10"/>
    </row>
    <row r="842" spans="11:12">
      <c r="K842" s="10"/>
      <c r="L842" s="10"/>
    </row>
    <row r="843" spans="11:12">
      <c r="K843" s="10"/>
      <c r="L843" s="10"/>
    </row>
    <row r="844" spans="11:12">
      <c r="K844" s="10"/>
      <c r="L844" s="10"/>
    </row>
    <row r="845" spans="11:12">
      <c r="K845" s="10"/>
      <c r="L845" s="10"/>
    </row>
    <row r="846" spans="11:12">
      <c r="K846" s="10"/>
      <c r="L846" s="10"/>
    </row>
    <row r="847" spans="11:12">
      <c r="K847" s="10"/>
      <c r="L847" s="10"/>
    </row>
    <row r="848" spans="11:12">
      <c r="K848" s="10"/>
      <c r="L848" s="10"/>
    </row>
    <row r="849" spans="11:12">
      <c r="K849" s="10"/>
      <c r="L849" s="10"/>
    </row>
    <row r="850" spans="11:12">
      <c r="K850" s="10"/>
      <c r="L850" s="10"/>
    </row>
    <row r="851" spans="11:12">
      <c r="K851" s="10"/>
      <c r="L851" s="10"/>
    </row>
    <row r="852" spans="11:12">
      <c r="K852" s="10"/>
      <c r="L852" s="10"/>
    </row>
    <row r="853" spans="11:12">
      <c r="K853" s="10"/>
      <c r="L853" s="10"/>
    </row>
    <row r="854" spans="11:12">
      <c r="K854" s="10"/>
      <c r="L854" s="10"/>
    </row>
    <row r="855" spans="11:12">
      <c r="K855" s="10"/>
      <c r="L855" s="10"/>
    </row>
    <row r="856" spans="11:12">
      <c r="K856" s="10"/>
      <c r="L856" s="10"/>
    </row>
    <row r="857" spans="11:12">
      <c r="K857" s="10"/>
      <c r="L857" s="10"/>
    </row>
    <row r="858" spans="11:12">
      <c r="K858" s="10"/>
      <c r="L858" s="10"/>
    </row>
    <row r="859" spans="11:12">
      <c r="K859" s="10"/>
      <c r="L859" s="10"/>
    </row>
    <row r="860" spans="11:12">
      <c r="K860" s="10"/>
      <c r="L860" s="10"/>
    </row>
    <row r="861" spans="11:12">
      <c r="K861" s="10"/>
      <c r="L861" s="10"/>
    </row>
    <row r="862" spans="11:12">
      <c r="K862" s="10"/>
      <c r="L862" s="10"/>
    </row>
    <row r="863" spans="11:12">
      <c r="K863" s="10"/>
      <c r="L863" s="10"/>
    </row>
    <row r="864" spans="11:12">
      <c r="K864" s="10"/>
      <c r="L864" s="10"/>
    </row>
    <row r="865" spans="11:12">
      <c r="K865" s="10"/>
      <c r="L865" s="10"/>
    </row>
    <row r="866" spans="11:12">
      <c r="K866" s="10"/>
      <c r="L866" s="10"/>
    </row>
    <row r="867" spans="11:12">
      <c r="K867" s="10"/>
      <c r="L867" s="10"/>
    </row>
    <row r="868" spans="11:12">
      <c r="K868" s="10"/>
      <c r="L868" s="10"/>
    </row>
    <row r="869" spans="11:12">
      <c r="K869" s="10"/>
      <c r="L869" s="10"/>
    </row>
    <row r="870" spans="11:12">
      <c r="K870" s="10"/>
      <c r="L870" s="10"/>
    </row>
    <row r="871" spans="11:12">
      <c r="K871" s="10"/>
      <c r="L871" s="10"/>
    </row>
    <row r="872" spans="11:12">
      <c r="K872" s="10"/>
      <c r="L872" s="10"/>
    </row>
    <row r="873" spans="11:12">
      <c r="K873" s="10"/>
      <c r="L873" s="10"/>
    </row>
    <row r="874" spans="11:12">
      <c r="K874" s="10"/>
      <c r="L874" s="10"/>
    </row>
    <row r="875" spans="11:12">
      <c r="K875" s="10"/>
      <c r="L875" s="10"/>
    </row>
    <row r="876" spans="11:12">
      <c r="K876" s="10"/>
      <c r="L876" s="10"/>
    </row>
    <row r="877" spans="11:12">
      <c r="K877" s="10"/>
      <c r="L877" s="10"/>
    </row>
    <row r="878" spans="11:12">
      <c r="K878" s="10"/>
      <c r="L878" s="10"/>
    </row>
    <row r="879" spans="11:12">
      <c r="K879" s="10"/>
      <c r="L879" s="10"/>
    </row>
    <row r="880" spans="11:12">
      <c r="K880" s="10"/>
      <c r="L880" s="10"/>
    </row>
    <row r="881" spans="11:12">
      <c r="K881" s="10"/>
      <c r="L881" s="10"/>
    </row>
    <row r="882" spans="11:12">
      <c r="K882" s="10"/>
      <c r="L882" s="10"/>
    </row>
    <row r="883" spans="11:12">
      <c r="K883" s="10"/>
      <c r="L883" s="10"/>
    </row>
    <row r="884" spans="11:12">
      <c r="K884" s="10"/>
      <c r="L884" s="10"/>
    </row>
    <row r="885" spans="11:12">
      <c r="K885" s="10"/>
      <c r="L885" s="10"/>
    </row>
    <row r="886" spans="11:12">
      <c r="K886" s="10"/>
      <c r="L886" s="10"/>
    </row>
    <row r="887" spans="11:12">
      <c r="K887" s="10"/>
      <c r="L887" s="10"/>
    </row>
    <row r="888" spans="11:12">
      <c r="K888" s="10"/>
      <c r="L888" s="10"/>
    </row>
    <row r="889" spans="11:12">
      <c r="K889" s="10"/>
      <c r="L889" s="10"/>
    </row>
    <row r="890" spans="11:12">
      <c r="K890" s="10"/>
      <c r="L890" s="10"/>
    </row>
    <row r="891" spans="11:12">
      <c r="K891" s="10"/>
      <c r="L891" s="10"/>
    </row>
    <row r="892" spans="11:12">
      <c r="K892" s="10"/>
      <c r="L892" s="10"/>
    </row>
    <row r="893" spans="11:12">
      <c r="K893" s="10"/>
      <c r="L893" s="10"/>
    </row>
    <row r="894" spans="11:12">
      <c r="K894" s="10"/>
      <c r="L894" s="10"/>
    </row>
    <row r="895" spans="11:12">
      <c r="K895" s="10"/>
      <c r="L895" s="10"/>
    </row>
    <row r="896" spans="11:12">
      <c r="K896" s="10"/>
      <c r="L896" s="10"/>
    </row>
    <row r="897" spans="11:12">
      <c r="K897" s="10"/>
      <c r="L897" s="10"/>
    </row>
    <row r="898" spans="11:12">
      <c r="K898" s="10"/>
      <c r="L898" s="10"/>
    </row>
    <row r="899" spans="11:12">
      <c r="K899" s="10"/>
      <c r="L899" s="10"/>
    </row>
    <row r="900" spans="11:12">
      <c r="K900" s="10"/>
      <c r="L900" s="10"/>
    </row>
    <row r="901" spans="11:12">
      <c r="K901" s="10"/>
      <c r="L901" s="10"/>
    </row>
    <row r="902" spans="11:12">
      <c r="K902" s="10"/>
      <c r="L902" s="10"/>
    </row>
    <row r="903" spans="11:12">
      <c r="K903" s="10"/>
      <c r="L903" s="10"/>
    </row>
    <row r="904" spans="11:12">
      <c r="K904" s="10"/>
      <c r="L904" s="10"/>
    </row>
    <row r="905" spans="11:12">
      <c r="K905" s="10"/>
      <c r="L905" s="10"/>
    </row>
    <row r="906" spans="11:12">
      <c r="K906" s="10"/>
      <c r="L906" s="10"/>
    </row>
    <row r="907" spans="11:12">
      <c r="K907" s="10"/>
      <c r="L907" s="10"/>
    </row>
    <row r="908" spans="11:12">
      <c r="K908" s="10"/>
      <c r="L908" s="10"/>
    </row>
    <row r="909" spans="11:12">
      <c r="K909" s="10"/>
      <c r="L909" s="10"/>
    </row>
    <row r="910" spans="11:12">
      <c r="K910" s="10"/>
      <c r="L910" s="10"/>
    </row>
    <row r="911" spans="11:12">
      <c r="K911" s="10"/>
      <c r="L911" s="10"/>
    </row>
    <row r="912" spans="11:12">
      <c r="K912" s="10"/>
      <c r="L912" s="10"/>
    </row>
    <row r="913" spans="11:12">
      <c r="K913" s="10"/>
      <c r="L913" s="10"/>
    </row>
    <row r="914" spans="11:12">
      <c r="K914" s="10"/>
      <c r="L914" s="10"/>
    </row>
    <row r="915" spans="11:12">
      <c r="K915" s="10"/>
      <c r="L915" s="10"/>
    </row>
    <row r="916" spans="11:12">
      <c r="K916" s="10"/>
      <c r="L916" s="10"/>
    </row>
    <row r="917" spans="11:12">
      <c r="K917" s="10"/>
      <c r="L917" s="10"/>
    </row>
    <row r="918" spans="11:12">
      <c r="K918" s="10"/>
      <c r="L918" s="10"/>
    </row>
    <row r="919" spans="11:12">
      <c r="K919" s="10"/>
      <c r="L919" s="10"/>
    </row>
    <row r="920" spans="11:12">
      <c r="K920" s="10"/>
      <c r="L920" s="10"/>
    </row>
    <row r="921" spans="11:12">
      <c r="K921" s="10"/>
      <c r="L921" s="10"/>
    </row>
    <row r="922" spans="11:12">
      <c r="K922" s="10"/>
      <c r="L922" s="10"/>
    </row>
    <row r="923" spans="11:12">
      <c r="K923" s="10"/>
      <c r="L923" s="10"/>
    </row>
    <row r="924" spans="11:12">
      <c r="K924" s="10"/>
      <c r="L924" s="10"/>
    </row>
    <row r="925" spans="11:12">
      <c r="K925" s="10"/>
      <c r="L925" s="10"/>
    </row>
    <row r="926" spans="11:12">
      <c r="K926" s="10"/>
      <c r="L926" s="10"/>
    </row>
    <row r="927" spans="11:12">
      <c r="K927" s="10"/>
      <c r="L927" s="10"/>
    </row>
    <row r="928" spans="11:12">
      <c r="K928" s="10"/>
      <c r="L928" s="10"/>
    </row>
    <row r="929" spans="11:12">
      <c r="K929" s="10"/>
      <c r="L929" s="10"/>
    </row>
    <row r="930" spans="11:12">
      <c r="K930" s="10"/>
      <c r="L930" s="10"/>
    </row>
    <row r="931" spans="11:12">
      <c r="K931" s="10"/>
      <c r="L931" s="10"/>
    </row>
    <row r="932" spans="11:12">
      <c r="K932" s="10"/>
      <c r="L932" s="10"/>
    </row>
    <row r="933" spans="11:12">
      <c r="K933" s="10"/>
      <c r="L933" s="10"/>
    </row>
    <row r="934" spans="11:12">
      <c r="K934" s="10"/>
      <c r="L934" s="10"/>
    </row>
    <row r="935" spans="11:12">
      <c r="K935" s="10"/>
      <c r="L935" s="10"/>
    </row>
    <row r="936" spans="11:12">
      <c r="K936" s="10"/>
      <c r="L936" s="10"/>
    </row>
    <row r="937" spans="11:12">
      <c r="K937" s="10"/>
      <c r="L937" s="10"/>
    </row>
    <row r="938" spans="11:12">
      <c r="K938" s="10"/>
      <c r="L938" s="10"/>
    </row>
    <row r="939" spans="11:12">
      <c r="K939" s="10"/>
      <c r="L939" s="10"/>
    </row>
    <row r="940" spans="11:12">
      <c r="K940" s="10"/>
      <c r="L940" s="10"/>
    </row>
    <row r="941" spans="11:12">
      <c r="K941" s="10"/>
      <c r="L941" s="10"/>
    </row>
    <row r="942" spans="11:12">
      <c r="K942" s="10"/>
      <c r="L942" s="10"/>
    </row>
    <row r="943" spans="11:12">
      <c r="K943" s="10"/>
      <c r="L943" s="10"/>
    </row>
    <row r="944" spans="11:12">
      <c r="K944" s="10"/>
      <c r="L944" s="10"/>
    </row>
    <row r="945" spans="11:12">
      <c r="K945" s="10"/>
      <c r="L945" s="10"/>
    </row>
    <row r="946" spans="11:12">
      <c r="K946" s="10"/>
      <c r="L946" s="10"/>
    </row>
    <row r="947" spans="11:12">
      <c r="K947" s="10"/>
      <c r="L947" s="10"/>
    </row>
    <row r="948" spans="11:12">
      <c r="K948" s="10"/>
      <c r="L948" s="10"/>
    </row>
    <row r="949" spans="11:12">
      <c r="K949" s="10"/>
      <c r="L949" s="10"/>
    </row>
    <row r="950" spans="11:12">
      <c r="K950" s="10"/>
      <c r="L950" s="10"/>
    </row>
    <row r="951" spans="11:12">
      <c r="K951" s="10"/>
      <c r="L951" s="10"/>
    </row>
    <row r="952" spans="11:12">
      <c r="K952" s="10"/>
      <c r="L952" s="10"/>
    </row>
    <row r="953" spans="11:12">
      <c r="K953" s="10"/>
      <c r="L953" s="10"/>
    </row>
    <row r="954" spans="11:12">
      <c r="K954" s="10"/>
      <c r="L954" s="10"/>
    </row>
    <row r="955" spans="11:12">
      <c r="K955" s="10"/>
      <c r="L955" s="10"/>
    </row>
    <row r="956" spans="11:12">
      <c r="K956" s="10"/>
      <c r="L956" s="10"/>
    </row>
    <row r="957" spans="11:12">
      <c r="K957" s="10"/>
      <c r="L957" s="10"/>
    </row>
    <row r="958" spans="11:12">
      <c r="K958" s="10"/>
      <c r="L958" s="10"/>
    </row>
    <row r="959" spans="11:12">
      <c r="K959" s="10"/>
      <c r="L959" s="10"/>
    </row>
    <row r="960" spans="11:12">
      <c r="K960" s="10"/>
      <c r="L960" s="10"/>
    </row>
    <row r="961" spans="11:12">
      <c r="K961" s="10"/>
      <c r="L961" s="10"/>
    </row>
    <row r="962" spans="11:12">
      <c r="K962" s="10"/>
      <c r="L962" s="10"/>
    </row>
    <row r="963" spans="11:12">
      <c r="K963" s="10"/>
      <c r="L963" s="10"/>
    </row>
    <row r="964" spans="11:12">
      <c r="K964" s="10"/>
      <c r="L964" s="10"/>
    </row>
    <row r="965" spans="11:12">
      <c r="K965" s="10"/>
      <c r="L965" s="10"/>
    </row>
    <row r="966" spans="11:12">
      <c r="K966" s="10"/>
      <c r="L966" s="10"/>
    </row>
    <row r="967" spans="11:12">
      <c r="K967" s="10"/>
      <c r="L967" s="10"/>
    </row>
    <row r="968" spans="11:12">
      <c r="K968" s="10"/>
      <c r="L968" s="10"/>
    </row>
    <row r="969" spans="11:12">
      <c r="K969" s="10"/>
      <c r="L969" s="10"/>
    </row>
    <row r="970" spans="11:12">
      <c r="K970" s="10"/>
      <c r="L970" s="10"/>
    </row>
    <row r="971" spans="11:12">
      <c r="K971" s="10"/>
      <c r="L971" s="10"/>
    </row>
    <row r="972" spans="11:12">
      <c r="K972" s="10"/>
      <c r="L972" s="10"/>
    </row>
    <row r="973" spans="11:12">
      <c r="K973" s="10"/>
      <c r="L973" s="10"/>
    </row>
    <row r="974" spans="11:12">
      <c r="K974" s="10"/>
      <c r="L974" s="10"/>
    </row>
    <row r="975" spans="11:12">
      <c r="K975" s="10"/>
      <c r="L975" s="10"/>
    </row>
    <row r="976" spans="11:12">
      <c r="K976" s="10"/>
      <c r="L976" s="10"/>
    </row>
    <row r="977" spans="11:12">
      <c r="K977" s="10"/>
      <c r="L977" s="10"/>
    </row>
    <row r="978" spans="11:12">
      <c r="K978" s="10"/>
      <c r="L978" s="10"/>
    </row>
    <row r="979" spans="11:12">
      <c r="K979" s="10"/>
      <c r="L979" s="10"/>
    </row>
    <row r="980" spans="11:12">
      <c r="K980" s="10"/>
      <c r="L980" s="10"/>
    </row>
    <row r="981" spans="11:12">
      <c r="K981" s="10"/>
      <c r="L981" s="10"/>
    </row>
    <row r="982" spans="11:12">
      <c r="K982" s="10"/>
      <c r="L982" s="10"/>
    </row>
    <row r="983" spans="11:12">
      <c r="K983" s="10"/>
      <c r="L983" s="10"/>
    </row>
    <row r="984" spans="11:12">
      <c r="K984" s="10"/>
      <c r="L984" s="10"/>
    </row>
    <row r="985" spans="11:12">
      <c r="K985" s="10"/>
      <c r="L985" s="10"/>
    </row>
    <row r="986" spans="11:12">
      <c r="K986" s="10"/>
      <c r="L986" s="10"/>
    </row>
    <row r="987" spans="11:12">
      <c r="K987" s="10"/>
      <c r="L987" s="10"/>
    </row>
    <row r="988" spans="11:12">
      <c r="K988" s="10"/>
      <c r="L988" s="10"/>
    </row>
    <row r="989" spans="11:12">
      <c r="K989" s="10"/>
      <c r="L989" s="10"/>
    </row>
    <row r="990" spans="11:12">
      <c r="K990" s="10"/>
      <c r="L990" s="10"/>
    </row>
    <row r="991" spans="11:12">
      <c r="K991" s="10"/>
      <c r="L991" s="10"/>
    </row>
    <row r="992" spans="11:12">
      <c r="K992" s="10"/>
      <c r="L992" s="10"/>
    </row>
    <row r="993" spans="11:12">
      <c r="K993" s="10"/>
      <c r="L993" s="10"/>
    </row>
    <row r="994" spans="11:12">
      <c r="K994" s="10"/>
      <c r="L994" s="10"/>
    </row>
    <row r="995" spans="11:12">
      <c r="K995" s="10"/>
      <c r="L995" s="10"/>
    </row>
    <row r="996" spans="11:12">
      <c r="K996" s="10"/>
      <c r="L996" s="10"/>
    </row>
    <row r="997" spans="11:12">
      <c r="K997" s="10"/>
      <c r="L997" s="10"/>
    </row>
    <row r="998" spans="11:12">
      <c r="K998" s="10"/>
      <c r="L998" s="10"/>
    </row>
    <row r="999" spans="11:12">
      <c r="K999" s="10"/>
      <c r="L999" s="10"/>
    </row>
    <row r="1000" spans="11:12">
      <c r="K1000" s="10"/>
      <c r="L1000" s="10"/>
    </row>
    <row r="1001" spans="11:12">
      <c r="K1001" s="10"/>
      <c r="L1001" s="10"/>
    </row>
    <row r="1002" spans="11:12">
      <c r="K1002" s="10"/>
      <c r="L1002" s="10"/>
    </row>
    <row r="1003" spans="11:12">
      <c r="K1003" s="10"/>
      <c r="L1003" s="10"/>
    </row>
    <row r="1004" spans="11:12">
      <c r="K1004" s="10"/>
      <c r="L1004" s="10"/>
    </row>
    <row r="1005" spans="11:12">
      <c r="K1005" s="10"/>
      <c r="L1005" s="10"/>
    </row>
    <row r="1006" spans="11:12">
      <c r="K1006" s="10"/>
      <c r="L1006" s="10"/>
    </row>
    <row r="1007" spans="11:12">
      <c r="K1007" s="10"/>
      <c r="L1007" s="10"/>
    </row>
    <row r="1008" spans="11:12">
      <c r="K1008" s="10"/>
      <c r="L1008" s="10"/>
    </row>
    <row r="1009" spans="11:12">
      <c r="K1009" s="10"/>
      <c r="L1009" s="10"/>
    </row>
    <row r="1010" spans="11:12">
      <c r="K1010" s="10"/>
      <c r="L1010" s="10"/>
    </row>
    <row r="1011" spans="11:12">
      <c r="K1011" s="10"/>
      <c r="L1011" s="10"/>
    </row>
    <row r="1012" spans="11:12">
      <c r="K1012" s="10"/>
      <c r="L1012" s="10"/>
    </row>
    <row r="1013" spans="11:12">
      <c r="K1013" s="10"/>
      <c r="L1013" s="10"/>
    </row>
    <row r="1014" spans="11:12">
      <c r="K1014" s="10"/>
      <c r="L1014" s="10"/>
    </row>
    <row r="1015" spans="11:12">
      <c r="K1015" s="10"/>
      <c r="L1015" s="10"/>
    </row>
    <row r="1016" spans="11:12">
      <c r="K1016" s="10"/>
      <c r="L1016" s="10"/>
    </row>
    <row r="1017" spans="11:12">
      <c r="K1017" s="10"/>
      <c r="L1017" s="10"/>
    </row>
    <row r="1018" spans="11:12">
      <c r="K1018" s="10"/>
      <c r="L1018" s="10"/>
    </row>
    <row r="1019" spans="11:12">
      <c r="K1019" s="10"/>
      <c r="L1019" s="10"/>
    </row>
    <row r="1020" spans="11:12">
      <c r="K1020" s="10"/>
      <c r="L1020" s="10"/>
    </row>
    <row r="1021" spans="11:12">
      <c r="K1021" s="10"/>
      <c r="L1021" s="10"/>
    </row>
    <row r="1022" spans="11:12">
      <c r="K1022" s="10"/>
      <c r="L1022" s="10"/>
    </row>
    <row r="1023" spans="11:12">
      <c r="K1023" s="10"/>
      <c r="L1023" s="10"/>
    </row>
    <row r="1024" spans="11:12">
      <c r="K1024" s="10"/>
      <c r="L1024" s="10"/>
    </row>
    <row r="1025" spans="11:12">
      <c r="K1025" s="10"/>
      <c r="L1025" s="10"/>
    </row>
    <row r="1026" spans="11:12">
      <c r="K1026" s="10"/>
      <c r="L1026" s="10"/>
    </row>
    <row r="1027" spans="11:12">
      <c r="K1027" s="10"/>
      <c r="L1027" s="10"/>
    </row>
    <row r="1028" spans="11:12">
      <c r="K1028" s="10"/>
      <c r="L1028" s="10"/>
    </row>
    <row r="1029" spans="11:12">
      <c r="K1029" s="10"/>
      <c r="L1029" s="10"/>
    </row>
    <row r="1030" spans="11:12">
      <c r="K1030" s="10"/>
      <c r="L1030" s="10"/>
    </row>
    <row r="1031" spans="11:12">
      <c r="K1031" s="10"/>
      <c r="L1031" s="10"/>
    </row>
    <row r="1032" spans="11:12">
      <c r="K1032" s="10"/>
      <c r="L1032" s="10"/>
    </row>
    <row r="1033" spans="11:12">
      <c r="K1033" s="10"/>
      <c r="L1033" s="10"/>
    </row>
    <row r="1034" spans="11:12">
      <c r="K1034" s="10"/>
      <c r="L1034" s="10"/>
    </row>
    <row r="1035" spans="11:12">
      <c r="K1035" s="10"/>
      <c r="L1035" s="10"/>
    </row>
    <row r="1036" spans="11:12">
      <c r="K1036" s="10"/>
      <c r="L1036" s="10"/>
    </row>
    <row r="1037" spans="11:12">
      <c r="K1037" s="10"/>
      <c r="L1037" s="10"/>
    </row>
    <row r="1038" spans="11:12">
      <c r="K1038" s="10"/>
      <c r="L1038" s="10"/>
    </row>
    <row r="1039" spans="11:12">
      <c r="K1039" s="10"/>
      <c r="L1039" s="10"/>
    </row>
    <row r="1040" spans="11:12">
      <c r="K1040" s="10"/>
      <c r="L1040" s="10"/>
    </row>
    <row r="1041" spans="11:12">
      <c r="K1041" s="10"/>
      <c r="L1041" s="10"/>
    </row>
    <row r="1042" spans="11:12">
      <c r="K1042" s="10"/>
      <c r="L1042" s="10"/>
    </row>
    <row r="1043" spans="11:12">
      <c r="K1043" s="10"/>
      <c r="L1043" s="10"/>
    </row>
    <row r="1044" spans="11:12">
      <c r="K1044" s="10"/>
      <c r="L1044" s="10"/>
    </row>
    <row r="1045" spans="11:12">
      <c r="K1045" s="10"/>
      <c r="L1045" s="10"/>
    </row>
    <row r="1046" spans="11:12">
      <c r="K1046" s="10"/>
      <c r="L1046" s="10"/>
    </row>
    <row r="1047" spans="11:12">
      <c r="K1047" s="10"/>
      <c r="L1047" s="10"/>
    </row>
    <row r="1048" spans="11:12">
      <c r="K1048" s="10"/>
      <c r="L1048" s="10"/>
    </row>
    <row r="1049" spans="11:12">
      <c r="K1049" s="10"/>
      <c r="L1049" s="10"/>
    </row>
    <row r="1050" spans="11:12">
      <c r="K1050" s="10"/>
      <c r="L1050" s="10"/>
    </row>
    <row r="1051" spans="11:12">
      <c r="K1051" s="10"/>
      <c r="L1051" s="10"/>
    </row>
    <row r="1052" spans="11:12">
      <c r="K1052" s="10"/>
      <c r="L1052" s="10"/>
    </row>
    <row r="1053" spans="11:12">
      <c r="K1053" s="10"/>
      <c r="L1053" s="10"/>
    </row>
    <row r="1054" spans="11:12">
      <c r="K1054" s="10"/>
      <c r="L1054" s="10"/>
    </row>
    <row r="1055" spans="11:12">
      <c r="K1055" s="10"/>
      <c r="L1055" s="10"/>
    </row>
    <row r="1056" spans="11:12">
      <c r="K1056" s="10"/>
      <c r="L1056" s="10"/>
    </row>
    <row r="1057" spans="11:12">
      <c r="K1057" s="10"/>
      <c r="L1057" s="10"/>
    </row>
    <row r="1058" spans="11:12">
      <c r="K1058" s="10"/>
      <c r="L1058" s="10"/>
    </row>
    <row r="1059" spans="11:12">
      <c r="K1059" s="10"/>
      <c r="L1059" s="10"/>
    </row>
    <row r="1060" spans="11:12">
      <c r="K1060" s="10"/>
      <c r="L1060" s="10"/>
    </row>
    <row r="1061" spans="11:12">
      <c r="K1061" s="10"/>
      <c r="L1061" s="10"/>
    </row>
    <row r="1062" spans="11:12">
      <c r="K1062" s="10"/>
      <c r="L1062" s="10"/>
    </row>
    <row r="1063" spans="11:12">
      <c r="K1063" s="10"/>
      <c r="L1063" s="10"/>
    </row>
    <row r="1064" spans="11:12">
      <c r="K1064" s="10"/>
      <c r="L1064" s="10"/>
    </row>
    <row r="1065" spans="11:12">
      <c r="K1065" s="10"/>
      <c r="L1065" s="10"/>
    </row>
    <row r="1066" spans="11:12">
      <c r="K1066" s="10"/>
      <c r="L1066" s="10"/>
    </row>
    <row r="1067" spans="11:12">
      <c r="K1067" s="10"/>
      <c r="L1067" s="10"/>
    </row>
    <row r="1068" spans="11:12">
      <c r="K1068" s="10"/>
      <c r="L1068" s="10"/>
    </row>
    <row r="1069" spans="11:12">
      <c r="K1069" s="10"/>
      <c r="L1069" s="10"/>
    </row>
    <row r="1070" spans="11:12">
      <c r="K1070" s="10"/>
      <c r="L1070" s="10"/>
    </row>
    <row r="1071" spans="11:12">
      <c r="K1071" s="10"/>
      <c r="L1071" s="10"/>
    </row>
    <row r="1072" spans="11:12">
      <c r="K1072" s="10"/>
      <c r="L1072" s="10"/>
    </row>
    <row r="1073" spans="11:12">
      <c r="K1073" s="10"/>
      <c r="L1073" s="10"/>
    </row>
    <row r="1074" spans="11:12">
      <c r="K1074" s="10"/>
      <c r="L1074" s="10"/>
    </row>
    <row r="1075" spans="11:12">
      <c r="K1075" s="10"/>
      <c r="L1075" s="10"/>
    </row>
    <row r="1076" spans="11:12">
      <c r="K1076" s="10"/>
      <c r="L1076" s="10"/>
    </row>
    <row r="1077" spans="11:12">
      <c r="K1077" s="10"/>
      <c r="L1077" s="10"/>
    </row>
    <row r="1078" spans="11:12">
      <c r="K1078" s="10"/>
      <c r="L1078" s="10"/>
    </row>
    <row r="1079" spans="11:12">
      <c r="K1079" s="10"/>
      <c r="L1079" s="10"/>
    </row>
    <row r="1080" spans="11:12">
      <c r="K1080" s="10"/>
      <c r="L1080" s="10"/>
    </row>
    <row r="1081" spans="11:12">
      <c r="K1081" s="10"/>
      <c r="L1081" s="10"/>
    </row>
    <row r="1082" spans="11:12">
      <c r="K1082" s="10"/>
      <c r="L1082" s="10"/>
    </row>
    <row r="1083" spans="11:12">
      <c r="K1083" s="10"/>
      <c r="L1083" s="10"/>
    </row>
    <row r="1084" spans="11:12">
      <c r="K1084" s="10"/>
      <c r="L1084" s="10"/>
    </row>
    <row r="1085" spans="11:12">
      <c r="K1085" s="10"/>
      <c r="L1085" s="10"/>
    </row>
    <row r="1086" spans="11:12">
      <c r="K1086" s="10"/>
      <c r="L1086" s="10"/>
    </row>
    <row r="1087" spans="11:12">
      <c r="K1087" s="10"/>
      <c r="L1087" s="10"/>
    </row>
    <row r="1088" spans="11:12">
      <c r="K1088" s="10"/>
      <c r="L1088" s="10"/>
    </row>
    <row r="1089" spans="11:12">
      <c r="K1089" s="10"/>
      <c r="L1089" s="10"/>
    </row>
    <row r="1090" spans="11:12">
      <c r="K1090" s="10"/>
      <c r="L1090" s="10"/>
    </row>
    <row r="1091" spans="11:12">
      <c r="K1091" s="10"/>
      <c r="L1091" s="10"/>
    </row>
    <row r="1092" spans="11:12">
      <c r="K1092" s="10"/>
      <c r="L1092" s="10"/>
    </row>
    <row r="1093" spans="11:12">
      <c r="K1093" s="10"/>
      <c r="L1093" s="10"/>
    </row>
    <row r="1094" spans="11:12">
      <c r="K1094" s="10"/>
      <c r="L1094" s="10"/>
    </row>
    <row r="1095" spans="11:12">
      <c r="K1095" s="10"/>
      <c r="L1095" s="10"/>
    </row>
    <row r="1096" spans="11:12">
      <c r="K1096" s="10"/>
      <c r="L1096" s="10"/>
    </row>
    <row r="1097" spans="11:12">
      <c r="K1097" s="10"/>
      <c r="L1097" s="10"/>
    </row>
    <row r="1098" spans="11:12">
      <c r="K1098" s="10"/>
      <c r="L1098" s="10"/>
    </row>
    <row r="1099" spans="11:12">
      <c r="K1099" s="10"/>
      <c r="L1099" s="10"/>
    </row>
    <row r="1100" spans="11:12">
      <c r="K1100" s="10"/>
      <c r="L1100" s="10"/>
    </row>
    <row r="1101" spans="11:12">
      <c r="K1101" s="10"/>
      <c r="L1101" s="10"/>
    </row>
    <row r="1102" spans="11:12">
      <c r="K1102" s="10"/>
      <c r="L1102" s="10"/>
    </row>
    <row r="1103" spans="11:12">
      <c r="K1103" s="10"/>
      <c r="L1103" s="10"/>
    </row>
    <row r="1104" spans="11:12">
      <c r="K1104" s="10"/>
      <c r="L1104" s="10"/>
    </row>
    <row r="1105" spans="11:12">
      <c r="K1105" s="10"/>
      <c r="L1105" s="10"/>
    </row>
    <row r="1106" spans="11:12">
      <c r="K1106" s="10"/>
      <c r="L1106" s="10"/>
    </row>
    <row r="1107" spans="11:12">
      <c r="K1107" s="10"/>
      <c r="L1107" s="10"/>
    </row>
    <row r="1108" spans="11:12">
      <c r="K1108" s="10"/>
      <c r="L1108" s="10"/>
    </row>
    <row r="1109" spans="11:12">
      <c r="K1109" s="10"/>
      <c r="L1109" s="10"/>
    </row>
    <row r="1110" spans="11:12">
      <c r="K1110" s="10"/>
      <c r="L1110" s="10"/>
    </row>
    <row r="1111" spans="11:12">
      <c r="K1111" s="10"/>
      <c r="L1111" s="10"/>
    </row>
    <row r="1112" spans="11:12">
      <c r="K1112" s="10"/>
      <c r="L1112" s="10"/>
    </row>
    <row r="1113" spans="11:12">
      <c r="K1113" s="10"/>
      <c r="L1113" s="10"/>
    </row>
    <row r="1114" spans="11:12">
      <c r="K1114" s="10"/>
      <c r="L1114" s="10"/>
    </row>
    <row r="1115" spans="11:12">
      <c r="K1115" s="10"/>
      <c r="L1115" s="10"/>
    </row>
    <row r="1116" spans="11:12">
      <c r="K1116" s="10"/>
      <c r="L1116" s="10"/>
    </row>
    <row r="1117" spans="11:12">
      <c r="K1117" s="10"/>
      <c r="L1117" s="10"/>
    </row>
    <row r="1118" spans="11:12">
      <c r="K1118" s="10"/>
      <c r="L1118" s="10"/>
    </row>
    <row r="1119" spans="11:12">
      <c r="K1119" s="10"/>
      <c r="L1119" s="10"/>
    </row>
    <row r="1120" spans="11:12">
      <c r="K1120" s="10"/>
      <c r="L1120" s="10"/>
    </row>
    <row r="1121" spans="11:12">
      <c r="K1121" s="10"/>
      <c r="L1121" s="10"/>
    </row>
    <row r="1122" spans="11:12">
      <c r="K1122" s="10"/>
      <c r="L1122" s="10"/>
    </row>
    <row r="1123" spans="11:12">
      <c r="K1123" s="10"/>
      <c r="L1123" s="10"/>
    </row>
    <row r="1124" spans="11:12">
      <c r="K1124" s="10"/>
      <c r="L1124" s="10"/>
    </row>
    <row r="1125" spans="11:12">
      <c r="K1125" s="10"/>
      <c r="L1125" s="10"/>
    </row>
    <row r="1126" spans="11:12">
      <c r="K1126" s="10"/>
      <c r="L1126" s="10"/>
    </row>
    <row r="1127" spans="11:12">
      <c r="K1127" s="10"/>
      <c r="L1127" s="10"/>
    </row>
    <row r="1128" spans="11:12">
      <c r="K1128" s="10"/>
      <c r="L1128" s="10"/>
    </row>
    <row r="1129" spans="11:12">
      <c r="K1129" s="10"/>
      <c r="L1129" s="10"/>
    </row>
    <row r="1130" spans="11:12">
      <c r="K1130" s="10"/>
      <c r="L1130" s="10"/>
    </row>
    <row r="1131" spans="11:12">
      <c r="K1131" s="10"/>
      <c r="L1131" s="10"/>
    </row>
    <row r="1132" spans="11:12">
      <c r="K1132" s="10"/>
      <c r="L1132" s="10"/>
    </row>
    <row r="1133" spans="11:12">
      <c r="K1133" s="10"/>
      <c r="L1133" s="10"/>
    </row>
    <row r="1134" spans="11:12">
      <c r="K1134" s="10"/>
      <c r="L1134" s="10"/>
    </row>
    <row r="1135" spans="11:12">
      <c r="K1135" s="10"/>
      <c r="L1135" s="10"/>
    </row>
    <row r="1136" spans="11:12">
      <c r="K1136" s="10"/>
      <c r="L1136" s="10"/>
    </row>
  </sheetData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8"/>
  <sheetViews>
    <sheetView topLeftCell="A67" workbookViewId="0">
      <selection activeCell="A3" sqref="A3:K98"/>
    </sheetView>
  </sheetViews>
  <sheetFormatPr baseColWidth="10" defaultRowHeight="15"/>
  <sheetData>
    <row r="1" spans="1:23">
      <c r="A1" t="s">
        <v>222</v>
      </c>
      <c r="B1" t="s">
        <v>230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12.939060211181641</v>
      </c>
      <c r="H3">
        <v>12.9140625</v>
      </c>
      <c r="I3">
        <v>3.5352777689695358E-2</v>
      </c>
      <c r="J3">
        <v>5000000</v>
      </c>
      <c r="K3" t="s">
        <v>24</v>
      </c>
      <c r="L3" t="s">
        <v>24</v>
      </c>
      <c r="M3" t="b">
        <v>0</v>
      </c>
      <c r="N3">
        <v>1</v>
      </c>
      <c r="O3" t="b">
        <v>1</v>
      </c>
      <c r="P3">
        <v>3</v>
      </c>
      <c r="Q3">
        <v>7</v>
      </c>
      <c r="R3">
        <v>84.586212158203125</v>
      </c>
      <c r="S3" t="s">
        <v>24</v>
      </c>
      <c r="T3" t="s">
        <v>24</v>
      </c>
      <c r="U3" t="s">
        <v>24</v>
      </c>
      <c r="V3" t="s">
        <v>29</v>
      </c>
      <c r="W3" t="s">
        <v>29</v>
      </c>
    </row>
    <row r="4" spans="1:23">
      <c r="A4" t="s">
        <v>30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12.889063835144043</v>
      </c>
      <c r="H4">
        <v>12.9140625</v>
      </c>
      <c r="I4">
        <v>3.5352777689695358E-2</v>
      </c>
      <c r="J4">
        <v>5000000</v>
      </c>
      <c r="K4" t="s">
        <v>24</v>
      </c>
      <c r="L4" t="s">
        <v>24</v>
      </c>
      <c r="M4" t="b">
        <v>0</v>
      </c>
      <c r="N4">
        <v>1</v>
      </c>
      <c r="O4" t="b">
        <v>1</v>
      </c>
      <c r="P4">
        <v>3</v>
      </c>
      <c r="Q4">
        <v>6</v>
      </c>
      <c r="R4">
        <v>84.586212158203125</v>
      </c>
      <c r="S4" t="s">
        <v>24</v>
      </c>
      <c r="T4" t="s">
        <v>24</v>
      </c>
      <c r="U4" t="s">
        <v>24</v>
      </c>
      <c r="V4" t="s">
        <v>29</v>
      </c>
      <c r="W4" t="s">
        <v>29</v>
      </c>
    </row>
    <row r="5" spans="1:23">
      <c r="A5" t="s">
        <v>31</v>
      </c>
      <c r="B5" t="s">
        <v>32</v>
      </c>
      <c r="C5" t="s">
        <v>25</v>
      </c>
      <c r="D5" t="s">
        <v>33</v>
      </c>
      <c r="E5" t="s">
        <v>27</v>
      </c>
      <c r="F5" t="s">
        <v>28</v>
      </c>
      <c r="G5">
        <v>10.93251895904541</v>
      </c>
      <c r="H5">
        <v>10.898801803588867</v>
      </c>
      <c r="I5">
        <v>4.7683257609605789E-2</v>
      </c>
      <c r="J5">
        <v>19190658</v>
      </c>
      <c r="K5">
        <v>19596658</v>
      </c>
      <c r="L5">
        <v>574170.6875</v>
      </c>
      <c r="M5" t="b">
        <v>0</v>
      </c>
      <c r="N5">
        <v>1</v>
      </c>
      <c r="O5" t="b">
        <v>1</v>
      </c>
      <c r="P5">
        <v>3</v>
      </c>
      <c r="Q5">
        <v>4</v>
      </c>
      <c r="R5">
        <v>85.162567138671875</v>
      </c>
      <c r="S5" t="s">
        <v>24</v>
      </c>
      <c r="T5" t="s">
        <v>24</v>
      </c>
      <c r="U5" t="s">
        <v>24</v>
      </c>
      <c r="V5" t="s">
        <v>29</v>
      </c>
      <c r="W5" t="s">
        <v>29</v>
      </c>
    </row>
    <row r="6" spans="1:23">
      <c r="A6" t="s">
        <v>34</v>
      </c>
      <c r="B6" t="s">
        <v>32</v>
      </c>
      <c r="C6" t="s">
        <v>25</v>
      </c>
      <c r="D6" t="s">
        <v>33</v>
      </c>
      <c r="E6" t="s">
        <v>27</v>
      </c>
      <c r="F6" t="s">
        <v>28</v>
      </c>
      <c r="G6">
        <v>10.865084648132324</v>
      </c>
      <c r="H6">
        <v>10.898801803588867</v>
      </c>
      <c r="I6">
        <v>4.7683257609605789E-2</v>
      </c>
      <c r="J6">
        <v>20002658</v>
      </c>
      <c r="K6">
        <v>19596658</v>
      </c>
      <c r="L6">
        <v>574170.6875</v>
      </c>
      <c r="M6" t="b">
        <v>0</v>
      </c>
      <c r="N6">
        <v>1</v>
      </c>
      <c r="O6" t="b">
        <v>1</v>
      </c>
      <c r="P6">
        <v>3</v>
      </c>
      <c r="Q6">
        <v>4</v>
      </c>
      <c r="R6">
        <v>84.970443725585938</v>
      </c>
      <c r="S6" t="s">
        <v>24</v>
      </c>
      <c r="T6" t="s">
        <v>24</v>
      </c>
      <c r="U6" t="s">
        <v>24</v>
      </c>
      <c r="V6" t="s">
        <v>29</v>
      </c>
      <c r="W6" t="s">
        <v>29</v>
      </c>
    </row>
    <row r="7" spans="1:23">
      <c r="A7" t="s">
        <v>35</v>
      </c>
      <c r="B7" t="s">
        <v>36</v>
      </c>
      <c r="C7" t="s">
        <v>25</v>
      </c>
      <c r="D7" t="s">
        <v>33</v>
      </c>
      <c r="E7" t="s">
        <v>27</v>
      </c>
      <c r="F7" t="s">
        <v>28</v>
      </c>
      <c r="G7">
        <v>10.286369323730469</v>
      </c>
      <c r="H7">
        <v>10.244102478027344</v>
      </c>
      <c r="I7">
        <v>5.9773672372102737E-2</v>
      </c>
      <c r="J7">
        <v>28545890</v>
      </c>
      <c r="K7">
        <v>29306956</v>
      </c>
      <c r="L7">
        <v>1076311.25</v>
      </c>
      <c r="M7" t="b">
        <v>0</v>
      </c>
      <c r="N7">
        <v>1</v>
      </c>
      <c r="O7" t="b">
        <v>1</v>
      </c>
      <c r="P7">
        <v>1</v>
      </c>
      <c r="Q7">
        <v>3</v>
      </c>
      <c r="R7">
        <v>84.778327941894531</v>
      </c>
      <c r="S7" t="s">
        <v>24</v>
      </c>
      <c r="T7" t="s">
        <v>24</v>
      </c>
      <c r="U7" t="s">
        <v>24</v>
      </c>
      <c r="V7" t="s">
        <v>29</v>
      </c>
      <c r="W7" t="s">
        <v>29</v>
      </c>
    </row>
    <row r="8" spans="1:23">
      <c r="A8" t="s">
        <v>37</v>
      </c>
      <c r="B8" t="s">
        <v>36</v>
      </c>
      <c r="C8" t="s">
        <v>25</v>
      </c>
      <c r="D8" t="s">
        <v>33</v>
      </c>
      <c r="E8" t="s">
        <v>27</v>
      </c>
      <c r="F8" t="s">
        <v>28</v>
      </c>
      <c r="G8">
        <v>10.201836585998535</v>
      </c>
      <c r="H8">
        <v>10.244102478027344</v>
      </c>
      <c r="I8">
        <v>5.9773672372102737E-2</v>
      </c>
      <c r="J8">
        <v>30068024</v>
      </c>
      <c r="K8">
        <v>29306956</v>
      </c>
      <c r="L8">
        <v>1076311.25</v>
      </c>
      <c r="M8" t="b">
        <v>0</v>
      </c>
      <c r="N8">
        <v>1</v>
      </c>
      <c r="O8" t="b">
        <v>1</v>
      </c>
      <c r="P8">
        <v>1</v>
      </c>
      <c r="Q8">
        <v>2</v>
      </c>
      <c r="R8">
        <v>84.586212158203125</v>
      </c>
      <c r="S8" t="s">
        <v>24</v>
      </c>
      <c r="T8" t="s">
        <v>24</v>
      </c>
      <c r="U8" t="s">
        <v>24</v>
      </c>
      <c r="V8" t="s">
        <v>29</v>
      </c>
      <c r="W8" t="s">
        <v>29</v>
      </c>
    </row>
    <row r="9" spans="1:23">
      <c r="A9" t="s">
        <v>38</v>
      </c>
      <c r="B9" t="s">
        <v>39</v>
      </c>
      <c r="C9" t="s">
        <v>25</v>
      </c>
      <c r="D9" t="s">
        <v>33</v>
      </c>
      <c r="E9" t="s">
        <v>27</v>
      </c>
      <c r="F9" t="s">
        <v>28</v>
      </c>
      <c r="G9">
        <v>9.6180944442749023</v>
      </c>
      <c r="H9">
        <v>9.6843185424804688</v>
      </c>
      <c r="I9">
        <v>9.3654341995716095E-2</v>
      </c>
      <c r="J9">
        <v>43042988</v>
      </c>
      <c r="K9">
        <v>41360640</v>
      </c>
      <c r="L9">
        <v>2379199.25</v>
      </c>
      <c r="M9" t="b">
        <v>0</v>
      </c>
      <c r="N9">
        <v>1</v>
      </c>
      <c r="O9" t="b">
        <v>1</v>
      </c>
      <c r="P9">
        <v>1</v>
      </c>
      <c r="Q9">
        <v>3</v>
      </c>
      <c r="R9">
        <v>84.394088745117188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</row>
    <row r="10" spans="1:23">
      <c r="A10" t="s">
        <v>40</v>
      </c>
      <c r="B10" t="s">
        <v>39</v>
      </c>
      <c r="C10" t="s">
        <v>25</v>
      </c>
      <c r="D10" t="s">
        <v>33</v>
      </c>
      <c r="E10" t="s">
        <v>27</v>
      </c>
      <c r="F10" t="s">
        <v>28</v>
      </c>
      <c r="G10">
        <v>9.7505416870117188</v>
      </c>
      <c r="H10">
        <v>9.6843185424804688</v>
      </c>
      <c r="I10">
        <v>9.3654341995716095E-2</v>
      </c>
      <c r="J10">
        <v>39678292</v>
      </c>
      <c r="K10">
        <v>41360640</v>
      </c>
      <c r="L10">
        <v>2379199.25</v>
      </c>
      <c r="M10" t="b">
        <v>0</v>
      </c>
      <c r="N10">
        <v>1</v>
      </c>
      <c r="O10" t="b">
        <v>1</v>
      </c>
      <c r="P10">
        <v>1</v>
      </c>
      <c r="Q10">
        <v>3</v>
      </c>
      <c r="R10">
        <v>84.201972961425781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</row>
    <row r="11" spans="1:23">
      <c r="A11" t="s">
        <v>41</v>
      </c>
      <c r="B11" t="s">
        <v>42</v>
      </c>
      <c r="C11" t="s">
        <v>25</v>
      </c>
      <c r="D11" t="s">
        <v>33</v>
      </c>
      <c r="E11" t="s">
        <v>27</v>
      </c>
      <c r="F11" t="s">
        <v>28</v>
      </c>
      <c r="G11">
        <v>9.9052762985229492</v>
      </c>
      <c r="H11">
        <v>9.9867439270019531</v>
      </c>
      <c r="I11">
        <v>0.11521262675523758</v>
      </c>
      <c r="J11">
        <v>36079056</v>
      </c>
      <c r="K11">
        <v>34360224</v>
      </c>
      <c r="L11">
        <v>2430795.5</v>
      </c>
      <c r="M11" t="b">
        <v>0</v>
      </c>
      <c r="N11">
        <v>1</v>
      </c>
      <c r="O11" t="b">
        <v>1</v>
      </c>
      <c r="P11">
        <v>3</v>
      </c>
      <c r="Q11">
        <v>4</v>
      </c>
      <c r="R11">
        <v>84.201972961425781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</row>
    <row r="12" spans="1:23">
      <c r="A12" t="s">
        <v>43</v>
      </c>
      <c r="B12" t="s">
        <v>42</v>
      </c>
      <c r="C12" t="s">
        <v>25</v>
      </c>
      <c r="D12" t="s">
        <v>33</v>
      </c>
      <c r="E12" t="s">
        <v>27</v>
      </c>
      <c r="F12" t="s">
        <v>28</v>
      </c>
      <c r="G12">
        <v>10.068211555480957</v>
      </c>
      <c r="H12">
        <v>9.9867439270019531</v>
      </c>
      <c r="I12">
        <v>0.11521262675523758</v>
      </c>
      <c r="J12">
        <v>32641392</v>
      </c>
      <c r="K12">
        <v>34360224</v>
      </c>
      <c r="L12">
        <v>2430795.5</v>
      </c>
      <c r="M12" t="b">
        <v>0</v>
      </c>
      <c r="N12">
        <v>1</v>
      </c>
      <c r="O12" t="b">
        <v>1</v>
      </c>
      <c r="P12">
        <v>1</v>
      </c>
      <c r="Q12">
        <v>3</v>
      </c>
      <c r="R12">
        <v>84.201972961425781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</row>
    <row r="13" spans="1:23">
      <c r="A13" t="s">
        <v>44</v>
      </c>
      <c r="B13" t="s">
        <v>45</v>
      </c>
      <c r="C13" t="s">
        <v>25</v>
      </c>
      <c r="D13" t="s">
        <v>33</v>
      </c>
      <c r="E13" t="s">
        <v>27</v>
      </c>
      <c r="F13" t="s">
        <v>28</v>
      </c>
      <c r="G13">
        <v>9.5789146423339844</v>
      </c>
      <c r="H13">
        <v>9.7761802673339844</v>
      </c>
      <c r="I13">
        <v>0.2789757251739502</v>
      </c>
      <c r="J13">
        <v>44091948</v>
      </c>
      <c r="K13">
        <v>39345376</v>
      </c>
      <c r="L13">
        <v>6712666.5</v>
      </c>
      <c r="M13" t="b">
        <v>0</v>
      </c>
      <c r="N13">
        <v>1</v>
      </c>
      <c r="O13" t="b">
        <v>1</v>
      </c>
      <c r="P13">
        <v>1</v>
      </c>
      <c r="Q13">
        <v>2</v>
      </c>
      <c r="R13">
        <v>84.009857177734375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</row>
    <row r="14" spans="1:23">
      <c r="A14" t="s">
        <v>46</v>
      </c>
      <c r="B14" t="s">
        <v>45</v>
      </c>
      <c r="C14" t="s">
        <v>25</v>
      </c>
      <c r="D14" t="s">
        <v>33</v>
      </c>
      <c r="E14" t="s">
        <v>27</v>
      </c>
      <c r="F14" t="s">
        <v>28</v>
      </c>
      <c r="G14">
        <v>9.9734458923339844</v>
      </c>
      <c r="H14">
        <v>9.7761802673339844</v>
      </c>
      <c r="I14">
        <v>0.2789757251739502</v>
      </c>
      <c r="J14">
        <v>34598804</v>
      </c>
      <c r="K14">
        <v>39345376</v>
      </c>
      <c r="L14">
        <v>6712666.5</v>
      </c>
      <c r="M14" t="b">
        <v>0</v>
      </c>
      <c r="N14">
        <v>1</v>
      </c>
      <c r="O14" t="b">
        <v>1</v>
      </c>
      <c r="P14">
        <v>1</v>
      </c>
      <c r="Q14">
        <v>3</v>
      </c>
      <c r="R14">
        <v>84.009857177734375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</row>
    <row r="15" spans="1:23">
      <c r="A15" t="s">
        <v>47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16.932094573974609</v>
      </c>
      <c r="H15">
        <v>16.812473297119141</v>
      </c>
      <c r="I15">
        <v>0.16916868090629578</v>
      </c>
      <c r="J15">
        <v>500000</v>
      </c>
      <c r="K15" t="s">
        <v>24</v>
      </c>
      <c r="L15" t="s">
        <v>24</v>
      </c>
      <c r="M15" t="b">
        <v>0</v>
      </c>
      <c r="N15">
        <v>1</v>
      </c>
      <c r="O15" t="b">
        <v>1</v>
      </c>
      <c r="P15">
        <v>3</v>
      </c>
      <c r="Q15">
        <v>10</v>
      </c>
      <c r="R15">
        <v>84.778327941894531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</row>
    <row r="16" spans="1:23">
      <c r="A16" t="s">
        <v>48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16.692853927612305</v>
      </c>
      <c r="H16">
        <v>16.812473297119141</v>
      </c>
      <c r="I16">
        <v>0.16916868090629578</v>
      </c>
      <c r="J16">
        <v>500000</v>
      </c>
      <c r="K16" t="s">
        <v>24</v>
      </c>
      <c r="L16" t="s">
        <v>24</v>
      </c>
      <c r="M16" t="b">
        <v>0</v>
      </c>
      <c r="N16">
        <v>1</v>
      </c>
      <c r="O16" t="b">
        <v>1</v>
      </c>
      <c r="P16">
        <v>3</v>
      </c>
      <c r="Q16">
        <v>10</v>
      </c>
      <c r="R16">
        <v>84.970443725585938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</row>
    <row r="17" spans="1:23">
      <c r="A17" t="s">
        <v>49</v>
      </c>
      <c r="B17" t="s">
        <v>50</v>
      </c>
      <c r="C17" t="s">
        <v>25</v>
      </c>
      <c r="D17" t="s">
        <v>33</v>
      </c>
      <c r="E17" t="s">
        <v>27</v>
      </c>
      <c r="F17" t="s">
        <v>28</v>
      </c>
      <c r="G17">
        <v>7.6086583137512207</v>
      </c>
      <c r="H17">
        <v>7.6532497406005859</v>
      </c>
      <c r="I17">
        <v>6.3062138855457306E-2</v>
      </c>
      <c r="J17">
        <v>147982272</v>
      </c>
      <c r="K17">
        <v>144036144</v>
      </c>
      <c r="L17">
        <v>5580667.5</v>
      </c>
      <c r="M17" t="b">
        <v>0</v>
      </c>
      <c r="N17">
        <v>1</v>
      </c>
      <c r="O17" t="b">
        <v>1</v>
      </c>
      <c r="P17">
        <v>1</v>
      </c>
      <c r="Q17">
        <v>2</v>
      </c>
      <c r="R17">
        <v>85.162567138671875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</row>
    <row r="18" spans="1:23">
      <c r="A18" t="s">
        <v>51</v>
      </c>
      <c r="B18" t="s">
        <v>50</v>
      </c>
      <c r="C18" t="s">
        <v>25</v>
      </c>
      <c r="D18" t="s">
        <v>33</v>
      </c>
      <c r="E18" t="s">
        <v>27</v>
      </c>
      <c r="F18" t="s">
        <v>28</v>
      </c>
      <c r="G18">
        <v>7.6978416442871094</v>
      </c>
      <c r="H18">
        <v>7.6532497406005859</v>
      </c>
      <c r="I18">
        <v>6.3062138855457306E-2</v>
      </c>
      <c r="J18">
        <v>140090016</v>
      </c>
      <c r="K18">
        <v>144036144</v>
      </c>
      <c r="L18">
        <v>5580667.5</v>
      </c>
      <c r="M18" t="b">
        <v>0</v>
      </c>
      <c r="N18">
        <v>1</v>
      </c>
      <c r="O18" t="b">
        <v>1</v>
      </c>
      <c r="P18">
        <v>1</v>
      </c>
      <c r="Q18">
        <v>2</v>
      </c>
      <c r="R18">
        <v>84.970443725585938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</row>
    <row r="19" spans="1:23">
      <c r="A19" t="s">
        <v>52</v>
      </c>
      <c r="B19" t="s">
        <v>53</v>
      </c>
      <c r="C19" t="s">
        <v>25</v>
      </c>
      <c r="D19" t="s">
        <v>33</v>
      </c>
      <c r="E19" t="s">
        <v>27</v>
      </c>
      <c r="F19" t="s">
        <v>28</v>
      </c>
      <c r="G19">
        <v>11.56141471862793</v>
      </c>
      <c r="H19">
        <v>11.343027114868164</v>
      </c>
      <c r="I19">
        <v>0.30884671211242676</v>
      </c>
      <c r="J19">
        <v>13038904</v>
      </c>
      <c r="K19">
        <v>15046210</v>
      </c>
      <c r="L19">
        <v>2838759.25</v>
      </c>
      <c r="M19" t="b">
        <v>0</v>
      </c>
      <c r="N19">
        <v>1</v>
      </c>
      <c r="O19" t="b">
        <v>1</v>
      </c>
      <c r="P19">
        <v>3</v>
      </c>
      <c r="Q19">
        <v>6</v>
      </c>
      <c r="R19">
        <v>85.162567138671875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</row>
    <row r="20" spans="1:23">
      <c r="A20" t="s">
        <v>54</v>
      </c>
      <c r="B20" t="s">
        <v>53</v>
      </c>
      <c r="C20" t="s">
        <v>25</v>
      </c>
      <c r="D20" t="s">
        <v>33</v>
      </c>
      <c r="E20" t="s">
        <v>27</v>
      </c>
      <c r="F20" t="s">
        <v>28</v>
      </c>
      <c r="G20">
        <v>11.124639511108398</v>
      </c>
      <c r="H20">
        <v>11.343027114868164</v>
      </c>
      <c r="I20">
        <v>0.30884671211242676</v>
      </c>
      <c r="J20">
        <v>17053516</v>
      </c>
      <c r="K20">
        <v>15046210</v>
      </c>
      <c r="L20">
        <v>2838759.25</v>
      </c>
      <c r="M20" t="b">
        <v>0</v>
      </c>
      <c r="N20">
        <v>1</v>
      </c>
      <c r="O20" t="b">
        <v>1</v>
      </c>
      <c r="P20">
        <v>3</v>
      </c>
      <c r="Q20">
        <v>4</v>
      </c>
      <c r="R20">
        <v>84.970443725585938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</row>
    <row r="21" spans="1:23">
      <c r="A21" t="s">
        <v>55</v>
      </c>
      <c r="B21" t="s">
        <v>56</v>
      </c>
      <c r="C21" t="s">
        <v>25</v>
      </c>
      <c r="D21" t="s">
        <v>33</v>
      </c>
      <c r="E21" t="s">
        <v>27</v>
      </c>
      <c r="F21" t="s">
        <v>28</v>
      </c>
      <c r="G21">
        <v>9.2700099945068359</v>
      </c>
      <c r="H21">
        <v>9.2593812942504883</v>
      </c>
      <c r="I21">
        <v>1.5031252056360245E-2</v>
      </c>
      <c r="J21">
        <v>53309452</v>
      </c>
      <c r="K21">
        <v>53659944</v>
      </c>
      <c r="L21">
        <v>495670.53125</v>
      </c>
      <c r="M21" t="b">
        <v>0</v>
      </c>
      <c r="N21">
        <v>1</v>
      </c>
      <c r="O21" t="b">
        <v>1</v>
      </c>
      <c r="P21">
        <v>1</v>
      </c>
      <c r="Q21">
        <v>2</v>
      </c>
      <c r="R21">
        <v>84.201972961425781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</row>
    <row r="22" spans="1:23">
      <c r="A22" t="s">
        <v>57</v>
      </c>
      <c r="B22" t="s">
        <v>56</v>
      </c>
      <c r="C22" t="s">
        <v>25</v>
      </c>
      <c r="D22" t="s">
        <v>33</v>
      </c>
      <c r="E22" t="s">
        <v>27</v>
      </c>
      <c r="F22" t="s">
        <v>28</v>
      </c>
      <c r="G22">
        <v>9.2487525939941406</v>
      </c>
      <c r="H22">
        <v>9.2593812942504883</v>
      </c>
      <c r="I22">
        <v>1.5031252056360245E-2</v>
      </c>
      <c r="J22">
        <v>54010436</v>
      </c>
      <c r="K22">
        <v>53659944</v>
      </c>
      <c r="L22">
        <v>495670.53125</v>
      </c>
      <c r="M22" t="b">
        <v>0</v>
      </c>
      <c r="N22">
        <v>1</v>
      </c>
      <c r="O22" t="b">
        <v>1</v>
      </c>
      <c r="P22">
        <v>1</v>
      </c>
      <c r="Q22">
        <v>2</v>
      </c>
      <c r="R22">
        <v>83.817733764648438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</row>
    <row r="23" spans="1:23">
      <c r="A23" t="s">
        <v>58</v>
      </c>
      <c r="B23" t="s">
        <v>59</v>
      </c>
      <c r="C23" t="s">
        <v>25</v>
      </c>
      <c r="D23" t="s">
        <v>33</v>
      </c>
      <c r="E23" t="s">
        <v>27</v>
      </c>
      <c r="F23" t="s">
        <v>28</v>
      </c>
      <c r="G23">
        <v>9.4149789810180664</v>
      </c>
      <c r="H23">
        <v>9.5680503845214844</v>
      </c>
      <c r="I23">
        <v>0.21647633612155914</v>
      </c>
      <c r="J23">
        <v>48765512</v>
      </c>
      <c r="K23">
        <v>44583840</v>
      </c>
      <c r="L23">
        <v>5913774.5</v>
      </c>
      <c r="M23" t="b">
        <v>0</v>
      </c>
      <c r="N23">
        <v>1</v>
      </c>
      <c r="O23" t="b">
        <v>1</v>
      </c>
      <c r="P23">
        <v>1</v>
      </c>
      <c r="Q23">
        <v>2</v>
      </c>
      <c r="R23">
        <v>84.009857177734375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</row>
    <row r="24" spans="1:23">
      <c r="A24" t="s">
        <v>60</v>
      </c>
      <c r="B24" t="s">
        <v>59</v>
      </c>
      <c r="C24" t="s">
        <v>25</v>
      </c>
      <c r="D24" t="s">
        <v>33</v>
      </c>
      <c r="E24" t="s">
        <v>27</v>
      </c>
      <c r="F24" t="s">
        <v>28</v>
      </c>
      <c r="G24">
        <v>9.7211227416992188</v>
      </c>
      <c r="H24">
        <v>9.5680503845214844</v>
      </c>
      <c r="I24">
        <v>0.21647633612155914</v>
      </c>
      <c r="J24">
        <v>40402172</v>
      </c>
      <c r="K24">
        <v>44583840</v>
      </c>
      <c r="L24">
        <v>5913774.5</v>
      </c>
      <c r="M24" t="b">
        <v>0</v>
      </c>
      <c r="N24">
        <v>1</v>
      </c>
      <c r="O24" t="b">
        <v>1</v>
      </c>
      <c r="P24">
        <v>1</v>
      </c>
      <c r="Q24">
        <v>2</v>
      </c>
      <c r="R24">
        <v>84.201972961425781</v>
      </c>
      <c r="S24" t="s">
        <v>24</v>
      </c>
      <c r="T24" t="s">
        <v>24</v>
      </c>
      <c r="U24" t="s">
        <v>24</v>
      </c>
      <c r="V24" t="s">
        <v>29</v>
      </c>
      <c r="W24" t="s">
        <v>29</v>
      </c>
    </row>
    <row r="25" spans="1:23">
      <c r="A25" t="s">
        <v>61</v>
      </c>
      <c r="B25" t="s">
        <v>62</v>
      </c>
      <c r="C25" t="s">
        <v>25</v>
      </c>
      <c r="D25" t="s">
        <v>33</v>
      </c>
      <c r="E25" t="s">
        <v>27</v>
      </c>
      <c r="F25" t="s">
        <v>28</v>
      </c>
      <c r="G25">
        <v>9.161747932434082</v>
      </c>
      <c r="H25">
        <v>9.1962146759033203</v>
      </c>
      <c r="I25">
        <v>4.8744011670351028E-2</v>
      </c>
      <c r="J25">
        <v>56976892</v>
      </c>
      <c r="K25">
        <v>55795228</v>
      </c>
      <c r="L25">
        <v>1671125.25</v>
      </c>
      <c r="M25" t="b">
        <v>0</v>
      </c>
      <c r="N25">
        <v>1</v>
      </c>
      <c r="O25" t="b">
        <v>1</v>
      </c>
      <c r="P25">
        <v>1</v>
      </c>
      <c r="Q25">
        <v>2</v>
      </c>
      <c r="R25">
        <v>84.201972961425781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</row>
    <row r="26" spans="1:23">
      <c r="A26" t="s">
        <v>63</v>
      </c>
      <c r="B26" t="s">
        <v>62</v>
      </c>
      <c r="C26" t="s">
        <v>25</v>
      </c>
      <c r="D26" t="s">
        <v>33</v>
      </c>
      <c r="E26" t="s">
        <v>27</v>
      </c>
      <c r="F26" t="s">
        <v>28</v>
      </c>
      <c r="G26">
        <v>9.230682373046875</v>
      </c>
      <c r="H26">
        <v>9.1962146759033203</v>
      </c>
      <c r="I26">
        <v>4.8744011670351028E-2</v>
      </c>
      <c r="J26">
        <v>54613564</v>
      </c>
      <c r="K26">
        <v>55795228</v>
      </c>
      <c r="L26">
        <v>1671125.25</v>
      </c>
      <c r="M26" t="b">
        <v>0</v>
      </c>
      <c r="N26">
        <v>1</v>
      </c>
      <c r="O26" t="b">
        <v>1</v>
      </c>
      <c r="P26">
        <v>1</v>
      </c>
      <c r="Q26">
        <v>2</v>
      </c>
      <c r="R26">
        <v>84.201972961425781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</row>
    <row r="27" spans="1:23">
      <c r="A27" t="s">
        <v>64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>
        <v>20.710582733154297</v>
      </c>
      <c r="H27">
        <v>20.739643096923828</v>
      </c>
      <c r="I27">
        <v>4.1097559034824371E-2</v>
      </c>
      <c r="J27">
        <v>50000</v>
      </c>
      <c r="K27" t="s">
        <v>24</v>
      </c>
      <c r="L27" t="s">
        <v>24</v>
      </c>
      <c r="M27" t="b">
        <v>0</v>
      </c>
      <c r="N27">
        <v>1</v>
      </c>
      <c r="O27" t="b">
        <v>1</v>
      </c>
      <c r="P27">
        <v>3</v>
      </c>
      <c r="Q27">
        <v>13</v>
      </c>
      <c r="R27">
        <v>85.162567138671875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</row>
    <row r="28" spans="1:23">
      <c r="A28" t="s">
        <v>65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>
        <v>20.768703460693359</v>
      </c>
      <c r="H28">
        <v>20.739643096923828</v>
      </c>
      <c r="I28">
        <v>4.1097559034824371E-2</v>
      </c>
      <c r="J28">
        <v>50000</v>
      </c>
      <c r="K28" t="s">
        <v>24</v>
      </c>
      <c r="L28" t="s">
        <v>24</v>
      </c>
      <c r="M28" t="b">
        <v>0</v>
      </c>
      <c r="N28">
        <v>1</v>
      </c>
      <c r="O28" t="b">
        <v>1</v>
      </c>
      <c r="P28">
        <v>3</v>
      </c>
      <c r="Q28">
        <v>13</v>
      </c>
      <c r="R28">
        <v>85.162567138671875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</row>
    <row r="29" spans="1:23">
      <c r="A29" t="s">
        <v>66</v>
      </c>
      <c r="B29" t="s">
        <v>67</v>
      </c>
      <c r="C29" t="s">
        <v>25</v>
      </c>
      <c r="D29" t="s">
        <v>33</v>
      </c>
      <c r="E29" t="s">
        <v>27</v>
      </c>
      <c r="F29" t="s">
        <v>28</v>
      </c>
      <c r="G29">
        <v>6.8665285110473633</v>
      </c>
      <c r="H29">
        <v>6.9259600639343262</v>
      </c>
      <c r="I29">
        <v>8.4048904478549957E-2</v>
      </c>
      <c r="J29">
        <v>233496304</v>
      </c>
      <c r="K29">
        <v>225272224</v>
      </c>
      <c r="L29">
        <v>11630594</v>
      </c>
      <c r="M29" t="b">
        <v>0</v>
      </c>
      <c r="N29">
        <v>1</v>
      </c>
      <c r="O29" t="b">
        <v>1</v>
      </c>
      <c r="P29">
        <v>1</v>
      </c>
      <c r="Q29">
        <v>2</v>
      </c>
      <c r="R29">
        <v>85.162567138671875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</row>
    <row r="30" spans="1:23">
      <c r="A30" t="s">
        <v>68</v>
      </c>
      <c r="B30" t="s">
        <v>67</v>
      </c>
      <c r="C30" t="s">
        <v>25</v>
      </c>
      <c r="D30" t="s">
        <v>33</v>
      </c>
      <c r="E30" t="s">
        <v>27</v>
      </c>
      <c r="F30" t="s">
        <v>28</v>
      </c>
      <c r="G30">
        <v>6.9853916168212891</v>
      </c>
      <c r="H30">
        <v>6.9259600639343262</v>
      </c>
      <c r="I30">
        <v>8.4048904478549957E-2</v>
      </c>
      <c r="J30">
        <v>217048160</v>
      </c>
      <c r="K30">
        <v>225272224</v>
      </c>
      <c r="L30">
        <v>11630594</v>
      </c>
      <c r="M30" t="b">
        <v>0</v>
      </c>
      <c r="N30">
        <v>1</v>
      </c>
      <c r="O30" t="b">
        <v>1</v>
      </c>
      <c r="P30">
        <v>1</v>
      </c>
      <c r="Q30">
        <v>2</v>
      </c>
      <c r="R30">
        <v>85.162567138671875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</row>
    <row r="31" spans="1:23">
      <c r="A31" t="s">
        <v>69</v>
      </c>
      <c r="B31" t="s">
        <v>70</v>
      </c>
      <c r="C31" t="s">
        <v>25</v>
      </c>
      <c r="D31" t="s">
        <v>33</v>
      </c>
      <c r="E31" t="s">
        <v>27</v>
      </c>
      <c r="F31" t="s">
        <v>28</v>
      </c>
      <c r="G31">
        <v>11.170021057128906</v>
      </c>
      <c r="H31">
        <v>11.09300708770752</v>
      </c>
      <c r="I31">
        <v>0.10891419649124146</v>
      </c>
      <c r="J31">
        <v>16584480</v>
      </c>
      <c r="K31">
        <v>17407752</v>
      </c>
      <c r="L31">
        <v>1164282.375</v>
      </c>
      <c r="M31" t="b">
        <v>0</v>
      </c>
      <c r="N31">
        <v>1</v>
      </c>
      <c r="O31" t="b">
        <v>1</v>
      </c>
      <c r="P31">
        <v>3</v>
      </c>
      <c r="Q31">
        <v>4</v>
      </c>
      <c r="R31">
        <v>84.970443725585938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</row>
    <row r="32" spans="1:23">
      <c r="A32" t="s">
        <v>71</v>
      </c>
      <c r="B32" t="s">
        <v>70</v>
      </c>
      <c r="C32" t="s">
        <v>25</v>
      </c>
      <c r="D32" t="s">
        <v>33</v>
      </c>
      <c r="E32" t="s">
        <v>27</v>
      </c>
      <c r="F32" t="s">
        <v>28</v>
      </c>
      <c r="G32">
        <v>11.015993118286133</v>
      </c>
      <c r="H32">
        <v>11.09300708770752</v>
      </c>
      <c r="I32">
        <v>0.10891419649124146</v>
      </c>
      <c r="J32">
        <v>18231024</v>
      </c>
      <c r="K32">
        <v>17407752</v>
      </c>
      <c r="L32">
        <v>1164282.375</v>
      </c>
      <c r="M32" t="b">
        <v>0</v>
      </c>
      <c r="N32">
        <v>1</v>
      </c>
      <c r="O32" t="b">
        <v>1</v>
      </c>
      <c r="P32">
        <v>1</v>
      </c>
      <c r="Q32">
        <v>3</v>
      </c>
      <c r="R32">
        <v>84.970443725585938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</row>
    <row r="33" spans="1:23">
      <c r="A33" t="s">
        <v>72</v>
      </c>
      <c r="B33" t="s">
        <v>73</v>
      </c>
      <c r="C33" t="s">
        <v>25</v>
      </c>
      <c r="D33" t="s">
        <v>33</v>
      </c>
      <c r="E33" t="s">
        <v>27</v>
      </c>
      <c r="F33" t="s">
        <v>28</v>
      </c>
      <c r="G33">
        <v>9.2163763046264648</v>
      </c>
      <c r="H33">
        <v>9.2775535583496094</v>
      </c>
      <c r="I33">
        <v>8.6517028510570526E-2</v>
      </c>
      <c r="J33">
        <v>55095832</v>
      </c>
      <c r="K33">
        <v>53100408</v>
      </c>
      <c r="L33">
        <v>2821955.75</v>
      </c>
      <c r="M33" t="b">
        <v>0</v>
      </c>
      <c r="N33">
        <v>1</v>
      </c>
      <c r="O33" t="b">
        <v>1</v>
      </c>
      <c r="P33">
        <v>1</v>
      </c>
      <c r="Q33">
        <v>3</v>
      </c>
      <c r="R33">
        <v>84.201972961425781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</row>
    <row r="34" spans="1:23">
      <c r="A34" t="s">
        <v>74</v>
      </c>
      <c r="B34" t="s">
        <v>73</v>
      </c>
      <c r="C34" t="s">
        <v>25</v>
      </c>
      <c r="D34" t="s">
        <v>33</v>
      </c>
      <c r="E34" t="s">
        <v>27</v>
      </c>
      <c r="F34" t="s">
        <v>28</v>
      </c>
      <c r="G34">
        <v>9.3387298583984375</v>
      </c>
      <c r="H34">
        <v>9.2775535583496094</v>
      </c>
      <c r="I34">
        <v>8.6517028510570526E-2</v>
      </c>
      <c r="J34">
        <v>51104984</v>
      </c>
      <c r="K34">
        <v>53100408</v>
      </c>
      <c r="L34">
        <v>2821955.75</v>
      </c>
      <c r="M34" t="b">
        <v>0</v>
      </c>
      <c r="N34">
        <v>1</v>
      </c>
      <c r="O34" t="b">
        <v>1</v>
      </c>
      <c r="P34">
        <v>1</v>
      </c>
      <c r="Q34">
        <v>2</v>
      </c>
      <c r="R34">
        <v>84.009857177734375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</row>
    <row r="35" spans="1:23">
      <c r="A35" t="s">
        <v>75</v>
      </c>
      <c r="B35" t="s">
        <v>76</v>
      </c>
      <c r="C35" t="s">
        <v>25</v>
      </c>
      <c r="D35" t="s">
        <v>33</v>
      </c>
      <c r="E35" t="s">
        <v>27</v>
      </c>
      <c r="F35" t="s">
        <v>28</v>
      </c>
      <c r="G35">
        <v>9.5035057067871094</v>
      </c>
      <c r="H35">
        <v>9.4861907958984375</v>
      </c>
      <c r="I35">
        <v>2.4487655609846115E-2</v>
      </c>
      <c r="J35">
        <v>46183356</v>
      </c>
      <c r="K35">
        <v>46680064</v>
      </c>
      <c r="L35">
        <v>702454</v>
      </c>
      <c r="M35" t="b">
        <v>0</v>
      </c>
      <c r="N35">
        <v>1</v>
      </c>
      <c r="O35" t="b">
        <v>1</v>
      </c>
      <c r="P35">
        <v>1</v>
      </c>
      <c r="Q35">
        <v>3</v>
      </c>
      <c r="R35">
        <v>84.009857177734375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</row>
    <row r="36" spans="1:23">
      <c r="A36" t="s">
        <v>77</v>
      </c>
      <c r="B36" t="s">
        <v>76</v>
      </c>
      <c r="C36" t="s">
        <v>25</v>
      </c>
      <c r="D36" t="s">
        <v>33</v>
      </c>
      <c r="E36" t="s">
        <v>27</v>
      </c>
      <c r="F36" t="s">
        <v>28</v>
      </c>
      <c r="G36">
        <v>9.4688749313354492</v>
      </c>
      <c r="H36">
        <v>9.4861907958984375</v>
      </c>
      <c r="I36">
        <v>2.4487655609846115E-2</v>
      </c>
      <c r="J36">
        <v>47176776</v>
      </c>
      <c r="K36">
        <v>46680064</v>
      </c>
      <c r="L36">
        <v>702454</v>
      </c>
      <c r="M36" t="b">
        <v>0</v>
      </c>
      <c r="N36">
        <v>1</v>
      </c>
      <c r="O36" t="b">
        <v>1</v>
      </c>
      <c r="P36">
        <v>1</v>
      </c>
      <c r="Q36">
        <v>3</v>
      </c>
      <c r="R36">
        <v>84.009857177734375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</row>
    <row r="37" spans="1:23">
      <c r="A37" t="s">
        <v>78</v>
      </c>
      <c r="B37" t="s">
        <v>79</v>
      </c>
      <c r="C37" t="s">
        <v>25</v>
      </c>
      <c r="D37" t="s">
        <v>33</v>
      </c>
      <c r="E37" t="s">
        <v>27</v>
      </c>
      <c r="F37" t="s">
        <v>28</v>
      </c>
      <c r="G37">
        <v>8.9155435562133789</v>
      </c>
      <c r="H37">
        <v>8.9277353286743164</v>
      </c>
      <c r="I37">
        <v>1.7241770401597023E-2</v>
      </c>
      <c r="J37">
        <v>66284092</v>
      </c>
      <c r="K37">
        <v>65791168</v>
      </c>
      <c r="L37">
        <v>697102.625</v>
      </c>
      <c r="M37" t="b">
        <v>0</v>
      </c>
      <c r="N37">
        <v>1</v>
      </c>
      <c r="O37" t="b">
        <v>1</v>
      </c>
      <c r="P37">
        <v>1</v>
      </c>
      <c r="Q37">
        <v>2</v>
      </c>
      <c r="R37">
        <v>84.201972961425781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</row>
    <row r="38" spans="1:23">
      <c r="A38" t="s">
        <v>80</v>
      </c>
      <c r="B38" t="s">
        <v>79</v>
      </c>
      <c r="C38" t="s">
        <v>25</v>
      </c>
      <c r="D38" t="s">
        <v>33</v>
      </c>
      <c r="E38" t="s">
        <v>27</v>
      </c>
      <c r="F38" t="s">
        <v>28</v>
      </c>
      <c r="G38">
        <v>8.9399271011352539</v>
      </c>
      <c r="H38">
        <v>8.9277353286743164</v>
      </c>
      <c r="I38">
        <v>1.7241770401597023E-2</v>
      </c>
      <c r="J38">
        <v>65298240</v>
      </c>
      <c r="K38">
        <v>65791168</v>
      </c>
      <c r="L38">
        <v>697102.625</v>
      </c>
      <c r="M38" t="b">
        <v>0</v>
      </c>
      <c r="N38">
        <v>1</v>
      </c>
      <c r="O38" t="b">
        <v>1</v>
      </c>
      <c r="P38">
        <v>1</v>
      </c>
      <c r="Q38">
        <v>2</v>
      </c>
      <c r="R38">
        <v>84.201972961425781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</row>
    <row r="39" spans="1:23">
      <c r="A39" t="s">
        <v>81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>
        <v>24.469749450683594</v>
      </c>
      <c r="H39">
        <v>24.440046310424805</v>
      </c>
      <c r="I39">
        <v>4.2006582021713257E-2</v>
      </c>
      <c r="J39">
        <v>5000</v>
      </c>
      <c r="K39" t="s">
        <v>24</v>
      </c>
      <c r="L39" t="s">
        <v>24</v>
      </c>
      <c r="M39" t="b">
        <v>0</v>
      </c>
      <c r="N39">
        <v>1</v>
      </c>
      <c r="O39" t="b">
        <v>1</v>
      </c>
      <c r="P39">
        <v>3</v>
      </c>
      <c r="Q39">
        <v>18</v>
      </c>
      <c r="R39">
        <v>85.162567138671875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</row>
    <row r="40" spans="1:23">
      <c r="A40" t="s">
        <v>82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>
        <v>24.410343170166016</v>
      </c>
      <c r="H40">
        <v>24.440046310424805</v>
      </c>
      <c r="I40">
        <v>4.2006582021713257E-2</v>
      </c>
      <c r="J40">
        <v>5000</v>
      </c>
      <c r="K40" t="s">
        <v>24</v>
      </c>
      <c r="L40" t="s">
        <v>24</v>
      </c>
      <c r="M40" t="b">
        <v>0</v>
      </c>
      <c r="N40">
        <v>1</v>
      </c>
      <c r="O40" t="b">
        <v>1</v>
      </c>
      <c r="P40">
        <v>3</v>
      </c>
      <c r="Q40">
        <v>18</v>
      </c>
      <c r="R40">
        <v>85.162567138671875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</row>
    <row r="41" spans="1:23">
      <c r="A41" t="s">
        <v>83</v>
      </c>
      <c r="B41" t="s">
        <v>84</v>
      </c>
      <c r="C41" t="s">
        <v>25</v>
      </c>
      <c r="D41" t="s">
        <v>33</v>
      </c>
      <c r="E41" t="s">
        <v>27</v>
      </c>
      <c r="F41" t="s">
        <v>28</v>
      </c>
      <c r="G41">
        <v>8.4231882095336914</v>
      </c>
      <c r="H41">
        <v>8.3888616561889648</v>
      </c>
      <c r="I41">
        <v>4.8545077443122864E-2</v>
      </c>
      <c r="J41">
        <v>89704912</v>
      </c>
      <c r="K41">
        <v>91637744</v>
      </c>
      <c r="L41">
        <v>2733443</v>
      </c>
      <c r="M41" t="b">
        <v>0</v>
      </c>
      <c r="N41">
        <v>1</v>
      </c>
      <c r="O41" t="b">
        <v>1</v>
      </c>
      <c r="P41">
        <v>1</v>
      </c>
      <c r="Q41">
        <v>2</v>
      </c>
      <c r="R41">
        <v>85.546798706054688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</row>
    <row r="42" spans="1:23">
      <c r="A42" t="s">
        <v>85</v>
      </c>
      <c r="B42" t="s">
        <v>84</v>
      </c>
      <c r="C42" t="s">
        <v>25</v>
      </c>
      <c r="D42" t="s">
        <v>33</v>
      </c>
      <c r="E42" t="s">
        <v>27</v>
      </c>
      <c r="F42" t="s">
        <v>28</v>
      </c>
      <c r="G42">
        <v>8.3545351028442383</v>
      </c>
      <c r="H42">
        <v>8.3888616561889648</v>
      </c>
      <c r="I42">
        <v>4.8545077443122864E-2</v>
      </c>
      <c r="J42">
        <v>93570584</v>
      </c>
      <c r="K42">
        <v>91637744</v>
      </c>
      <c r="L42">
        <v>2733443</v>
      </c>
      <c r="M42" t="b">
        <v>0</v>
      </c>
      <c r="N42">
        <v>1</v>
      </c>
      <c r="O42" t="b">
        <v>1</v>
      </c>
      <c r="P42">
        <v>1</v>
      </c>
      <c r="Q42">
        <v>2</v>
      </c>
      <c r="R42">
        <v>85.35467529296875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</row>
    <row r="43" spans="1:23">
      <c r="A43" t="s">
        <v>86</v>
      </c>
      <c r="B43" t="s">
        <v>87</v>
      </c>
      <c r="C43" t="s">
        <v>25</v>
      </c>
      <c r="D43" t="s">
        <v>33</v>
      </c>
      <c r="E43" t="s">
        <v>27</v>
      </c>
      <c r="F43" t="s">
        <v>28</v>
      </c>
      <c r="G43">
        <v>8.5770645141601562</v>
      </c>
      <c r="H43">
        <v>8.5583877563476562</v>
      </c>
      <c r="I43">
        <v>2.6413599029183388E-2</v>
      </c>
      <c r="J43">
        <v>81610776</v>
      </c>
      <c r="K43">
        <v>82558336</v>
      </c>
      <c r="L43">
        <v>1340057.875</v>
      </c>
      <c r="M43" t="b">
        <v>0</v>
      </c>
      <c r="N43">
        <v>1</v>
      </c>
      <c r="O43" t="b">
        <v>1</v>
      </c>
      <c r="P43">
        <v>1</v>
      </c>
      <c r="Q43">
        <v>2</v>
      </c>
      <c r="R43">
        <v>85.35467529296875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</row>
    <row r="44" spans="1:23">
      <c r="A44" t="s">
        <v>88</v>
      </c>
      <c r="B44" t="s">
        <v>87</v>
      </c>
      <c r="C44" t="s">
        <v>25</v>
      </c>
      <c r="D44" t="s">
        <v>33</v>
      </c>
      <c r="E44" t="s">
        <v>27</v>
      </c>
      <c r="F44" t="s">
        <v>28</v>
      </c>
      <c r="G44">
        <v>8.5397100448608398</v>
      </c>
      <c r="H44">
        <v>8.5583877563476562</v>
      </c>
      <c r="I44">
        <v>2.6413599029183388E-2</v>
      </c>
      <c r="J44">
        <v>83505904</v>
      </c>
      <c r="K44">
        <v>82558336</v>
      </c>
      <c r="L44">
        <v>1340057.875</v>
      </c>
      <c r="M44" t="b">
        <v>0</v>
      </c>
      <c r="N44">
        <v>1</v>
      </c>
      <c r="O44" t="b">
        <v>1</v>
      </c>
      <c r="P44">
        <v>1</v>
      </c>
      <c r="Q44">
        <v>2</v>
      </c>
      <c r="R44">
        <v>85.162567138671875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</row>
    <row r="45" spans="1:23">
      <c r="A45" t="s">
        <v>89</v>
      </c>
      <c r="B45" t="s">
        <v>90</v>
      </c>
      <c r="C45" t="s">
        <v>25</v>
      </c>
      <c r="D45" t="s">
        <v>33</v>
      </c>
      <c r="E45" t="s">
        <v>27</v>
      </c>
      <c r="F45" t="s">
        <v>28</v>
      </c>
      <c r="G45">
        <v>10.712945938110352</v>
      </c>
      <c r="H45">
        <v>10.775603294372559</v>
      </c>
      <c r="I45">
        <v>8.8610880076885223E-2</v>
      </c>
      <c r="J45">
        <v>21963050</v>
      </c>
      <c r="K45">
        <v>21149088</v>
      </c>
      <c r="L45">
        <v>1151116.125</v>
      </c>
      <c r="M45" t="b">
        <v>0</v>
      </c>
      <c r="N45">
        <v>1</v>
      </c>
      <c r="O45" t="b">
        <v>1</v>
      </c>
      <c r="P45">
        <v>1</v>
      </c>
      <c r="Q45">
        <v>3</v>
      </c>
      <c r="R45">
        <v>84.201972961425781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</row>
    <row r="46" spans="1:23">
      <c r="A46" t="s">
        <v>91</v>
      </c>
      <c r="B46" t="s">
        <v>90</v>
      </c>
      <c r="C46" t="s">
        <v>25</v>
      </c>
      <c r="D46" t="s">
        <v>33</v>
      </c>
      <c r="E46" t="s">
        <v>27</v>
      </c>
      <c r="F46" t="s">
        <v>28</v>
      </c>
      <c r="G46">
        <v>10.838260650634766</v>
      </c>
      <c r="H46">
        <v>10.775603294372559</v>
      </c>
      <c r="I46">
        <v>8.8610880076885223E-2</v>
      </c>
      <c r="J46">
        <v>20335126</v>
      </c>
      <c r="K46">
        <v>21149088</v>
      </c>
      <c r="L46">
        <v>1151116.125</v>
      </c>
      <c r="M46" t="b">
        <v>0</v>
      </c>
      <c r="N46">
        <v>1</v>
      </c>
      <c r="O46" t="b">
        <v>1</v>
      </c>
      <c r="P46">
        <v>1</v>
      </c>
      <c r="Q46">
        <v>3</v>
      </c>
      <c r="R46">
        <v>83.625617980957031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</row>
    <row r="47" spans="1:23">
      <c r="A47" t="s">
        <v>92</v>
      </c>
      <c r="B47" t="s">
        <v>93</v>
      </c>
      <c r="C47" t="s">
        <v>25</v>
      </c>
      <c r="D47" t="s">
        <v>33</v>
      </c>
      <c r="E47" t="s">
        <v>27</v>
      </c>
      <c r="F47" t="s">
        <v>28</v>
      </c>
      <c r="G47">
        <v>9.9091682434082031</v>
      </c>
      <c r="H47">
        <v>9.8710460662841797</v>
      </c>
      <c r="I47">
        <v>5.3913574665784836E-2</v>
      </c>
      <c r="J47">
        <v>35992868</v>
      </c>
      <c r="K47">
        <v>36856184</v>
      </c>
      <c r="L47">
        <v>1220910.375</v>
      </c>
      <c r="M47" t="b">
        <v>0</v>
      </c>
      <c r="N47">
        <v>1</v>
      </c>
      <c r="O47" t="b">
        <v>1</v>
      </c>
      <c r="P47">
        <v>1</v>
      </c>
      <c r="Q47">
        <v>3</v>
      </c>
      <c r="R47">
        <v>83.817733764648438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</row>
    <row r="48" spans="1:23">
      <c r="A48" t="s">
        <v>94</v>
      </c>
      <c r="B48" t="s">
        <v>93</v>
      </c>
      <c r="C48" t="s">
        <v>25</v>
      </c>
      <c r="D48" t="s">
        <v>33</v>
      </c>
      <c r="E48" t="s">
        <v>27</v>
      </c>
      <c r="F48" t="s">
        <v>28</v>
      </c>
      <c r="G48">
        <v>9.8329229354858398</v>
      </c>
      <c r="H48">
        <v>9.8710460662841797</v>
      </c>
      <c r="I48">
        <v>5.3913574665784836E-2</v>
      </c>
      <c r="J48">
        <v>37719496</v>
      </c>
      <c r="K48">
        <v>36856184</v>
      </c>
      <c r="L48">
        <v>1220910.375</v>
      </c>
      <c r="M48" t="b">
        <v>0</v>
      </c>
      <c r="N48">
        <v>1</v>
      </c>
      <c r="O48" t="b">
        <v>1</v>
      </c>
      <c r="P48">
        <v>1</v>
      </c>
      <c r="Q48">
        <v>3</v>
      </c>
      <c r="R48">
        <v>83.817733764648438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</row>
    <row r="49" spans="1:23">
      <c r="A49" t="s">
        <v>95</v>
      </c>
      <c r="B49" t="s">
        <v>96</v>
      </c>
      <c r="C49" t="s">
        <v>25</v>
      </c>
      <c r="D49" t="s">
        <v>33</v>
      </c>
      <c r="E49" t="s">
        <v>27</v>
      </c>
      <c r="F49" t="s">
        <v>28</v>
      </c>
      <c r="G49">
        <v>9.2843561172485352</v>
      </c>
      <c r="H49">
        <v>9.2954473495483398</v>
      </c>
      <c r="I49">
        <v>1.5685372054576874E-2</v>
      </c>
      <c r="J49">
        <v>52841520</v>
      </c>
      <c r="K49">
        <v>52483792</v>
      </c>
      <c r="L49">
        <v>505903.78125</v>
      </c>
      <c r="M49" t="b">
        <v>0</v>
      </c>
      <c r="N49">
        <v>1</v>
      </c>
      <c r="O49" t="b">
        <v>1</v>
      </c>
      <c r="P49">
        <v>1</v>
      </c>
      <c r="Q49">
        <v>2</v>
      </c>
      <c r="R49">
        <v>83.817733764648438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</row>
    <row r="50" spans="1:23">
      <c r="A50" t="s">
        <v>97</v>
      </c>
      <c r="B50" t="s">
        <v>96</v>
      </c>
      <c r="C50" t="s">
        <v>25</v>
      </c>
      <c r="D50" t="s">
        <v>33</v>
      </c>
      <c r="E50" t="s">
        <v>27</v>
      </c>
      <c r="F50" t="s">
        <v>28</v>
      </c>
      <c r="G50">
        <v>9.3065385818481445</v>
      </c>
      <c r="H50">
        <v>9.2954473495483398</v>
      </c>
      <c r="I50">
        <v>1.5685372054576874E-2</v>
      </c>
      <c r="J50">
        <v>52126064</v>
      </c>
      <c r="K50">
        <v>52483792</v>
      </c>
      <c r="L50">
        <v>505903.78125</v>
      </c>
      <c r="M50" t="b">
        <v>0</v>
      </c>
      <c r="N50">
        <v>1</v>
      </c>
      <c r="O50" t="b">
        <v>1</v>
      </c>
      <c r="P50">
        <v>1</v>
      </c>
      <c r="Q50">
        <v>2</v>
      </c>
      <c r="R50">
        <v>84.009857177734375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</row>
    <row r="51" spans="1:23">
      <c r="A51" t="s">
        <v>98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>
        <v>28.418270111083984</v>
      </c>
      <c r="H51">
        <v>28.499156951904297</v>
      </c>
      <c r="I51">
        <v>0.11438991874456406</v>
      </c>
      <c r="J51">
        <v>500</v>
      </c>
      <c r="K51" t="s">
        <v>24</v>
      </c>
      <c r="L51" t="s">
        <v>24</v>
      </c>
      <c r="M51" t="b">
        <v>0</v>
      </c>
      <c r="N51">
        <v>1</v>
      </c>
      <c r="O51" t="b">
        <v>1</v>
      </c>
      <c r="P51">
        <v>3</v>
      </c>
      <c r="Q51">
        <v>22</v>
      </c>
      <c r="R51">
        <v>84.970443725585938</v>
      </c>
      <c r="S51" t="s">
        <v>24</v>
      </c>
      <c r="T51" t="s">
        <v>24</v>
      </c>
      <c r="U51" t="s">
        <v>24</v>
      </c>
      <c r="V51" t="s">
        <v>29</v>
      </c>
      <c r="W51" t="s">
        <v>29</v>
      </c>
    </row>
    <row r="52" spans="1:23">
      <c r="A52" t="s">
        <v>99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>
        <v>28.580041885375977</v>
      </c>
      <c r="H52">
        <v>28.499156951904297</v>
      </c>
      <c r="I52">
        <v>0.11438991874456406</v>
      </c>
      <c r="J52">
        <v>500</v>
      </c>
      <c r="K52" t="s">
        <v>24</v>
      </c>
      <c r="L52" t="s">
        <v>24</v>
      </c>
      <c r="M52" t="b">
        <v>0</v>
      </c>
      <c r="N52">
        <v>1</v>
      </c>
      <c r="O52" t="b">
        <v>1</v>
      </c>
      <c r="P52">
        <v>3</v>
      </c>
      <c r="Q52">
        <v>21</v>
      </c>
      <c r="R52">
        <v>85.162567138671875</v>
      </c>
      <c r="S52" t="s">
        <v>24</v>
      </c>
      <c r="T52" t="s">
        <v>24</v>
      </c>
      <c r="U52" t="s">
        <v>24</v>
      </c>
      <c r="V52" t="s">
        <v>29</v>
      </c>
      <c r="W52" t="s">
        <v>29</v>
      </c>
    </row>
    <row r="53" spans="1:23">
      <c r="A53" t="s">
        <v>100</v>
      </c>
      <c r="B53" t="s">
        <v>101</v>
      </c>
      <c r="C53" t="s">
        <v>25</v>
      </c>
      <c r="D53" t="s">
        <v>33</v>
      </c>
      <c r="E53" t="s">
        <v>27</v>
      </c>
      <c r="F53" t="s">
        <v>28</v>
      </c>
      <c r="G53">
        <v>10.026359558105469</v>
      </c>
      <c r="H53">
        <v>9.9990997314453125</v>
      </c>
      <c r="I53">
        <v>3.8551889359951019E-2</v>
      </c>
      <c r="J53">
        <v>33491818</v>
      </c>
      <c r="K53">
        <v>34062404</v>
      </c>
      <c r="L53">
        <v>806929.0625</v>
      </c>
      <c r="M53" t="b">
        <v>0</v>
      </c>
      <c r="N53">
        <v>1</v>
      </c>
      <c r="O53" t="b">
        <v>1</v>
      </c>
      <c r="P53">
        <v>3</v>
      </c>
      <c r="Q53">
        <v>4</v>
      </c>
      <c r="R53">
        <v>85.546798706054688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</row>
    <row r="54" spans="1:23">
      <c r="A54" t="s">
        <v>102</v>
      </c>
      <c r="B54" t="s">
        <v>101</v>
      </c>
      <c r="C54" t="s">
        <v>25</v>
      </c>
      <c r="D54" t="s">
        <v>33</v>
      </c>
      <c r="E54" t="s">
        <v>27</v>
      </c>
      <c r="F54" t="s">
        <v>28</v>
      </c>
      <c r="G54">
        <v>9.9718389511108398</v>
      </c>
      <c r="H54">
        <v>9.9990997314453125</v>
      </c>
      <c r="I54">
        <v>3.8551889359951019E-2</v>
      </c>
      <c r="J54">
        <v>34632988</v>
      </c>
      <c r="K54">
        <v>34062404</v>
      </c>
      <c r="L54">
        <v>806929.0625</v>
      </c>
      <c r="M54" t="b">
        <v>0</v>
      </c>
      <c r="N54">
        <v>1</v>
      </c>
      <c r="O54" t="b">
        <v>1</v>
      </c>
      <c r="P54">
        <v>1</v>
      </c>
      <c r="Q54">
        <v>2</v>
      </c>
      <c r="R54">
        <v>85.546798706054688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</row>
    <row r="55" spans="1:23">
      <c r="A55" t="s">
        <v>103</v>
      </c>
      <c r="B55" t="s">
        <v>104</v>
      </c>
      <c r="C55" t="s">
        <v>25</v>
      </c>
      <c r="D55" t="s">
        <v>33</v>
      </c>
      <c r="E55" t="s">
        <v>27</v>
      </c>
      <c r="F55" t="s">
        <v>28</v>
      </c>
      <c r="G55">
        <v>7.9436359405517578</v>
      </c>
      <c r="H55">
        <v>7.8714427947998047</v>
      </c>
      <c r="I55">
        <v>0.10209686309099197</v>
      </c>
      <c r="J55">
        <v>120449784</v>
      </c>
      <c r="K55">
        <v>126037952</v>
      </c>
      <c r="L55">
        <v>7902857.5</v>
      </c>
      <c r="M55" t="b">
        <v>0</v>
      </c>
      <c r="N55">
        <v>1</v>
      </c>
      <c r="O55" t="b">
        <v>1</v>
      </c>
      <c r="P55">
        <v>1</v>
      </c>
      <c r="Q55">
        <v>2</v>
      </c>
      <c r="R55">
        <v>85.162567138671875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</row>
    <row r="56" spans="1:23">
      <c r="A56" t="s">
        <v>105</v>
      </c>
      <c r="B56" t="s">
        <v>104</v>
      </c>
      <c r="C56" t="s">
        <v>25</v>
      </c>
      <c r="D56" t="s">
        <v>33</v>
      </c>
      <c r="E56" t="s">
        <v>27</v>
      </c>
      <c r="F56" t="s">
        <v>28</v>
      </c>
      <c r="G56">
        <v>7.7992491722106934</v>
      </c>
      <c r="H56">
        <v>7.8714427947998047</v>
      </c>
      <c r="I56">
        <v>0.10209686309099197</v>
      </c>
      <c r="J56">
        <v>131626112</v>
      </c>
      <c r="K56">
        <v>126037952</v>
      </c>
      <c r="L56">
        <v>7902857.5</v>
      </c>
      <c r="M56" t="b">
        <v>0</v>
      </c>
      <c r="N56">
        <v>1</v>
      </c>
      <c r="O56" t="b">
        <v>1</v>
      </c>
      <c r="P56">
        <v>1</v>
      </c>
      <c r="Q56">
        <v>2</v>
      </c>
      <c r="R56">
        <v>84.970443725585938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</row>
    <row r="57" spans="1:23">
      <c r="A57" t="s">
        <v>106</v>
      </c>
      <c r="B57" t="s">
        <v>107</v>
      </c>
      <c r="C57" t="s">
        <v>25</v>
      </c>
      <c r="D57" t="s">
        <v>33</v>
      </c>
      <c r="E57" t="s">
        <v>27</v>
      </c>
      <c r="F57" t="s">
        <v>28</v>
      </c>
      <c r="G57">
        <v>8.8634824752807617</v>
      </c>
      <c r="H57">
        <v>8.9117879867553711</v>
      </c>
      <c r="I57">
        <v>6.8314306437969208E-2</v>
      </c>
      <c r="J57">
        <v>68439072</v>
      </c>
      <c r="K57">
        <v>66466528</v>
      </c>
      <c r="L57">
        <v>2789601.25</v>
      </c>
      <c r="M57" t="b">
        <v>0</v>
      </c>
      <c r="N57">
        <v>1</v>
      </c>
      <c r="O57" t="b">
        <v>1</v>
      </c>
      <c r="P57">
        <v>1</v>
      </c>
      <c r="Q57">
        <v>2</v>
      </c>
      <c r="R57">
        <v>84.778327941894531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</row>
    <row r="58" spans="1:23">
      <c r="A58" t="s">
        <v>108</v>
      </c>
      <c r="B58" t="s">
        <v>107</v>
      </c>
      <c r="C58" t="s">
        <v>25</v>
      </c>
      <c r="D58" t="s">
        <v>33</v>
      </c>
      <c r="E58" t="s">
        <v>27</v>
      </c>
      <c r="F58" t="s">
        <v>28</v>
      </c>
      <c r="G58">
        <v>8.9600934982299805</v>
      </c>
      <c r="H58">
        <v>8.9117879867553711</v>
      </c>
      <c r="I58">
        <v>6.8314306437969208E-2</v>
      </c>
      <c r="J58">
        <v>64493980</v>
      </c>
      <c r="K58">
        <v>66466528</v>
      </c>
      <c r="L58">
        <v>2789601.25</v>
      </c>
      <c r="M58" t="b">
        <v>0</v>
      </c>
      <c r="N58">
        <v>1</v>
      </c>
      <c r="O58" t="b">
        <v>1</v>
      </c>
      <c r="P58">
        <v>1</v>
      </c>
      <c r="Q58">
        <v>2</v>
      </c>
      <c r="R58">
        <v>84.586212158203125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</row>
    <row r="59" spans="1:23">
      <c r="A59" t="s">
        <v>109</v>
      </c>
      <c r="B59" t="s">
        <v>110</v>
      </c>
      <c r="C59" t="s">
        <v>25</v>
      </c>
      <c r="D59" t="s">
        <v>33</v>
      </c>
      <c r="E59" t="s">
        <v>27</v>
      </c>
      <c r="F59" t="s">
        <v>28</v>
      </c>
      <c r="G59">
        <v>9.4886884689331055</v>
      </c>
      <c r="H59">
        <v>9.4739475250244141</v>
      </c>
      <c r="I59">
        <v>2.0847517997026443E-2</v>
      </c>
      <c r="J59">
        <v>46605820</v>
      </c>
      <c r="K59">
        <v>47031884</v>
      </c>
      <c r="L59">
        <v>602545.5</v>
      </c>
      <c r="M59" t="b">
        <v>0</v>
      </c>
      <c r="N59">
        <v>1</v>
      </c>
      <c r="O59" t="b">
        <v>1</v>
      </c>
      <c r="P59">
        <v>1</v>
      </c>
      <c r="Q59">
        <v>3</v>
      </c>
      <c r="R59">
        <v>84.394088745117188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</row>
    <row r="60" spans="1:23">
      <c r="A60" t="s">
        <v>111</v>
      </c>
      <c r="B60" t="s">
        <v>110</v>
      </c>
      <c r="C60" t="s">
        <v>25</v>
      </c>
      <c r="D60" t="s">
        <v>33</v>
      </c>
      <c r="E60" t="s">
        <v>27</v>
      </c>
      <c r="F60" t="s">
        <v>28</v>
      </c>
      <c r="G60">
        <v>9.4592056274414062</v>
      </c>
      <c r="H60">
        <v>9.4739475250244141</v>
      </c>
      <c r="I60">
        <v>2.0847517997026443E-2</v>
      </c>
      <c r="J60">
        <v>47457948</v>
      </c>
      <c r="K60">
        <v>47031884</v>
      </c>
      <c r="L60">
        <v>602545.5</v>
      </c>
      <c r="M60" t="b">
        <v>0</v>
      </c>
      <c r="N60">
        <v>1</v>
      </c>
      <c r="O60" t="b">
        <v>1</v>
      </c>
      <c r="P60">
        <v>1</v>
      </c>
      <c r="Q60">
        <v>2</v>
      </c>
      <c r="R60">
        <v>84.394088745117188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</row>
    <row r="61" spans="1:23">
      <c r="A61" t="s">
        <v>112</v>
      </c>
      <c r="B61" t="s">
        <v>113</v>
      </c>
      <c r="C61" t="s">
        <v>25</v>
      </c>
      <c r="D61" t="s">
        <v>33</v>
      </c>
      <c r="E61" t="s">
        <v>27</v>
      </c>
      <c r="F61" t="s">
        <v>28</v>
      </c>
      <c r="G61">
        <v>10.34200382232666</v>
      </c>
      <c r="H61">
        <v>10.383481979370117</v>
      </c>
      <c r="I61">
        <v>5.865829810500145E-2</v>
      </c>
      <c r="J61">
        <v>27586400</v>
      </c>
      <c r="K61">
        <v>26900848</v>
      </c>
      <c r="L61">
        <v>969518.375</v>
      </c>
      <c r="M61" t="b">
        <v>0</v>
      </c>
      <c r="N61">
        <v>1</v>
      </c>
      <c r="O61" t="b">
        <v>1</v>
      </c>
      <c r="P61">
        <v>3</v>
      </c>
      <c r="Q61">
        <v>5</v>
      </c>
      <c r="R61">
        <v>84.201972961425781</v>
      </c>
      <c r="S61">
        <v>91.11822509765625</v>
      </c>
      <c r="T61" t="s">
        <v>24</v>
      </c>
      <c r="U61" t="s">
        <v>24</v>
      </c>
      <c r="V61" t="s">
        <v>29</v>
      </c>
      <c r="W61" t="s">
        <v>114</v>
      </c>
    </row>
    <row r="62" spans="1:23">
      <c r="A62" t="s">
        <v>115</v>
      </c>
      <c r="B62" t="s">
        <v>113</v>
      </c>
      <c r="C62" t="s">
        <v>25</v>
      </c>
      <c r="D62" t="s">
        <v>33</v>
      </c>
      <c r="E62" t="s">
        <v>27</v>
      </c>
      <c r="F62" t="s">
        <v>28</v>
      </c>
      <c r="G62">
        <v>10.424959182739258</v>
      </c>
      <c r="H62">
        <v>10.383481979370117</v>
      </c>
      <c r="I62">
        <v>5.865829810500145E-2</v>
      </c>
      <c r="J62">
        <v>26215294</v>
      </c>
      <c r="K62">
        <v>26900848</v>
      </c>
      <c r="L62">
        <v>969518.375</v>
      </c>
      <c r="M62" t="b">
        <v>0</v>
      </c>
      <c r="N62">
        <v>1</v>
      </c>
      <c r="O62" t="b">
        <v>1</v>
      </c>
      <c r="P62">
        <v>3</v>
      </c>
      <c r="Q62">
        <v>4</v>
      </c>
      <c r="R62">
        <v>84.201972961425781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</row>
    <row r="63" spans="1:23">
      <c r="A63" t="s">
        <v>116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b">
        <v>0</v>
      </c>
      <c r="N63">
        <v>1</v>
      </c>
      <c r="O63" t="b">
        <v>1</v>
      </c>
      <c r="P63">
        <v>3</v>
      </c>
      <c r="Q63">
        <v>22</v>
      </c>
      <c r="R63" t="s">
        <v>24</v>
      </c>
      <c r="S63" t="s">
        <v>24</v>
      </c>
      <c r="T63" t="s">
        <v>24</v>
      </c>
      <c r="U63" t="s">
        <v>24</v>
      </c>
      <c r="V63" t="s">
        <v>29</v>
      </c>
      <c r="W63" t="s">
        <v>29</v>
      </c>
    </row>
    <row r="64" spans="1:23">
      <c r="A64" t="s">
        <v>117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b">
        <v>0</v>
      </c>
      <c r="N64">
        <v>1</v>
      </c>
      <c r="O64" t="b">
        <v>1</v>
      </c>
      <c r="P64">
        <v>3</v>
      </c>
      <c r="Q64">
        <v>22</v>
      </c>
      <c r="R64" t="s">
        <v>24</v>
      </c>
      <c r="S64" t="s">
        <v>24</v>
      </c>
      <c r="T64" t="s">
        <v>24</v>
      </c>
      <c r="U64" t="s">
        <v>24</v>
      </c>
      <c r="V64" t="s">
        <v>29</v>
      </c>
      <c r="W64" t="s">
        <v>29</v>
      </c>
    </row>
    <row r="65" spans="1:23">
      <c r="A65" t="s">
        <v>118</v>
      </c>
      <c r="B65" t="s">
        <v>119</v>
      </c>
      <c r="C65" t="s">
        <v>25</v>
      </c>
      <c r="D65" t="s">
        <v>33</v>
      </c>
      <c r="E65" t="s">
        <v>27</v>
      </c>
      <c r="F65" t="s">
        <v>28</v>
      </c>
      <c r="G65">
        <v>10.314961433410645</v>
      </c>
      <c r="H65">
        <v>10.307173728942871</v>
      </c>
      <c r="I65">
        <v>1.1013477109372616E-2</v>
      </c>
      <c r="J65">
        <v>28048684</v>
      </c>
      <c r="K65">
        <v>28183568</v>
      </c>
      <c r="L65">
        <v>190753.375</v>
      </c>
      <c r="M65" t="b">
        <v>0</v>
      </c>
      <c r="N65">
        <v>1</v>
      </c>
      <c r="O65" t="b">
        <v>1</v>
      </c>
      <c r="P65">
        <v>3</v>
      </c>
      <c r="Q65">
        <v>4</v>
      </c>
      <c r="R65">
        <v>85.35467529296875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</row>
    <row r="66" spans="1:23">
      <c r="A66" t="s">
        <v>120</v>
      </c>
      <c r="B66" t="s">
        <v>119</v>
      </c>
      <c r="C66" t="s">
        <v>25</v>
      </c>
      <c r="D66" t="s">
        <v>33</v>
      </c>
      <c r="E66" t="s">
        <v>27</v>
      </c>
      <c r="F66" t="s">
        <v>28</v>
      </c>
      <c r="G66">
        <v>10.299386024475098</v>
      </c>
      <c r="H66">
        <v>10.307173728942871</v>
      </c>
      <c r="I66">
        <v>1.1013477109372616E-2</v>
      </c>
      <c r="J66">
        <v>28318450</v>
      </c>
      <c r="K66">
        <v>28183568</v>
      </c>
      <c r="L66">
        <v>190753.375</v>
      </c>
      <c r="M66" t="b">
        <v>0</v>
      </c>
      <c r="N66">
        <v>1</v>
      </c>
      <c r="O66" t="b">
        <v>1</v>
      </c>
      <c r="P66">
        <v>1</v>
      </c>
      <c r="Q66">
        <v>3</v>
      </c>
      <c r="R66">
        <v>85.546798706054688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</row>
    <row r="67" spans="1:23">
      <c r="A67" t="s">
        <v>121</v>
      </c>
      <c r="B67" t="s">
        <v>122</v>
      </c>
      <c r="C67" t="s">
        <v>25</v>
      </c>
      <c r="D67" t="s">
        <v>33</v>
      </c>
      <c r="E67" t="s">
        <v>27</v>
      </c>
      <c r="F67" t="s">
        <v>28</v>
      </c>
      <c r="G67">
        <v>7.7692289352416992</v>
      </c>
      <c r="H67">
        <v>7.8033504486083984</v>
      </c>
      <c r="I67">
        <v>4.8255443572998047E-2</v>
      </c>
      <c r="J67">
        <v>134077000</v>
      </c>
      <c r="K67">
        <v>131323624</v>
      </c>
      <c r="L67">
        <v>3893861.75</v>
      </c>
      <c r="M67" t="b">
        <v>0</v>
      </c>
      <c r="N67">
        <v>1</v>
      </c>
      <c r="O67" t="b">
        <v>1</v>
      </c>
      <c r="P67">
        <v>1</v>
      </c>
      <c r="Q67">
        <v>2</v>
      </c>
      <c r="R67">
        <v>85.35467529296875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</row>
    <row r="68" spans="1:23">
      <c r="A68" t="s">
        <v>123</v>
      </c>
      <c r="B68" t="s">
        <v>122</v>
      </c>
      <c r="C68" t="s">
        <v>25</v>
      </c>
      <c r="D68" t="s">
        <v>33</v>
      </c>
      <c r="E68" t="s">
        <v>27</v>
      </c>
      <c r="F68" t="s">
        <v>28</v>
      </c>
      <c r="G68">
        <v>7.8374724388122559</v>
      </c>
      <c r="H68">
        <v>7.8033504486083984</v>
      </c>
      <c r="I68">
        <v>4.8255443572998047E-2</v>
      </c>
      <c r="J68">
        <v>128570248</v>
      </c>
      <c r="K68">
        <v>131323624</v>
      </c>
      <c r="L68">
        <v>3893861.75</v>
      </c>
      <c r="M68" t="b">
        <v>0</v>
      </c>
      <c r="N68">
        <v>1</v>
      </c>
      <c r="O68" t="b">
        <v>1</v>
      </c>
      <c r="P68">
        <v>1</v>
      </c>
      <c r="Q68">
        <v>2</v>
      </c>
      <c r="R68">
        <v>85.162567138671875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</row>
    <row r="69" spans="1:23">
      <c r="A69" t="s">
        <v>124</v>
      </c>
      <c r="B69" t="s">
        <v>125</v>
      </c>
      <c r="C69" t="s">
        <v>25</v>
      </c>
      <c r="D69" t="s">
        <v>33</v>
      </c>
      <c r="E69" t="s">
        <v>27</v>
      </c>
      <c r="F69" t="s">
        <v>28</v>
      </c>
      <c r="G69">
        <v>7.723505973815918</v>
      </c>
      <c r="H69">
        <v>7.7522029876708984</v>
      </c>
      <c r="I69">
        <v>4.058404266834259E-2</v>
      </c>
      <c r="J69">
        <v>137897856</v>
      </c>
      <c r="K69">
        <v>135508304</v>
      </c>
      <c r="L69">
        <v>3379342.5</v>
      </c>
      <c r="M69" t="b">
        <v>0</v>
      </c>
      <c r="N69">
        <v>1</v>
      </c>
      <c r="O69" t="b">
        <v>1</v>
      </c>
      <c r="P69">
        <v>1</v>
      </c>
      <c r="Q69">
        <v>2</v>
      </c>
      <c r="R69">
        <v>85.162567138671875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</row>
    <row r="70" spans="1:23">
      <c r="A70" t="s">
        <v>126</v>
      </c>
      <c r="B70" t="s">
        <v>125</v>
      </c>
      <c r="C70" t="s">
        <v>25</v>
      </c>
      <c r="D70" t="s">
        <v>33</v>
      </c>
      <c r="E70" t="s">
        <v>27</v>
      </c>
      <c r="F70" t="s">
        <v>28</v>
      </c>
      <c r="G70">
        <v>7.7809004783630371</v>
      </c>
      <c r="H70">
        <v>7.7522029876708984</v>
      </c>
      <c r="I70">
        <v>4.058404266834259E-2</v>
      </c>
      <c r="J70">
        <v>133118744</v>
      </c>
      <c r="K70">
        <v>135508304</v>
      </c>
      <c r="L70">
        <v>3379342.5</v>
      </c>
      <c r="M70" t="b">
        <v>0</v>
      </c>
      <c r="N70">
        <v>1</v>
      </c>
      <c r="O70" t="b">
        <v>1</v>
      </c>
      <c r="P70">
        <v>1</v>
      </c>
      <c r="Q70">
        <v>2</v>
      </c>
      <c r="R70">
        <v>85.162567138671875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</row>
    <row r="71" spans="1:23">
      <c r="A71" t="s">
        <v>127</v>
      </c>
      <c r="B71" t="s">
        <v>128</v>
      </c>
      <c r="C71" t="s">
        <v>25</v>
      </c>
      <c r="D71" t="s">
        <v>33</v>
      </c>
      <c r="E71" t="s">
        <v>27</v>
      </c>
      <c r="F71" t="s">
        <v>28</v>
      </c>
      <c r="G71">
        <v>9.600316047668457</v>
      </c>
      <c r="H71">
        <v>9.6474533081054688</v>
      </c>
      <c r="I71">
        <v>6.6661477088928223E-2</v>
      </c>
      <c r="J71">
        <v>43515840</v>
      </c>
      <c r="K71">
        <v>42291104</v>
      </c>
      <c r="L71">
        <v>1732038.25</v>
      </c>
      <c r="M71" t="b">
        <v>0</v>
      </c>
      <c r="N71">
        <v>1</v>
      </c>
      <c r="O71" t="b">
        <v>1</v>
      </c>
      <c r="P71">
        <v>1</v>
      </c>
      <c r="Q71">
        <v>3</v>
      </c>
      <c r="R71">
        <v>84.586212158203125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</row>
    <row r="72" spans="1:23">
      <c r="A72" t="s">
        <v>129</v>
      </c>
      <c r="B72" t="s">
        <v>128</v>
      </c>
      <c r="C72" t="s">
        <v>25</v>
      </c>
      <c r="D72" t="s">
        <v>33</v>
      </c>
      <c r="E72" t="s">
        <v>27</v>
      </c>
      <c r="F72" t="s">
        <v>28</v>
      </c>
      <c r="G72">
        <v>9.6945896148681641</v>
      </c>
      <c r="H72">
        <v>9.6474533081054688</v>
      </c>
      <c r="I72">
        <v>6.6661477088928223E-2</v>
      </c>
      <c r="J72">
        <v>41066368</v>
      </c>
      <c r="K72">
        <v>42291104</v>
      </c>
      <c r="L72">
        <v>1732038.25</v>
      </c>
      <c r="M72" t="b">
        <v>0</v>
      </c>
      <c r="N72">
        <v>1</v>
      </c>
      <c r="O72" t="b">
        <v>1</v>
      </c>
      <c r="P72">
        <v>1</v>
      </c>
      <c r="Q72">
        <v>3</v>
      </c>
      <c r="R72">
        <v>84.394088745117188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</row>
    <row r="73" spans="1:23">
      <c r="A73" t="s">
        <v>130</v>
      </c>
      <c r="B73" t="s">
        <v>131</v>
      </c>
      <c r="C73" t="s">
        <v>25</v>
      </c>
      <c r="D73" t="s">
        <v>33</v>
      </c>
      <c r="E73" t="s">
        <v>27</v>
      </c>
      <c r="F73" t="s">
        <v>28</v>
      </c>
      <c r="G73">
        <v>9.5836963653564453</v>
      </c>
      <c r="H73">
        <v>9.5640449523925781</v>
      </c>
      <c r="I73">
        <v>2.7791969478130341E-2</v>
      </c>
      <c r="J73">
        <v>43962568</v>
      </c>
      <c r="K73">
        <v>44499968</v>
      </c>
      <c r="L73">
        <v>760001.1875</v>
      </c>
      <c r="M73" t="b">
        <v>0</v>
      </c>
      <c r="N73">
        <v>1</v>
      </c>
      <c r="O73" t="b">
        <v>1</v>
      </c>
      <c r="P73">
        <v>1</v>
      </c>
      <c r="Q73">
        <v>2</v>
      </c>
      <c r="R73">
        <v>84.586212158203125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</row>
    <row r="74" spans="1:23">
      <c r="A74" t="s">
        <v>132</v>
      </c>
      <c r="B74" t="s">
        <v>131</v>
      </c>
      <c r="C74" t="s">
        <v>25</v>
      </c>
      <c r="D74" t="s">
        <v>33</v>
      </c>
      <c r="E74" t="s">
        <v>27</v>
      </c>
      <c r="F74" t="s">
        <v>28</v>
      </c>
      <c r="G74">
        <v>9.5443925857543945</v>
      </c>
      <c r="H74">
        <v>9.5640449523925781</v>
      </c>
      <c r="I74">
        <v>2.7791969478130341E-2</v>
      </c>
      <c r="J74">
        <v>45037372</v>
      </c>
      <c r="K74">
        <v>44499968</v>
      </c>
      <c r="L74">
        <v>760001.1875</v>
      </c>
      <c r="M74" t="b">
        <v>0</v>
      </c>
      <c r="N74">
        <v>1</v>
      </c>
      <c r="O74" t="b">
        <v>1</v>
      </c>
      <c r="P74">
        <v>1</v>
      </c>
      <c r="Q74">
        <v>2</v>
      </c>
      <c r="R74">
        <v>84.394088745117188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</row>
    <row r="75" spans="1:23">
      <c r="A75" t="s">
        <v>133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b">
        <v>0</v>
      </c>
      <c r="N75">
        <v>1</v>
      </c>
      <c r="O75" t="b">
        <v>1</v>
      </c>
      <c r="P75">
        <v>3</v>
      </c>
      <c r="Q75">
        <v>26</v>
      </c>
      <c r="R75" t="s">
        <v>24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</row>
    <row r="76" spans="1:23">
      <c r="A76" t="s">
        <v>134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>
        <v>34.937259674072266</v>
      </c>
      <c r="H76">
        <v>34.937259674072266</v>
      </c>
      <c r="I76" t="s">
        <v>24</v>
      </c>
      <c r="J76">
        <v>5</v>
      </c>
      <c r="K76" t="s">
        <v>24</v>
      </c>
      <c r="L76" t="s">
        <v>24</v>
      </c>
      <c r="M76" t="b">
        <v>0</v>
      </c>
      <c r="N76">
        <v>1</v>
      </c>
      <c r="O76" t="b">
        <v>1</v>
      </c>
      <c r="P76">
        <v>3</v>
      </c>
      <c r="Q76">
        <v>27</v>
      </c>
      <c r="R76">
        <v>78.054183959960938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</row>
    <row r="77" spans="1:23">
      <c r="A77" t="s">
        <v>135</v>
      </c>
      <c r="B77" t="s">
        <v>136</v>
      </c>
      <c r="C77" t="s">
        <v>25</v>
      </c>
      <c r="D77" t="s">
        <v>33</v>
      </c>
      <c r="E77" t="s">
        <v>27</v>
      </c>
      <c r="F77" t="s">
        <v>28</v>
      </c>
      <c r="G77">
        <v>10.187539100646973</v>
      </c>
      <c r="H77">
        <v>10.12251091003418</v>
      </c>
      <c r="I77">
        <v>9.196307510137558E-2</v>
      </c>
      <c r="J77">
        <v>30333380</v>
      </c>
      <c r="K77">
        <v>31595340</v>
      </c>
      <c r="L77">
        <v>1784681</v>
      </c>
      <c r="M77" t="b">
        <v>0</v>
      </c>
      <c r="N77">
        <v>1</v>
      </c>
      <c r="O77" t="b">
        <v>1</v>
      </c>
      <c r="P77">
        <v>1</v>
      </c>
      <c r="Q77">
        <v>3</v>
      </c>
      <c r="R77">
        <v>85.546798706054688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</row>
    <row r="78" spans="1:23">
      <c r="A78" t="s">
        <v>137</v>
      </c>
      <c r="B78" t="s">
        <v>136</v>
      </c>
      <c r="C78" t="s">
        <v>25</v>
      </c>
      <c r="D78" t="s">
        <v>33</v>
      </c>
      <c r="E78" t="s">
        <v>27</v>
      </c>
      <c r="F78" t="s">
        <v>28</v>
      </c>
      <c r="G78">
        <v>10.057483673095703</v>
      </c>
      <c r="H78">
        <v>10.12251091003418</v>
      </c>
      <c r="I78">
        <v>9.196307510137558E-2</v>
      </c>
      <c r="J78">
        <v>32857300</v>
      </c>
      <c r="K78">
        <v>31595340</v>
      </c>
      <c r="L78">
        <v>1784681</v>
      </c>
      <c r="M78" t="b">
        <v>0</v>
      </c>
      <c r="N78">
        <v>1</v>
      </c>
      <c r="O78" t="b">
        <v>1</v>
      </c>
      <c r="P78">
        <v>1</v>
      </c>
      <c r="Q78">
        <v>2</v>
      </c>
      <c r="R78">
        <v>85.546798706054688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</row>
    <row r="79" spans="1:23">
      <c r="A79" t="s">
        <v>138</v>
      </c>
      <c r="B79" t="s">
        <v>139</v>
      </c>
      <c r="C79" t="s">
        <v>25</v>
      </c>
      <c r="D79" t="s">
        <v>33</v>
      </c>
      <c r="E79" t="s">
        <v>27</v>
      </c>
      <c r="F79" t="s">
        <v>28</v>
      </c>
      <c r="G79">
        <v>10.101279258728027</v>
      </c>
      <c r="H79">
        <v>10.052859306335449</v>
      </c>
      <c r="I79">
        <v>6.8476155400276184E-2</v>
      </c>
      <c r="J79">
        <v>31984758</v>
      </c>
      <c r="K79">
        <v>32965400</v>
      </c>
      <c r="L79">
        <v>1386835.75</v>
      </c>
      <c r="M79" t="b">
        <v>0</v>
      </c>
      <c r="N79">
        <v>1</v>
      </c>
      <c r="O79" t="b">
        <v>1</v>
      </c>
      <c r="P79">
        <v>1</v>
      </c>
      <c r="Q79">
        <v>2</v>
      </c>
      <c r="R79">
        <v>84.778327941894531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</row>
    <row r="80" spans="1:23">
      <c r="A80" t="s">
        <v>140</v>
      </c>
      <c r="B80" t="s">
        <v>139</v>
      </c>
      <c r="C80" t="s">
        <v>25</v>
      </c>
      <c r="D80" t="s">
        <v>33</v>
      </c>
      <c r="E80" t="s">
        <v>27</v>
      </c>
      <c r="F80" t="s">
        <v>28</v>
      </c>
      <c r="G80">
        <v>10.004439353942871</v>
      </c>
      <c r="H80">
        <v>10.052859306335449</v>
      </c>
      <c r="I80">
        <v>6.8476155400276184E-2</v>
      </c>
      <c r="J80">
        <v>33946040</v>
      </c>
      <c r="K80">
        <v>32965400</v>
      </c>
      <c r="L80">
        <v>1386835.75</v>
      </c>
      <c r="M80" t="b">
        <v>0</v>
      </c>
      <c r="N80">
        <v>1</v>
      </c>
      <c r="O80" t="b">
        <v>1</v>
      </c>
      <c r="P80">
        <v>1</v>
      </c>
      <c r="Q80">
        <v>3</v>
      </c>
      <c r="R80">
        <v>84.586212158203125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</row>
    <row r="81" spans="1:23">
      <c r="A81" t="s">
        <v>141</v>
      </c>
      <c r="B81" t="s">
        <v>142</v>
      </c>
      <c r="C81" t="s">
        <v>25</v>
      </c>
      <c r="D81" t="s">
        <v>33</v>
      </c>
      <c r="E81" t="s">
        <v>27</v>
      </c>
      <c r="F81" t="s">
        <v>28</v>
      </c>
      <c r="G81">
        <v>9.9979915618896484</v>
      </c>
      <c r="H81">
        <v>10.022857666015625</v>
      </c>
      <c r="I81">
        <v>3.5165306180715561E-2</v>
      </c>
      <c r="J81">
        <v>34080816</v>
      </c>
      <c r="K81">
        <v>33567904</v>
      </c>
      <c r="L81">
        <v>725369.9375</v>
      </c>
      <c r="M81" t="b">
        <v>0</v>
      </c>
      <c r="N81">
        <v>1</v>
      </c>
      <c r="O81" t="b">
        <v>1</v>
      </c>
      <c r="P81">
        <v>1</v>
      </c>
      <c r="Q81">
        <v>2</v>
      </c>
      <c r="R81">
        <v>85.162567138671875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</row>
    <row r="82" spans="1:23">
      <c r="A82" t="s">
        <v>143</v>
      </c>
      <c r="B82" t="s">
        <v>142</v>
      </c>
      <c r="C82" t="s">
        <v>25</v>
      </c>
      <c r="D82" t="s">
        <v>33</v>
      </c>
      <c r="E82" t="s">
        <v>27</v>
      </c>
      <c r="F82" t="s">
        <v>28</v>
      </c>
      <c r="G82">
        <v>10.047722816467285</v>
      </c>
      <c r="H82">
        <v>10.022857666015625</v>
      </c>
      <c r="I82">
        <v>3.5165306180715561E-2</v>
      </c>
      <c r="J82">
        <v>33054988</v>
      </c>
      <c r="K82">
        <v>33567904</v>
      </c>
      <c r="L82">
        <v>725369.9375</v>
      </c>
      <c r="M82" t="b">
        <v>0</v>
      </c>
      <c r="N82">
        <v>1</v>
      </c>
      <c r="O82" t="b">
        <v>1</v>
      </c>
      <c r="P82">
        <v>1</v>
      </c>
      <c r="Q82">
        <v>3</v>
      </c>
      <c r="R82">
        <v>84.970443725585938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</row>
    <row r="83" spans="1:23">
      <c r="A83" t="s">
        <v>144</v>
      </c>
      <c r="B83" t="s">
        <v>145</v>
      </c>
      <c r="C83" t="s">
        <v>25</v>
      </c>
      <c r="D83" t="s">
        <v>33</v>
      </c>
      <c r="E83" t="s">
        <v>27</v>
      </c>
      <c r="F83" t="s">
        <v>28</v>
      </c>
      <c r="G83">
        <v>10.234784126281738</v>
      </c>
      <c r="H83">
        <v>10.225210189819336</v>
      </c>
      <c r="I83">
        <v>1.3539590872824192E-2</v>
      </c>
      <c r="J83">
        <v>29465334</v>
      </c>
      <c r="K83">
        <v>29639722</v>
      </c>
      <c r="L83">
        <v>246621.875</v>
      </c>
      <c r="M83" t="b">
        <v>0</v>
      </c>
      <c r="N83">
        <v>1</v>
      </c>
      <c r="O83" t="b">
        <v>1</v>
      </c>
      <c r="P83">
        <v>1</v>
      </c>
      <c r="Q83">
        <v>2</v>
      </c>
      <c r="R83">
        <v>84.970443725585938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</row>
    <row r="84" spans="1:23">
      <c r="A84" t="s">
        <v>146</v>
      </c>
      <c r="B84" t="s">
        <v>145</v>
      </c>
      <c r="C84" t="s">
        <v>25</v>
      </c>
      <c r="D84" t="s">
        <v>33</v>
      </c>
      <c r="E84" t="s">
        <v>27</v>
      </c>
      <c r="F84" t="s">
        <v>28</v>
      </c>
      <c r="G84">
        <v>10.215636253356934</v>
      </c>
      <c r="H84">
        <v>10.225210189819336</v>
      </c>
      <c r="I84">
        <v>1.3539590872824192E-2</v>
      </c>
      <c r="J84">
        <v>29814110</v>
      </c>
      <c r="K84">
        <v>29639722</v>
      </c>
      <c r="L84">
        <v>246621.875</v>
      </c>
      <c r="M84" t="b">
        <v>0</v>
      </c>
      <c r="N84">
        <v>1</v>
      </c>
      <c r="O84" t="b">
        <v>1</v>
      </c>
      <c r="P84">
        <v>1</v>
      </c>
      <c r="Q84">
        <v>2</v>
      </c>
      <c r="R84">
        <v>84.778327941894531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</row>
    <row r="85" spans="1:23">
      <c r="A85" t="s">
        <v>147</v>
      </c>
      <c r="B85" t="s">
        <v>148</v>
      </c>
      <c r="C85" t="s">
        <v>25</v>
      </c>
      <c r="D85" t="s">
        <v>33</v>
      </c>
      <c r="E85" t="s">
        <v>27</v>
      </c>
      <c r="F85" t="s">
        <v>28</v>
      </c>
      <c r="G85">
        <v>10.06270694732666</v>
      </c>
      <c r="H85">
        <v>10.079387664794922</v>
      </c>
      <c r="I85">
        <v>2.3590771481394768E-2</v>
      </c>
      <c r="J85">
        <v>32752000</v>
      </c>
      <c r="K85">
        <v>32419664</v>
      </c>
      <c r="L85">
        <v>469992.65625</v>
      </c>
      <c r="M85" t="b">
        <v>0</v>
      </c>
      <c r="N85">
        <v>1</v>
      </c>
      <c r="O85" t="b">
        <v>1</v>
      </c>
      <c r="P85">
        <v>1</v>
      </c>
      <c r="Q85">
        <v>3</v>
      </c>
      <c r="R85">
        <v>84.009857177734375</v>
      </c>
      <c r="S85" t="s">
        <v>24</v>
      </c>
      <c r="T85" t="s">
        <v>24</v>
      </c>
      <c r="U85" t="s">
        <v>24</v>
      </c>
      <c r="V85" t="s">
        <v>29</v>
      </c>
      <c r="W85" t="s">
        <v>29</v>
      </c>
    </row>
    <row r="86" spans="1:23">
      <c r="A86" t="s">
        <v>149</v>
      </c>
      <c r="B86" t="s">
        <v>148</v>
      </c>
      <c r="C86" t="s">
        <v>25</v>
      </c>
      <c r="D86" t="s">
        <v>33</v>
      </c>
      <c r="E86" t="s">
        <v>27</v>
      </c>
      <c r="F86" t="s">
        <v>28</v>
      </c>
      <c r="G86">
        <v>10.0960693359375</v>
      </c>
      <c r="H86">
        <v>10.079387664794922</v>
      </c>
      <c r="I86">
        <v>2.3590771481394768E-2</v>
      </c>
      <c r="J86">
        <v>32087330</v>
      </c>
      <c r="K86">
        <v>32419664</v>
      </c>
      <c r="L86">
        <v>469992.65625</v>
      </c>
      <c r="M86" t="b">
        <v>0</v>
      </c>
      <c r="N86">
        <v>1</v>
      </c>
      <c r="O86" t="b">
        <v>1</v>
      </c>
      <c r="P86">
        <v>1</v>
      </c>
      <c r="Q86">
        <v>2</v>
      </c>
      <c r="R86">
        <v>83.817733764648438</v>
      </c>
      <c r="S86" t="s">
        <v>24</v>
      </c>
      <c r="T86" t="s">
        <v>24</v>
      </c>
      <c r="U86" t="s">
        <v>24</v>
      </c>
      <c r="V86" t="s">
        <v>29</v>
      </c>
      <c r="W86" t="s">
        <v>29</v>
      </c>
    </row>
    <row r="87" spans="1:23">
      <c r="A87" t="s">
        <v>150</v>
      </c>
      <c r="B87" t="s">
        <v>24</v>
      </c>
      <c r="C87" t="s">
        <v>25</v>
      </c>
      <c r="D87" t="s">
        <v>151</v>
      </c>
      <c r="E87" t="s">
        <v>27</v>
      </c>
      <c r="F87" t="s">
        <v>28</v>
      </c>
      <c r="G87">
        <v>33.748500823974609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b">
        <v>0</v>
      </c>
      <c r="N87">
        <v>1</v>
      </c>
      <c r="O87" t="b">
        <v>1</v>
      </c>
      <c r="P87">
        <v>3</v>
      </c>
      <c r="Q87">
        <v>27</v>
      </c>
      <c r="R87">
        <v>79.014778137207031</v>
      </c>
      <c r="S87" t="s">
        <v>24</v>
      </c>
      <c r="T87" t="s">
        <v>24</v>
      </c>
      <c r="U87" t="s">
        <v>24</v>
      </c>
      <c r="V87" t="s">
        <v>114</v>
      </c>
      <c r="W87" t="s">
        <v>29</v>
      </c>
    </row>
    <row r="88" spans="1:23">
      <c r="A88" t="s">
        <v>152</v>
      </c>
      <c r="B88" t="s">
        <v>24</v>
      </c>
      <c r="C88" t="s">
        <v>25</v>
      </c>
      <c r="D88" t="s">
        <v>151</v>
      </c>
      <c r="E88" t="s">
        <v>27</v>
      </c>
      <c r="F88" t="s">
        <v>28</v>
      </c>
      <c r="G88">
        <v>33.877185821533203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b">
        <v>0</v>
      </c>
      <c r="N88">
        <v>1</v>
      </c>
      <c r="O88" t="b">
        <v>1</v>
      </c>
      <c r="P88">
        <v>3</v>
      </c>
      <c r="Q88">
        <v>26</v>
      </c>
      <c r="R88">
        <v>78.822662353515625</v>
      </c>
      <c r="S88" t="s">
        <v>24</v>
      </c>
      <c r="T88" t="s">
        <v>24</v>
      </c>
      <c r="U88" t="s">
        <v>24</v>
      </c>
      <c r="V88" t="s">
        <v>114</v>
      </c>
      <c r="W88" t="s">
        <v>29</v>
      </c>
    </row>
    <row r="89" spans="1:23">
      <c r="A89" t="s">
        <v>153</v>
      </c>
      <c r="B89" t="s">
        <v>154</v>
      </c>
      <c r="C89" t="s">
        <v>25</v>
      </c>
      <c r="D89" t="s">
        <v>33</v>
      </c>
      <c r="E89" t="s">
        <v>27</v>
      </c>
      <c r="F89" t="s">
        <v>28</v>
      </c>
      <c r="G89">
        <v>9.5507583618164062</v>
      </c>
      <c r="H89">
        <v>9.604766845703125</v>
      </c>
      <c r="I89">
        <v>7.6380208134651184E-2</v>
      </c>
      <c r="J89">
        <v>44861524</v>
      </c>
      <c r="K89">
        <v>43420872</v>
      </c>
      <c r="L89">
        <v>2037392.375</v>
      </c>
      <c r="M89" t="b">
        <v>0</v>
      </c>
      <c r="N89">
        <v>1</v>
      </c>
      <c r="O89" t="b">
        <v>1</v>
      </c>
      <c r="P89">
        <v>1</v>
      </c>
      <c r="Q89">
        <v>2</v>
      </c>
      <c r="R89">
        <v>85.162567138671875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</row>
    <row r="90" spans="1:23">
      <c r="A90" t="s">
        <v>155</v>
      </c>
      <c r="B90" t="s">
        <v>154</v>
      </c>
      <c r="C90" t="s">
        <v>25</v>
      </c>
      <c r="D90" t="s">
        <v>33</v>
      </c>
      <c r="E90" t="s">
        <v>27</v>
      </c>
      <c r="F90" t="s">
        <v>28</v>
      </c>
      <c r="G90">
        <v>9.6587762832641602</v>
      </c>
      <c r="H90">
        <v>9.604766845703125</v>
      </c>
      <c r="I90">
        <v>7.6380208134651184E-2</v>
      </c>
      <c r="J90">
        <v>41980216</v>
      </c>
      <c r="K90">
        <v>43420872</v>
      </c>
      <c r="L90">
        <v>2037392.375</v>
      </c>
      <c r="M90" t="b">
        <v>0</v>
      </c>
      <c r="N90">
        <v>1</v>
      </c>
      <c r="O90" t="b">
        <v>1</v>
      </c>
      <c r="P90">
        <v>1</v>
      </c>
      <c r="Q90">
        <v>2</v>
      </c>
      <c r="R90">
        <v>85.162567138671875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</row>
    <row r="91" spans="1:23">
      <c r="A91" t="s">
        <v>156</v>
      </c>
      <c r="B91" t="s">
        <v>157</v>
      </c>
      <c r="C91" t="s">
        <v>25</v>
      </c>
      <c r="D91" t="s">
        <v>33</v>
      </c>
      <c r="E91" t="s">
        <v>27</v>
      </c>
      <c r="F91" t="s">
        <v>28</v>
      </c>
      <c r="G91">
        <v>9.4218626022338867</v>
      </c>
      <c r="H91">
        <v>9.4625396728515625</v>
      </c>
      <c r="I91">
        <v>5.7525388896465302E-2</v>
      </c>
      <c r="J91">
        <v>48559656</v>
      </c>
      <c r="K91">
        <v>47375624</v>
      </c>
      <c r="L91">
        <v>1674477</v>
      </c>
      <c r="M91" t="b">
        <v>0</v>
      </c>
      <c r="N91">
        <v>1</v>
      </c>
      <c r="O91" t="b">
        <v>1</v>
      </c>
      <c r="P91">
        <v>1</v>
      </c>
      <c r="Q91">
        <v>3</v>
      </c>
      <c r="R91">
        <v>84.778327941894531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</row>
    <row r="92" spans="1:23">
      <c r="A92" t="s">
        <v>158</v>
      </c>
      <c r="B92" t="s">
        <v>157</v>
      </c>
      <c r="C92" t="s">
        <v>25</v>
      </c>
      <c r="D92" t="s">
        <v>33</v>
      </c>
      <c r="E92" t="s">
        <v>27</v>
      </c>
      <c r="F92" t="s">
        <v>28</v>
      </c>
      <c r="G92">
        <v>9.5032157897949219</v>
      </c>
      <c r="H92">
        <v>9.4625396728515625</v>
      </c>
      <c r="I92">
        <v>5.7525388896465302E-2</v>
      </c>
      <c r="J92">
        <v>46191588</v>
      </c>
      <c r="K92">
        <v>47375624</v>
      </c>
      <c r="L92">
        <v>1674477</v>
      </c>
      <c r="M92" t="b">
        <v>0</v>
      </c>
      <c r="N92">
        <v>1</v>
      </c>
      <c r="O92" t="b">
        <v>1</v>
      </c>
      <c r="P92">
        <v>1</v>
      </c>
      <c r="Q92">
        <v>2</v>
      </c>
      <c r="R92">
        <v>84.778327941894531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</row>
    <row r="93" spans="1:23">
      <c r="A93" t="s">
        <v>159</v>
      </c>
      <c r="B93" t="s">
        <v>160</v>
      </c>
      <c r="C93" t="s">
        <v>25</v>
      </c>
      <c r="D93" t="s">
        <v>33</v>
      </c>
      <c r="E93" t="s">
        <v>27</v>
      </c>
      <c r="F93" t="s">
        <v>28</v>
      </c>
      <c r="G93">
        <v>9.0623292922973633</v>
      </c>
      <c r="H93">
        <v>9.0496454238891602</v>
      </c>
      <c r="I93">
        <v>1.793769933283329E-2</v>
      </c>
      <c r="J93">
        <v>60566576</v>
      </c>
      <c r="K93">
        <v>61042384</v>
      </c>
      <c r="L93">
        <v>672891.3125</v>
      </c>
      <c r="M93" t="b">
        <v>0</v>
      </c>
      <c r="N93">
        <v>1</v>
      </c>
      <c r="O93" t="b">
        <v>1</v>
      </c>
      <c r="P93">
        <v>1</v>
      </c>
      <c r="Q93">
        <v>2</v>
      </c>
      <c r="R93">
        <v>85.162567138671875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</row>
    <row r="94" spans="1:23">
      <c r="A94" t="s">
        <v>161</v>
      </c>
      <c r="B94" t="s">
        <v>160</v>
      </c>
      <c r="C94" t="s">
        <v>25</v>
      </c>
      <c r="D94" t="s">
        <v>33</v>
      </c>
      <c r="E94" t="s">
        <v>27</v>
      </c>
      <c r="F94" t="s">
        <v>28</v>
      </c>
      <c r="G94">
        <v>9.036961555480957</v>
      </c>
      <c r="H94">
        <v>9.0496454238891602</v>
      </c>
      <c r="I94">
        <v>1.793769933283329E-2</v>
      </c>
      <c r="J94">
        <v>61518188</v>
      </c>
      <c r="K94">
        <v>61042384</v>
      </c>
      <c r="L94">
        <v>672891.3125</v>
      </c>
      <c r="M94" t="b">
        <v>0</v>
      </c>
      <c r="N94">
        <v>1</v>
      </c>
      <c r="O94" t="b">
        <v>1</v>
      </c>
      <c r="P94">
        <v>1</v>
      </c>
      <c r="Q94">
        <v>2</v>
      </c>
      <c r="R94">
        <v>85.162567138671875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</row>
    <row r="95" spans="1:23">
      <c r="A95" t="s">
        <v>162</v>
      </c>
      <c r="B95" t="s">
        <v>163</v>
      </c>
      <c r="C95" t="s">
        <v>25</v>
      </c>
      <c r="D95" t="s">
        <v>33</v>
      </c>
      <c r="E95" t="s">
        <v>27</v>
      </c>
      <c r="F95" t="s">
        <v>28</v>
      </c>
      <c r="G95">
        <v>10.126899719238281</v>
      </c>
      <c r="H95">
        <v>10.225437164306641</v>
      </c>
      <c r="I95">
        <v>0.13935366272926331</v>
      </c>
      <c r="J95">
        <v>31485104</v>
      </c>
      <c r="K95">
        <v>29689420</v>
      </c>
      <c r="L95">
        <v>2539480.75</v>
      </c>
      <c r="M95" t="b">
        <v>0</v>
      </c>
      <c r="N95">
        <v>1</v>
      </c>
      <c r="O95" t="b">
        <v>1</v>
      </c>
      <c r="P95">
        <v>1</v>
      </c>
      <c r="Q95">
        <v>2</v>
      </c>
      <c r="R95">
        <v>84.970443725585938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</row>
    <row r="96" spans="1:23">
      <c r="A96" t="s">
        <v>164</v>
      </c>
      <c r="B96" t="s">
        <v>163</v>
      </c>
      <c r="C96" t="s">
        <v>25</v>
      </c>
      <c r="D96" t="s">
        <v>33</v>
      </c>
      <c r="E96" t="s">
        <v>27</v>
      </c>
      <c r="F96" t="s">
        <v>28</v>
      </c>
      <c r="G96">
        <v>10.323975563049316</v>
      </c>
      <c r="H96">
        <v>10.225437164306641</v>
      </c>
      <c r="I96">
        <v>0.13935366272926331</v>
      </c>
      <c r="J96">
        <v>27893736</v>
      </c>
      <c r="K96">
        <v>29689420</v>
      </c>
      <c r="L96">
        <v>2539480.75</v>
      </c>
      <c r="M96" t="b">
        <v>0</v>
      </c>
      <c r="N96">
        <v>1</v>
      </c>
      <c r="O96" t="b">
        <v>1</v>
      </c>
      <c r="P96">
        <v>1</v>
      </c>
      <c r="Q96">
        <v>3</v>
      </c>
      <c r="R96">
        <v>84.970443725585938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</row>
    <row r="97" spans="1:23">
      <c r="A97" t="s">
        <v>165</v>
      </c>
      <c r="B97" t="s">
        <v>166</v>
      </c>
      <c r="C97" t="s">
        <v>25</v>
      </c>
      <c r="D97" t="s">
        <v>33</v>
      </c>
      <c r="E97" t="s">
        <v>27</v>
      </c>
      <c r="F97" t="s">
        <v>28</v>
      </c>
      <c r="G97">
        <v>9.1153249740600586</v>
      </c>
      <c r="H97">
        <v>9.1444988250732422</v>
      </c>
      <c r="I97">
        <v>4.1257381439208984E-2</v>
      </c>
      <c r="J97">
        <v>58625800</v>
      </c>
      <c r="K97">
        <v>57593352</v>
      </c>
      <c r="L97">
        <v>1460102</v>
      </c>
      <c r="M97" t="b">
        <v>0</v>
      </c>
      <c r="N97">
        <v>1</v>
      </c>
      <c r="O97" t="b">
        <v>1</v>
      </c>
      <c r="P97">
        <v>1</v>
      </c>
      <c r="Q97">
        <v>2</v>
      </c>
      <c r="R97">
        <v>84.586212158203125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</row>
    <row r="98" spans="1:23">
      <c r="A98" t="s">
        <v>167</v>
      </c>
      <c r="B98" t="s">
        <v>166</v>
      </c>
      <c r="C98" t="s">
        <v>25</v>
      </c>
      <c r="D98" t="s">
        <v>33</v>
      </c>
      <c r="E98" t="s">
        <v>27</v>
      </c>
      <c r="F98" t="s">
        <v>28</v>
      </c>
      <c r="G98">
        <v>9.1736717224121094</v>
      </c>
      <c r="H98">
        <v>9.1444988250732422</v>
      </c>
      <c r="I98">
        <v>4.1257381439208984E-2</v>
      </c>
      <c r="J98">
        <v>56560904</v>
      </c>
      <c r="K98">
        <v>57593352</v>
      </c>
      <c r="L98">
        <v>1460102</v>
      </c>
      <c r="M98" t="b">
        <v>0</v>
      </c>
      <c r="N98">
        <v>1</v>
      </c>
      <c r="O98" t="b">
        <v>1</v>
      </c>
      <c r="P98">
        <v>1</v>
      </c>
      <c r="Q98">
        <v>2</v>
      </c>
      <c r="R98">
        <v>84.586212158203125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8"/>
  <sheetViews>
    <sheetView workbookViewId="0">
      <selection activeCell="A3" sqref="A3:K99"/>
    </sheetView>
  </sheetViews>
  <sheetFormatPr baseColWidth="10" defaultRowHeight="15"/>
  <sheetData>
    <row r="1" spans="1:23">
      <c r="A1" t="s">
        <v>222</v>
      </c>
      <c r="B1" t="s">
        <v>229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168</v>
      </c>
      <c r="W2" t="s">
        <v>169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13.356554985046387</v>
      </c>
      <c r="H3">
        <v>13.158506393432617</v>
      </c>
      <c r="I3">
        <v>0.28008231520652771</v>
      </c>
      <c r="J3">
        <v>10000000</v>
      </c>
      <c r="K3" t="s">
        <v>24</v>
      </c>
      <c r="L3" t="s">
        <v>24</v>
      </c>
      <c r="M3" t="b">
        <v>0</v>
      </c>
      <c r="N3">
        <v>1</v>
      </c>
      <c r="O3" t="b">
        <v>0</v>
      </c>
      <c r="P3">
        <v>3</v>
      </c>
      <c r="Q3">
        <v>8</v>
      </c>
      <c r="R3">
        <v>84.625617980957031</v>
      </c>
      <c r="S3" t="s">
        <v>24</v>
      </c>
      <c r="T3" t="s">
        <v>24</v>
      </c>
      <c r="U3" t="s">
        <v>24</v>
      </c>
      <c r="V3" t="s">
        <v>29</v>
      </c>
      <c r="W3" t="s">
        <v>29</v>
      </c>
    </row>
    <row r="4" spans="1:23">
      <c r="A4" t="s">
        <v>30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12.960458755493164</v>
      </c>
      <c r="H4">
        <v>13.158506393432617</v>
      </c>
      <c r="I4">
        <v>0.28008231520652771</v>
      </c>
      <c r="J4">
        <v>10000000</v>
      </c>
      <c r="K4" t="s">
        <v>24</v>
      </c>
      <c r="L4" t="s">
        <v>24</v>
      </c>
      <c r="M4" t="b">
        <v>0</v>
      </c>
      <c r="N4">
        <v>1</v>
      </c>
      <c r="O4" t="b">
        <v>0</v>
      </c>
      <c r="P4">
        <v>3</v>
      </c>
      <c r="Q4">
        <v>8</v>
      </c>
      <c r="R4">
        <v>84.625617980957031</v>
      </c>
      <c r="S4" t="s">
        <v>24</v>
      </c>
      <c r="T4" t="s">
        <v>24</v>
      </c>
      <c r="U4" t="s">
        <v>24</v>
      </c>
      <c r="V4" t="s">
        <v>29</v>
      </c>
      <c r="W4" t="s">
        <v>29</v>
      </c>
    </row>
    <row r="5" spans="1:23">
      <c r="A5" t="s">
        <v>31</v>
      </c>
      <c r="B5" t="s">
        <v>170</v>
      </c>
      <c r="C5" t="s">
        <v>25</v>
      </c>
      <c r="D5" t="s">
        <v>33</v>
      </c>
      <c r="E5" t="s">
        <v>27</v>
      </c>
      <c r="F5" t="s">
        <v>28</v>
      </c>
      <c r="G5">
        <v>10.837470054626465</v>
      </c>
      <c r="H5">
        <v>10.976657867431641</v>
      </c>
      <c r="I5">
        <v>0.19684197008609772</v>
      </c>
      <c r="J5">
        <v>37601664</v>
      </c>
      <c r="K5">
        <v>34694052</v>
      </c>
      <c r="L5">
        <v>4111983</v>
      </c>
      <c r="M5" t="b">
        <v>0</v>
      </c>
      <c r="N5">
        <v>1</v>
      </c>
      <c r="O5" t="b">
        <v>0</v>
      </c>
      <c r="P5">
        <v>1</v>
      </c>
      <c r="Q5">
        <v>4</v>
      </c>
      <c r="R5">
        <v>85.007888793945312</v>
      </c>
      <c r="S5" t="s">
        <v>24</v>
      </c>
      <c r="T5" t="s">
        <v>24</v>
      </c>
      <c r="U5" t="s">
        <v>24</v>
      </c>
      <c r="V5" t="s">
        <v>29</v>
      </c>
      <c r="W5" t="s">
        <v>29</v>
      </c>
    </row>
    <row r="6" spans="1:23">
      <c r="A6" t="s">
        <v>34</v>
      </c>
      <c r="B6" t="s">
        <v>170</v>
      </c>
      <c r="C6" t="s">
        <v>25</v>
      </c>
      <c r="D6" t="s">
        <v>33</v>
      </c>
      <c r="E6" t="s">
        <v>27</v>
      </c>
      <c r="F6" t="s">
        <v>28</v>
      </c>
      <c r="G6">
        <v>11.115846633911133</v>
      </c>
      <c r="H6">
        <v>10.976657867431641</v>
      </c>
      <c r="I6">
        <v>0.19684197008609772</v>
      </c>
      <c r="J6">
        <v>31786442</v>
      </c>
      <c r="K6">
        <v>34694052</v>
      </c>
      <c r="L6">
        <v>4111983</v>
      </c>
      <c r="M6" t="b">
        <v>0</v>
      </c>
      <c r="N6">
        <v>1</v>
      </c>
      <c r="O6" t="b">
        <v>0</v>
      </c>
      <c r="P6">
        <v>1</v>
      </c>
      <c r="Q6">
        <v>4</v>
      </c>
      <c r="R6">
        <v>85.007888793945312</v>
      </c>
      <c r="S6" t="s">
        <v>24</v>
      </c>
      <c r="T6" t="s">
        <v>24</v>
      </c>
      <c r="U6" t="s">
        <v>24</v>
      </c>
      <c r="V6" t="s">
        <v>29</v>
      </c>
      <c r="W6" t="s">
        <v>29</v>
      </c>
    </row>
    <row r="7" spans="1:23">
      <c r="A7" t="s">
        <v>35</v>
      </c>
      <c r="B7" t="s">
        <v>171</v>
      </c>
      <c r="C7" t="s">
        <v>25</v>
      </c>
      <c r="D7" t="s">
        <v>33</v>
      </c>
      <c r="E7" t="s">
        <v>27</v>
      </c>
      <c r="F7" t="s">
        <v>28</v>
      </c>
      <c r="G7">
        <v>10.054452896118164</v>
      </c>
      <c r="H7">
        <v>10.050024032592773</v>
      </c>
      <c r="I7">
        <v>6.2640332616865635E-3</v>
      </c>
      <c r="J7">
        <v>60317488</v>
      </c>
      <c r="K7">
        <v>60479164</v>
      </c>
      <c r="L7">
        <v>228644.390625</v>
      </c>
      <c r="M7" t="b">
        <v>0</v>
      </c>
      <c r="N7">
        <v>1</v>
      </c>
      <c r="O7" t="b">
        <v>0</v>
      </c>
      <c r="P7">
        <v>1</v>
      </c>
      <c r="Q7">
        <v>4</v>
      </c>
      <c r="R7">
        <v>84.816757202148438</v>
      </c>
      <c r="S7" t="s">
        <v>24</v>
      </c>
      <c r="T7" t="s">
        <v>24</v>
      </c>
      <c r="U7" t="s">
        <v>24</v>
      </c>
      <c r="V7" t="s">
        <v>29</v>
      </c>
      <c r="W7" t="s">
        <v>29</v>
      </c>
    </row>
    <row r="8" spans="1:23">
      <c r="A8" t="s">
        <v>37</v>
      </c>
      <c r="B8" t="s">
        <v>171</v>
      </c>
      <c r="C8" t="s">
        <v>25</v>
      </c>
      <c r="D8" t="s">
        <v>33</v>
      </c>
      <c r="E8" t="s">
        <v>27</v>
      </c>
      <c r="F8" t="s">
        <v>28</v>
      </c>
      <c r="G8">
        <v>10.045594215393066</v>
      </c>
      <c r="H8">
        <v>10.050024032592773</v>
      </c>
      <c r="I8">
        <v>6.2640332616865635E-3</v>
      </c>
      <c r="J8">
        <v>60640840</v>
      </c>
      <c r="K8">
        <v>60479164</v>
      </c>
      <c r="L8">
        <v>228644.390625</v>
      </c>
      <c r="M8" t="b">
        <v>0</v>
      </c>
      <c r="N8">
        <v>1</v>
      </c>
      <c r="O8" t="b">
        <v>0</v>
      </c>
      <c r="P8">
        <v>1</v>
      </c>
      <c r="Q8">
        <v>4</v>
      </c>
      <c r="R8">
        <v>84.816757202148438</v>
      </c>
      <c r="S8" t="s">
        <v>24</v>
      </c>
      <c r="T8" t="s">
        <v>24</v>
      </c>
      <c r="U8" t="s">
        <v>24</v>
      </c>
      <c r="V8" t="s">
        <v>29</v>
      </c>
      <c r="W8" t="s">
        <v>29</v>
      </c>
    </row>
    <row r="9" spans="1:23">
      <c r="A9" t="s">
        <v>38</v>
      </c>
      <c r="B9" t="s">
        <v>39</v>
      </c>
      <c r="C9" t="s">
        <v>25</v>
      </c>
      <c r="D9" t="s">
        <v>33</v>
      </c>
      <c r="E9" t="s">
        <v>27</v>
      </c>
      <c r="F9" t="s">
        <v>28</v>
      </c>
      <c r="G9">
        <v>8.3525981903076172</v>
      </c>
      <c r="H9">
        <v>8.38153076171875</v>
      </c>
      <c r="I9">
        <v>4.0916834026575089E-2</v>
      </c>
      <c r="J9">
        <v>168467248</v>
      </c>
      <c r="K9">
        <v>165576304</v>
      </c>
      <c r="L9">
        <v>4088412.25</v>
      </c>
      <c r="M9" t="b">
        <v>0</v>
      </c>
      <c r="N9">
        <v>1</v>
      </c>
      <c r="O9" t="b">
        <v>0</v>
      </c>
      <c r="P9">
        <v>1</v>
      </c>
      <c r="Q9">
        <v>4</v>
      </c>
      <c r="R9">
        <v>84.052215576171875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</row>
    <row r="10" spans="1:23">
      <c r="A10" t="s">
        <v>40</v>
      </c>
      <c r="B10" t="s">
        <v>39</v>
      </c>
      <c r="C10" t="s">
        <v>25</v>
      </c>
      <c r="D10" t="s">
        <v>33</v>
      </c>
      <c r="E10" t="s">
        <v>27</v>
      </c>
      <c r="F10" t="s">
        <v>28</v>
      </c>
      <c r="G10">
        <v>8.4104633331298828</v>
      </c>
      <c r="H10">
        <v>8.38153076171875</v>
      </c>
      <c r="I10">
        <v>4.0916834026575089E-2</v>
      </c>
      <c r="J10">
        <v>162685360</v>
      </c>
      <c r="K10">
        <v>165576304</v>
      </c>
      <c r="L10">
        <v>4088412.25</v>
      </c>
      <c r="M10" t="b">
        <v>0</v>
      </c>
      <c r="N10">
        <v>1</v>
      </c>
      <c r="O10" t="b">
        <v>0</v>
      </c>
      <c r="P10">
        <v>1</v>
      </c>
      <c r="Q10">
        <v>4</v>
      </c>
      <c r="R10">
        <v>83.861083984375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</row>
    <row r="11" spans="1:23">
      <c r="A11" t="s">
        <v>41</v>
      </c>
      <c r="B11" t="s">
        <v>42</v>
      </c>
      <c r="C11" t="s">
        <v>25</v>
      </c>
      <c r="D11" t="s">
        <v>33</v>
      </c>
      <c r="E11" t="s">
        <v>27</v>
      </c>
      <c r="F11" t="s">
        <v>28</v>
      </c>
      <c r="G11">
        <v>8.6568536758422852</v>
      </c>
      <c r="H11">
        <v>8.60736083984375</v>
      </c>
      <c r="I11">
        <v>6.9994114339351654E-2</v>
      </c>
      <c r="J11">
        <v>140206208</v>
      </c>
      <c r="K11">
        <v>144521888</v>
      </c>
      <c r="L11">
        <v>6103293</v>
      </c>
      <c r="M11" t="b">
        <v>0</v>
      </c>
      <c r="N11">
        <v>1</v>
      </c>
      <c r="O11" t="b">
        <v>0</v>
      </c>
      <c r="P11">
        <v>1</v>
      </c>
      <c r="Q11">
        <v>4</v>
      </c>
      <c r="R11">
        <v>83.669952392578125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</row>
    <row r="12" spans="1:23">
      <c r="A12" t="s">
        <v>43</v>
      </c>
      <c r="B12" t="s">
        <v>42</v>
      </c>
      <c r="C12" t="s">
        <v>25</v>
      </c>
      <c r="D12" t="s">
        <v>33</v>
      </c>
      <c r="E12" t="s">
        <v>27</v>
      </c>
      <c r="F12" t="s">
        <v>28</v>
      </c>
      <c r="G12">
        <v>8.5578670501708984</v>
      </c>
      <c r="H12">
        <v>8.60736083984375</v>
      </c>
      <c r="I12">
        <v>6.9994114339351654E-2</v>
      </c>
      <c r="J12">
        <v>148837568</v>
      </c>
      <c r="K12">
        <v>144521888</v>
      </c>
      <c r="L12">
        <v>6103293</v>
      </c>
      <c r="M12" t="b">
        <v>0</v>
      </c>
      <c r="N12">
        <v>1</v>
      </c>
      <c r="O12" t="b">
        <v>0</v>
      </c>
      <c r="P12">
        <v>1</v>
      </c>
      <c r="Q12">
        <v>4</v>
      </c>
      <c r="R12">
        <v>83.669952392578125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</row>
    <row r="13" spans="1:23">
      <c r="A13" t="s">
        <v>44</v>
      </c>
      <c r="B13" t="s">
        <v>45</v>
      </c>
      <c r="C13" t="s">
        <v>25</v>
      </c>
      <c r="D13" t="s">
        <v>33</v>
      </c>
      <c r="E13" t="s">
        <v>27</v>
      </c>
      <c r="F13" t="s">
        <v>28</v>
      </c>
      <c r="G13">
        <v>8.6395578384399414</v>
      </c>
      <c r="H13">
        <v>8.6076555252075195</v>
      </c>
      <c r="I13">
        <v>4.5116685330867767E-2</v>
      </c>
      <c r="J13">
        <v>141677424</v>
      </c>
      <c r="K13">
        <v>144458480</v>
      </c>
      <c r="L13">
        <v>3933007</v>
      </c>
      <c r="M13" t="b">
        <v>0</v>
      </c>
      <c r="N13">
        <v>1</v>
      </c>
      <c r="O13" t="b">
        <v>0</v>
      </c>
      <c r="P13">
        <v>1</v>
      </c>
      <c r="Q13">
        <v>4</v>
      </c>
      <c r="R13">
        <v>83.669952392578125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</row>
    <row r="14" spans="1:23">
      <c r="A14" t="s">
        <v>46</v>
      </c>
      <c r="B14" t="s">
        <v>45</v>
      </c>
      <c r="C14" t="s">
        <v>25</v>
      </c>
      <c r="D14" t="s">
        <v>33</v>
      </c>
      <c r="E14" t="s">
        <v>27</v>
      </c>
      <c r="F14" t="s">
        <v>28</v>
      </c>
      <c r="G14">
        <v>8.5757532119750977</v>
      </c>
      <c r="H14">
        <v>8.6076555252075195</v>
      </c>
      <c r="I14">
        <v>4.5116685330867767E-2</v>
      </c>
      <c r="J14">
        <v>147239536</v>
      </c>
      <c r="K14">
        <v>144458480</v>
      </c>
      <c r="L14">
        <v>3933007</v>
      </c>
      <c r="M14" t="b">
        <v>0</v>
      </c>
      <c r="N14">
        <v>1</v>
      </c>
      <c r="O14" t="b">
        <v>0</v>
      </c>
      <c r="P14">
        <v>1</v>
      </c>
      <c r="Q14">
        <v>4</v>
      </c>
      <c r="R14">
        <v>83.47882080078125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</row>
    <row r="15" spans="1:23">
      <c r="A15" t="s">
        <v>47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16.90397834777832</v>
      </c>
      <c r="H15">
        <v>16.764350891113281</v>
      </c>
      <c r="I15">
        <v>0.19746303558349609</v>
      </c>
      <c r="J15">
        <v>1000000</v>
      </c>
      <c r="K15" t="s">
        <v>24</v>
      </c>
      <c r="L15" t="s">
        <v>24</v>
      </c>
      <c r="M15" t="b">
        <v>0</v>
      </c>
      <c r="N15">
        <v>1</v>
      </c>
      <c r="O15" t="b">
        <v>1</v>
      </c>
      <c r="P15">
        <v>3</v>
      </c>
      <c r="Q15">
        <v>12</v>
      </c>
      <c r="R15">
        <v>84.816757202148438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</row>
    <row r="16" spans="1:23">
      <c r="A16" t="s">
        <v>48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16.624723434448242</v>
      </c>
      <c r="H16">
        <v>16.764350891113281</v>
      </c>
      <c r="I16">
        <v>0.19746303558349609</v>
      </c>
      <c r="J16">
        <v>1000000</v>
      </c>
      <c r="K16" t="s">
        <v>24</v>
      </c>
      <c r="L16" t="s">
        <v>24</v>
      </c>
      <c r="M16" t="b">
        <v>0</v>
      </c>
      <c r="N16">
        <v>1</v>
      </c>
      <c r="O16" t="b">
        <v>1</v>
      </c>
      <c r="P16">
        <v>3</v>
      </c>
      <c r="Q16">
        <v>8</v>
      </c>
      <c r="R16">
        <v>85.007888793945312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</row>
    <row r="17" spans="1:23">
      <c r="A17" t="s">
        <v>49</v>
      </c>
      <c r="B17" t="s">
        <v>172</v>
      </c>
      <c r="C17" t="s">
        <v>25</v>
      </c>
      <c r="D17" t="s">
        <v>33</v>
      </c>
      <c r="E17" t="s">
        <v>27</v>
      </c>
      <c r="F17" t="s">
        <v>28</v>
      </c>
      <c r="G17">
        <v>9.3962211608886719</v>
      </c>
      <c r="H17">
        <v>9.4651613235473633</v>
      </c>
      <c r="I17">
        <v>9.7496114671230316E-2</v>
      </c>
      <c r="J17">
        <v>89737096</v>
      </c>
      <c r="K17">
        <v>86154496</v>
      </c>
      <c r="L17">
        <v>5066556</v>
      </c>
      <c r="M17" t="b">
        <v>0</v>
      </c>
      <c r="N17">
        <v>1</v>
      </c>
      <c r="O17" t="b">
        <v>0</v>
      </c>
      <c r="P17">
        <v>1</v>
      </c>
      <c r="Q17">
        <v>4</v>
      </c>
      <c r="R17">
        <v>85.007888793945312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</row>
    <row r="18" spans="1:23">
      <c r="A18" t="s">
        <v>51</v>
      </c>
      <c r="B18" t="s">
        <v>172</v>
      </c>
      <c r="C18" t="s">
        <v>25</v>
      </c>
      <c r="D18" t="s">
        <v>33</v>
      </c>
      <c r="E18" t="s">
        <v>27</v>
      </c>
      <c r="F18" t="s">
        <v>28</v>
      </c>
      <c r="G18">
        <v>9.5341014862060547</v>
      </c>
      <c r="H18">
        <v>9.4651613235473633</v>
      </c>
      <c r="I18">
        <v>9.7496114671230316E-2</v>
      </c>
      <c r="J18">
        <v>82571904</v>
      </c>
      <c r="K18">
        <v>86154496</v>
      </c>
      <c r="L18">
        <v>5066556</v>
      </c>
      <c r="M18" t="b">
        <v>0</v>
      </c>
      <c r="N18">
        <v>1</v>
      </c>
      <c r="O18" t="b">
        <v>0</v>
      </c>
      <c r="P18">
        <v>1</v>
      </c>
      <c r="Q18">
        <v>4</v>
      </c>
      <c r="R18">
        <v>85.007888793945312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</row>
    <row r="19" spans="1:23">
      <c r="A19" t="s">
        <v>52</v>
      </c>
      <c r="B19" t="s">
        <v>173</v>
      </c>
      <c r="C19" t="s">
        <v>25</v>
      </c>
      <c r="D19" t="s">
        <v>33</v>
      </c>
      <c r="E19" t="s">
        <v>27</v>
      </c>
      <c r="F19" t="s">
        <v>28</v>
      </c>
      <c r="G19">
        <v>9.6685323715209961</v>
      </c>
      <c r="H19">
        <v>9.5754995346069336</v>
      </c>
      <c r="I19">
        <v>0.1315682977437973</v>
      </c>
      <c r="J19">
        <v>76137160</v>
      </c>
      <c r="K19">
        <v>80661384</v>
      </c>
      <c r="L19">
        <v>6398219</v>
      </c>
      <c r="M19" t="b">
        <v>0</v>
      </c>
      <c r="N19">
        <v>1</v>
      </c>
      <c r="O19" t="b">
        <v>0</v>
      </c>
      <c r="P19">
        <v>1</v>
      </c>
      <c r="Q19">
        <v>4</v>
      </c>
      <c r="R19">
        <v>85.390151977539062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</row>
    <row r="20" spans="1:23">
      <c r="A20" t="s">
        <v>54</v>
      </c>
      <c r="B20" t="s">
        <v>173</v>
      </c>
      <c r="C20" t="s">
        <v>25</v>
      </c>
      <c r="D20" t="s">
        <v>33</v>
      </c>
      <c r="E20" t="s">
        <v>27</v>
      </c>
      <c r="F20" t="s">
        <v>28</v>
      </c>
      <c r="G20">
        <v>9.4824666976928711</v>
      </c>
      <c r="H20">
        <v>9.5754995346069336</v>
      </c>
      <c r="I20">
        <v>0.1315682977437973</v>
      </c>
      <c r="J20">
        <v>85185608</v>
      </c>
      <c r="K20">
        <v>80661384</v>
      </c>
      <c r="L20">
        <v>6398219</v>
      </c>
      <c r="M20" t="b">
        <v>0</v>
      </c>
      <c r="N20">
        <v>1</v>
      </c>
      <c r="O20" t="b">
        <v>0</v>
      </c>
      <c r="P20">
        <v>1</v>
      </c>
      <c r="Q20">
        <v>4</v>
      </c>
      <c r="R20">
        <v>85.199020385742188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</row>
    <row r="21" spans="1:23">
      <c r="A21" t="s">
        <v>55</v>
      </c>
      <c r="B21" t="s">
        <v>56</v>
      </c>
      <c r="C21" t="s">
        <v>25</v>
      </c>
      <c r="D21" t="s">
        <v>33</v>
      </c>
      <c r="E21" t="s">
        <v>27</v>
      </c>
      <c r="F21" t="s">
        <v>28</v>
      </c>
      <c r="G21">
        <v>9.2659177780151367</v>
      </c>
      <c r="H21">
        <v>9.3472490310668945</v>
      </c>
      <c r="I21">
        <v>0.11501976102590561</v>
      </c>
      <c r="J21">
        <v>97079104</v>
      </c>
      <c r="K21">
        <v>92540336</v>
      </c>
      <c r="L21">
        <v>6418793</v>
      </c>
      <c r="M21" t="b">
        <v>0</v>
      </c>
      <c r="N21">
        <v>1</v>
      </c>
      <c r="O21" t="b">
        <v>0</v>
      </c>
      <c r="P21">
        <v>1</v>
      </c>
      <c r="Q21">
        <v>4</v>
      </c>
      <c r="R21">
        <v>84.052215576171875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</row>
    <row r="22" spans="1:23">
      <c r="A22" t="s">
        <v>57</v>
      </c>
      <c r="B22" t="s">
        <v>56</v>
      </c>
      <c r="C22" t="s">
        <v>25</v>
      </c>
      <c r="D22" t="s">
        <v>33</v>
      </c>
      <c r="E22" t="s">
        <v>27</v>
      </c>
      <c r="F22" t="s">
        <v>28</v>
      </c>
      <c r="G22">
        <v>9.4285802841186523</v>
      </c>
      <c r="H22">
        <v>9.3472490310668945</v>
      </c>
      <c r="I22">
        <v>0.11501976102590561</v>
      </c>
      <c r="J22">
        <v>88001560</v>
      </c>
      <c r="K22">
        <v>92540336</v>
      </c>
      <c r="L22">
        <v>6418793</v>
      </c>
      <c r="M22" t="b">
        <v>0</v>
      </c>
      <c r="N22">
        <v>1</v>
      </c>
      <c r="O22" t="b">
        <v>0</v>
      </c>
      <c r="P22">
        <v>1</v>
      </c>
      <c r="Q22">
        <v>4</v>
      </c>
      <c r="R22">
        <v>83.861083984375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</row>
    <row r="23" spans="1:23">
      <c r="A23" t="s">
        <v>58</v>
      </c>
      <c r="B23" t="s">
        <v>59</v>
      </c>
      <c r="C23" t="s">
        <v>25</v>
      </c>
      <c r="D23" t="s">
        <v>33</v>
      </c>
      <c r="E23" t="s">
        <v>27</v>
      </c>
      <c r="F23" t="s">
        <v>28</v>
      </c>
      <c r="G23">
        <v>8.3310098648071289</v>
      </c>
      <c r="H23">
        <v>8.4691104888916016</v>
      </c>
      <c r="I23">
        <v>0.19530445337295532</v>
      </c>
      <c r="J23">
        <v>170676592</v>
      </c>
      <c r="K23">
        <v>157573472</v>
      </c>
      <c r="L23">
        <v>18530598</v>
      </c>
      <c r="M23" t="b">
        <v>0</v>
      </c>
      <c r="N23">
        <v>1</v>
      </c>
      <c r="O23" t="b">
        <v>0</v>
      </c>
      <c r="P23">
        <v>1</v>
      </c>
      <c r="Q23">
        <v>4</v>
      </c>
      <c r="R23">
        <v>83.861083984375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</row>
    <row r="24" spans="1:23">
      <c r="A24" t="s">
        <v>60</v>
      </c>
      <c r="B24" t="s">
        <v>59</v>
      </c>
      <c r="C24" t="s">
        <v>25</v>
      </c>
      <c r="D24" t="s">
        <v>33</v>
      </c>
      <c r="E24" t="s">
        <v>27</v>
      </c>
      <c r="F24" t="s">
        <v>28</v>
      </c>
      <c r="G24">
        <v>8.6072120666503906</v>
      </c>
      <c r="H24">
        <v>8.4691104888916016</v>
      </c>
      <c r="I24">
        <v>0.19530445337295532</v>
      </c>
      <c r="J24">
        <v>144470368</v>
      </c>
      <c r="K24">
        <v>157573472</v>
      </c>
      <c r="L24">
        <v>18530598</v>
      </c>
      <c r="M24" t="b">
        <v>0</v>
      </c>
      <c r="N24">
        <v>1</v>
      </c>
      <c r="O24" t="b">
        <v>0</v>
      </c>
      <c r="P24">
        <v>1</v>
      </c>
      <c r="Q24">
        <v>4</v>
      </c>
      <c r="R24">
        <v>83.861083984375</v>
      </c>
      <c r="S24" t="s">
        <v>24</v>
      </c>
      <c r="T24" t="s">
        <v>24</v>
      </c>
      <c r="U24" t="s">
        <v>24</v>
      </c>
      <c r="V24" t="s">
        <v>29</v>
      </c>
      <c r="W24" t="s">
        <v>29</v>
      </c>
    </row>
    <row r="25" spans="1:23">
      <c r="A25" t="s">
        <v>61</v>
      </c>
      <c r="B25" t="s">
        <v>62</v>
      </c>
      <c r="C25" t="s">
        <v>25</v>
      </c>
      <c r="D25" t="s">
        <v>33</v>
      </c>
      <c r="E25" t="s">
        <v>27</v>
      </c>
      <c r="F25" t="s">
        <v>28</v>
      </c>
      <c r="G25">
        <v>8.8481273651123047</v>
      </c>
      <c r="H25">
        <v>8.9595222473144531</v>
      </c>
      <c r="I25">
        <v>0.1575368344783783</v>
      </c>
      <c r="J25">
        <v>124920176</v>
      </c>
      <c r="K25">
        <v>117061896</v>
      </c>
      <c r="L25">
        <v>11113286</v>
      </c>
      <c r="M25" t="b">
        <v>0</v>
      </c>
      <c r="N25">
        <v>1</v>
      </c>
      <c r="O25" t="b">
        <v>0</v>
      </c>
      <c r="P25">
        <v>1</v>
      </c>
      <c r="Q25">
        <v>4</v>
      </c>
      <c r="R25">
        <v>83.669952392578125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</row>
    <row r="26" spans="1:23">
      <c r="A26" t="s">
        <v>63</v>
      </c>
      <c r="B26" t="s">
        <v>62</v>
      </c>
      <c r="C26" t="s">
        <v>25</v>
      </c>
      <c r="D26" t="s">
        <v>33</v>
      </c>
      <c r="E26" t="s">
        <v>27</v>
      </c>
      <c r="F26" t="s">
        <v>28</v>
      </c>
      <c r="G26">
        <v>9.070918083190918</v>
      </c>
      <c r="H26">
        <v>8.9595222473144531</v>
      </c>
      <c r="I26">
        <v>0.1575368344783783</v>
      </c>
      <c r="J26">
        <v>109203616</v>
      </c>
      <c r="K26">
        <v>117061896</v>
      </c>
      <c r="L26">
        <v>11113286</v>
      </c>
      <c r="M26" t="b">
        <v>0</v>
      </c>
      <c r="N26">
        <v>1</v>
      </c>
      <c r="O26" t="b">
        <v>0</v>
      </c>
      <c r="P26">
        <v>1</v>
      </c>
      <c r="Q26">
        <v>4</v>
      </c>
      <c r="R26">
        <v>83.669952392578125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</row>
    <row r="27" spans="1:23">
      <c r="A27" t="s">
        <v>64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>
        <v>20.696414947509766</v>
      </c>
      <c r="H27">
        <v>20.591609954833984</v>
      </c>
      <c r="I27">
        <v>0.14821529388427734</v>
      </c>
      <c r="J27">
        <v>100000</v>
      </c>
      <c r="K27" t="s">
        <v>24</v>
      </c>
      <c r="L27" t="s">
        <v>24</v>
      </c>
      <c r="M27" t="b">
        <v>0</v>
      </c>
      <c r="N27">
        <v>1</v>
      </c>
      <c r="O27" t="b">
        <v>1</v>
      </c>
      <c r="P27">
        <v>3</v>
      </c>
      <c r="Q27">
        <v>14</v>
      </c>
      <c r="R27">
        <v>85.007888793945312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</row>
    <row r="28" spans="1:23">
      <c r="A28" t="s">
        <v>65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>
        <v>20.486806869506836</v>
      </c>
      <c r="H28">
        <v>20.591609954833984</v>
      </c>
      <c r="I28">
        <v>0.14821529388427734</v>
      </c>
      <c r="J28">
        <v>100000</v>
      </c>
      <c r="K28" t="s">
        <v>24</v>
      </c>
      <c r="L28" t="s">
        <v>24</v>
      </c>
      <c r="M28" t="b">
        <v>0</v>
      </c>
      <c r="N28">
        <v>1</v>
      </c>
      <c r="O28" t="b">
        <v>1</v>
      </c>
      <c r="P28">
        <v>3</v>
      </c>
      <c r="Q28">
        <v>12</v>
      </c>
      <c r="R28">
        <v>85.007888793945312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</row>
    <row r="29" spans="1:23">
      <c r="A29" t="s">
        <v>66</v>
      </c>
      <c r="B29" t="s">
        <v>174</v>
      </c>
      <c r="C29" t="s">
        <v>25</v>
      </c>
      <c r="D29" t="s">
        <v>33</v>
      </c>
      <c r="E29" t="s">
        <v>27</v>
      </c>
      <c r="F29" t="s">
        <v>28</v>
      </c>
      <c r="G29">
        <v>10.011922836303711</v>
      </c>
      <c r="H29">
        <v>9.9549665451049805</v>
      </c>
      <c r="I29">
        <v>8.054836094379425E-2</v>
      </c>
      <c r="J29">
        <v>61885768</v>
      </c>
      <c r="K29">
        <v>64087912</v>
      </c>
      <c r="L29">
        <v>3114299</v>
      </c>
      <c r="M29" t="b">
        <v>0</v>
      </c>
      <c r="N29">
        <v>1</v>
      </c>
      <c r="O29" t="b">
        <v>0</v>
      </c>
      <c r="P29">
        <v>1</v>
      </c>
      <c r="Q29">
        <v>4</v>
      </c>
      <c r="R29">
        <v>85.199020385742188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</row>
    <row r="30" spans="1:23">
      <c r="A30" t="s">
        <v>68</v>
      </c>
      <c r="B30" t="s">
        <v>174</v>
      </c>
      <c r="C30" t="s">
        <v>25</v>
      </c>
      <c r="D30" t="s">
        <v>33</v>
      </c>
      <c r="E30" t="s">
        <v>27</v>
      </c>
      <c r="F30" t="s">
        <v>28</v>
      </c>
      <c r="G30">
        <v>9.89801025390625</v>
      </c>
      <c r="H30">
        <v>9.9549665451049805</v>
      </c>
      <c r="I30">
        <v>8.054836094379425E-2</v>
      </c>
      <c r="J30">
        <v>66290052</v>
      </c>
      <c r="K30">
        <v>64087912</v>
      </c>
      <c r="L30">
        <v>3114299</v>
      </c>
      <c r="M30" t="b">
        <v>0</v>
      </c>
      <c r="N30">
        <v>1</v>
      </c>
      <c r="O30" t="b">
        <v>0</v>
      </c>
      <c r="P30">
        <v>1</v>
      </c>
      <c r="Q30">
        <v>4</v>
      </c>
      <c r="R30">
        <v>85.390151977539062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</row>
    <row r="31" spans="1:23">
      <c r="A31" t="s">
        <v>69</v>
      </c>
      <c r="B31" t="s">
        <v>70</v>
      </c>
      <c r="C31" t="s">
        <v>25</v>
      </c>
      <c r="D31" t="s">
        <v>33</v>
      </c>
      <c r="E31" t="s">
        <v>27</v>
      </c>
      <c r="F31" t="s">
        <v>28</v>
      </c>
      <c r="G31">
        <v>10.402966499328613</v>
      </c>
      <c r="H31">
        <v>10.277433395385742</v>
      </c>
      <c r="I31">
        <v>0.17753128707408905</v>
      </c>
      <c r="J31">
        <v>48875876</v>
      </c>
      <c r="K31">
        <v>52874144</v>
      </c>
      <c r="L31">
        <v>5654402</v>
      </c>
      <c r="M31" t="b">
        <v>0</v>
      </c>
      <c r="N31">
        <v>1</v>
      </c>
      <c r="O31" t="b">
        <v>0</v>
      </c>
      <c r="P31">
        <v>1</v>
      </c>
      <c r="Q31">
        <v>4</v>
      </c>
      <c r="R31">
        <v>84.816757202148438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</row>
    <row r="32" spans="1:23">
      <c r="A32" t="s">
        <v>71</v>
      </c>
      <c r="B32" t="s">
        <v>70</v>
      </c>
      <c r="C32" t="s">
        <v>25</v>
      </c>
      <c r="D32" t="s">
        <v>33</v>
      </c>
      <c r="E32" t="s">
        <v>27</v>
      </c>
      <c r="F32" t="s">
        <v>28</v>
      </c>
      <c r="G32">
        <v>10.151899337768555</v>
      </c>
      <c r="H32">
        <v>10.277433395385742</v>
      </c>
      <c r="I32">
        <v>0.17753128707408905</v>
      </c>
      <c r="J32">
        <v>56872408</v>
      </c>
      <c r="K32">
        <v>52874144</v>
      </c>
      <c r="L32">
        <v>5654402</v>
      </c>
      <c r="M32" t="b">
        <v>0</v>
      </c>
      <c r="N32">
        <v>1</v>
      </c>
      <c r="O32" t="b">
        <v>0</v>
      </c>
      <c r="P32">
        <v>1</v>
      </c>
      <c r="Q32">
        <v>4</v>
      </c>
      <c r="R32">
        <v>84.625617980957031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</row>
    <row r="33" spans="1:23">
      <c r="A33" t="s">
        <v>72</v>
      </c>
      <c r="B33" t="s">
        <v>73</v>
      </c>
      <c r="C33" t="s">
        <v>25</v>
      </c>
      <c r="D33" t="s">
        <v>33</v>
      </c>
      <c r="E33" t="s">
        <v>27</v>
      </c>
      <c r="F33" t="s">
        <v>28</v>
      </c>
      <c r="G33">
        <v>8.9539880752563477</v>
      </c>
      <c r="H33">
        <v>9.0055408477783203</v>
      </c>
      <c r="I33">
        <v>7.2906628251075745E-2</v>
      </c>
      <c r="J33">
        <v>117188632</v>
      </c>
      <c r="K33">
        <v>113653600</v>
      </c>
      <c r="L33">
        <v>4999290</v>
      </c>
      <c r="M33" t="b">
        <v>0</v>
      </c>
      <c r="N33">
        <v>1</v>
      </c>
      <c r="O33" t="b">
        <v>0</v>
      </c>
      <c r="P33">
        <v>1</v>
      </c>
      <c r="Q33">
        <v>4</v>
      </c>
      <c r="R33">
        <v>84.434486389160156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</row>
    <row r="34" spans="1:23">
      <c r="A34" t="s">
        <v>74</v>
      </c>
      <c r="B34" t="s">
        <v>73</v>
      </c>
      <c r="C34" t="s">
        <v>25</v>
      </c>
      <c r="D34" t="s">
        <v>33</v>
      </c>
      <c r="E34" t="s">
        <v>27</v>
      </c>
      <c r="F34" t="s">
        <v>28</v>
      </c>
      <c r="G34">
        <v>9.057093620300293</v>
      </c>
      <c r="H34">
        <v>9.0055408477783203</v>
      </c>
      <c r="I34">
        <v>7.2906628251075745E-2</v>
      </c>
      <c r="J34">
        <v>110118568</v>
      </c>
      <c r="K34">
        <v>113653600</v>
      </c>
      <c r="L34">
        <v>4999290</v>
      </c>
      <c r="M34" t="b">
        <v>0</v>
      </c>
      <c r="N34">
        <v>1</v>
      </c>
      <c r="O34" t="b">
        <v>0</v>
      </c>
      <c r="P34">
        <v>1</v>
      </c>
      <c r="Q34">
        <v>4</v>
      </c>
      <c r="R34">
        <v>84.052215576171875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</row>
    <row r="35" spans="1:23">
      <c r="A35" t="s">
        <v>75</v>
      </c>
      <c r="B35" t="s">
        <v>76</v>
      </c>
      <c r="C35" t="s">
        <v>25</v>
      </c>
      <c r="D35" t="s">
        <v>33</v>
      </c>
      <c r="E35" t="s">
        <v>27</v>
      </c>
      <c r="F35" t="s">
        <v>28</v>
      </c>
      <c r="G35">
        <v>10.757954597473145</v>
      </c>
      <c r="H35">
        <v>10.86531925201416</v>
      </c>
      <c r="I35">
        <v>0.15183654427528381</v>
      </c>
      <c r="J35">
        <v>39450164</v>
      </c>
      <c r="K35">
        <v>37052592</v>
      </c>
      <c r="L35">
        <v>3390676</v>
      </c>
      <c r="M35" t="b">
        <v>0</v>
      </c>
      <c r="N35">
        <v>1</v>
      </c>
      <c r="O35" t="b">
        <v>0</v>
      </c>
      <c r="P35">
        <v>1</v>
      </c>
      <c r="Q35">
        <v>4</v>
      </c>
      <c r="R35">
        <v>84.052215576171875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</row>
    <row r="36" spans="1:23">
      <c r="A36" t="s">
        <v>77</v>
      </c>
      <c r="B36" t="s">
        <v>76</v>
      </c>
      <c r="C36" t="s">
        <v>25</v>
      </c>
      <c r="D36" t="s">
        <v>33</v>
      </c>
      <c r="E36" t="s">
        <v>27</v>
      </c>
      <c r="F36" t="s">
        <v>28</v>
      </c>
      <c r="G36">
        <v>10.972683906555176</v>
      </c>
      <c r="H36">
        <v>10.86531925201416</v>
      </c>
      <c r="I36">
        <v>0.15183654427528381</v>
      </c>
      <c r="J36">
        <v>34655024</v>
      </c>
      <c r="K36">
        <v>37052592</v>
      </c>
      <c r="L36">
        <v>3390676</v>
      </c>
      <c r="M36" t="b">
        <v>0</v>
      </c>
      <c r="N36">
        <v>1</v>
      </c>
      <c r="O36" t="b">
        <v>0</v>
      </c>
      <c r="P36">
        <v>1</v>
      </c>
      <c r="Q36">
        <v>4</v>
      </c>
      <c r="R36">
        <v>83.861083984375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</row>
    <row r="37" spans="1:23">
      <c r="A37" t="s">
        <v>78</v>
      </c>
      <c r="B37" t="s">
        <v>79</v>
      </c>
      <c r="C37" t="s">
        <v>25</v>
      </c>
      <c r="D37" t="s">
        <v>33</v>
      </c>
      <c r="E37" t="s">
        <v>27</v>
      </c>
      <c r="F37" t="s">
        <v>28</v>
      </c>
      <c r="G37">
        <v>8.9296150207519531</v>
      </c>
      <c r="H37">
        <v>8.9708671569824219</v>
      </c>
      <c r="I37">
        <v>5.8340005576610565E-2</v>
      </c>
      <c r="J37">
        <v>118925200</v>
      </c>
      <c r="K37">
        <v>116036816</v>
      </c>
      <c r="L37">
        <v>4084797.5</v>
      </c>
      <c r="M37" t="b">
        <v>0</v>
      </c>
      <c r="N37">
        <v>1</v>
      </c>
      <c r="O37" t="b">
        <v>0</v>
      </c>
      <c r="P37">
        <v>1</v>
      </c>
      <c r="Q37">
        <v>4</v>
      </c>
      <c r="R37">
        <v>83.861083984375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</row>
    <row r="38" spans="1:23">
      <c r="A38" t="s">
        <v>80</v>
      </c>
      <c r="B38" t="s">
        <v>79</v>
      </c>
      <c r="C38" t="s">
        <v>25</v>
      </c>
      <c r="D38" t="s">
        <v>33</v>
      </c>
      <c r="E38" t="s">
        <v>27</v>
      </c>
      <c r="F38" t="s">
        <v>28</v>
      </c>
      <c r="G38">
        <v>9.012120246887207</v>
      </c>
      <c r="H38">
        <v>8.9708671569824219</v>
      </c>
      <c r="I38">
        <v>5.8340005576610565E-2</v>
      </c>
      <c r="J38">
        <v>113148424</v>
      </c>
      <c r="K38">
        <v>116036816</v>
      </c>
      <c r="L38">
        <v>4084797.5</v>
      </c>
      <c r="M38" t="b">
        <v>0</v>
      </c>
      <c r="N38">
        <v>1</v>
      </c>
      <c r="O38" t="b">
        <v>0</v>
      </c>
      <c r="P38">
        <v>1</v>
      </c>
      <c r="Q38">
        <v>4</v>
      </c>
      <c r="R38">
        <v>83.669952392578125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</row>
    <row r="39" spans="1:23">
      <c r="A39" t="s">
        <v>81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>
        <v>24.390508651733398</v>
      </c>
      <c r="H39">
        <v>24.359024047851562</v>
      </c>
      <c r="I39">
        <v>4.4524606317281723E-2</v>
      </c>
      <c r="J39">
        <v>10000</v>
      </c>
      <c r="K39" t="s">
        <v>24</v>
      </c>
      <c r="L39" t="s">
        <v>24</v>
      </c>
      <c r="M39" t="b">
        <v>0</v>
      </c>
      <c r="N39">
        <v>1</v>
      </c>
      <c r="O39" t="b">
        <v>1</v>
      </c>
      <c r="P39">
        <v>3</v>
      </c>
      <c r="Q39">
        <v>16</v>
      </c>
      <c r="R39">
        <v>85.199020385742188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</row>
    <row r="40" spans="1:23">
      <c r="A40" t="s">
        <v>82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>
        <v>24.327541351318359</v>
      </c>
      <c r="H40">
        <v>24.359024047851562</v>
      </c>
      <c r="I40">
        <v>4.4524606317281723E-2</v>
      </c>
      <c r="J40">
        <v>10000</v>
      </c>
      <c r="K40" t="s">
        <v>24</v>
      </c>
      <c r="L40" t="s">
        <v>24</v>
      </c>
      <c r="M40" t="b">
        <v>0</v>
      </c>
      <c r="N40">
        <v>1</v>
      </c>
      <c r="O40" t="b">
        <v>1</v>
      </c>
      <c r="P40">
        <v>3</v>
      </c>
      <c r="Q40">
        <v>17</v>
      </c>
      <c r="R40">
        <v>85.199020385742188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</row>
    <row r="41" spans="1:23">
      <c r="A41" t="s">
        <v>83</v>
      </c>
      <c r="B41" t="s">
        <v>175</v>
      </c>
      <c r="C41" t="s">
        <v>25</v>
      </c>
      <c r="D41" t="s">
        <v>33</v>
      </c>
      <c r="E41" t="s">
        <v>27</v>
      </c>
      <c r="F41" t="s">
        <v>28</v>
      </c>
      <c r="G41">
        <v>8.3880805969238281</v>
      </c>
      <c r="H41">
        <v>8.3253211975097656</v>
      </c>
      <c r="I41">
        <v>8.8754519820213318E-2</v>
      </c>
      <c r="J41">
        <v>164897920</v>
      </c>
      <c r="K41">
        <v>171386400</v>
      </c>
      <c r="L41">
        <v>9176096</v>
      </c>
      <c r="M41" t="b">
        <v>0</v>
      </c>
      <c r="N41">
        <v>1</v>
      </c>
      <c r="O41" t="b">
        <v>0</v>
      </c>
      <c r="P41">
        <v>1</v>
      </c>
      <c r="Q41">
        <v>4</v>
      </c>
      <c r="R41">
        <v>85.390151977539062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</row>
    <row r="42" spans="1:23">
      <c r="A42" t="s">
        <v>85</v>
      </c>
      <c r="B42" t="s">
        <v>175</v>
      </c>
      <c r="C42" t="s">
        <v>25</v>
      </c>
      <c r="D42" t="s">
        <v>33</v>
      </c>
      <c r="E42" t="s">
        <v>27</v>
      </c>
      <c r="F42" t="s">
        <v>28</v>
      </c>
      <c r="G42">
        <v>8.2625627517700195</v>
      </c>
      <c r="H42">
        <v>8.3253211975097656</v>
      </c>
      <c r="I42">
        <v>8.8754519820213318E-2</v>
      </c>
      <c r="J42">
        <v>177874880</v>
      </c>
      <c r="K42">
        <v>171386400</v>
      </c>
      <c r="L42">
        <v>9176096</v>
      </c>
      <c r="M42" t="b">
        <v>0</v>
      </c>
      <c r="N42">
        <v>1</v>
      </c>
      <c r="O42" t="b">
        <v>0</v>
      </c>
      <c r="P42">
        <v>1</v>
      </c>
      <c r="Q42">
        <v>4</v>
      </c>
      <c r="R42">
        <v>85.390151977539062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</row>
    <row r="43" spans="1:23">
      <c r="A43" t="s">
        <v>86</v>
      </c>
      <c r="B43" t="s">
        <v>87</v>
      </c>
      <c r="C43" t="s">
        <v>25</v>
      </c>
      <c r="D43" t="s">
        <v>33</v>
      </c>
      <c r="E43" t="s">
        <v>27</v>
      </c>
      <c r="F43" t="s">
        <v>28</v>
      </c>
      <c r="G43">
        <v>9.0803670883178711</v>
      </c>
      <c r="H43">
        <v>9.1117725372314453</v>
      </c>
      <c r="I43">
        <v>4.4413335621356964E-2</v>
      </c>
      <c r="J43">
        <v>108582632</v>
      </c>
      <c r="K43">
        <v>106563096</v>
      </c>
      <c r="L43">
        <v>2856055.25</v>
      </c>
      <c r="M43" t="b">
        <v>0</v>
      </c>
      <c r="N43">
        <v>1</v>
      </c>
      <c r="O43" t="b">
        <v>0</v>
      </c>
      <c r="P43">
        <v>1</v>
      </c>
      <c r="Q43">
        <v>4</v>
      </c>
      <c r="R43">
        <v>84.816757202148438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</row>
    <row r="44" spans="1:23">
      <c r="A44" t="s">
        <v>88</v>
      </c>
      <c r="B44" t="s">
        <v>87</v>
      </c>
      <c r="C44" t="s">
        <v>25</v>
      </c>
      <c r="D44" t="s">
        <v>33</v>
      </c>
      <c r="E44" t="s">
        <v>27</v>
      </c>
      <c r="F44" t="s">
        <v>28</v>
      </c>
      <c r="G44">
        <v>9.1431770324707031</v>
      </c>
      <c r="H44">
        <v>9.1117725372314453</v>
      </c>
      <c r="I44">
        <v>4.4413335621356964E-2</v>
      </c>
      <c r="J44">
        <v>104543560</v>
      </c>
      <c r="K44">
        <v>106563096</v>
      </c>
      <c r="L44">
        <v>2856055.25</v>
      </c>
      <c r="M44" t="b">
        <v>0</v>
      </c>
      <c r="N44">
        <v>1</v>
      </c>
      <c r="O44" t="b">
        <v>0</v>
      </c>
      <c r="P44">
        <v>1</v>
      </c>
      <c r="Q44">
        <v>4</v>
      </c>
      <c r="R44">
        <v>84.816757202148438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</row>
    <row r="45" spans="1:23">
      <c r="A45" t="s">
        <v>89</v>
      </c>
      <c r="B45" t="s">
        <v>90</v>
      </c>
      <c r="C45" t="s">
        <v>25</v>
      </c>
      <c r="D45" t="s">
        <v>33</v>
      </c>
      <c r="E45" t="s">
        <v>27</v>
      </c>
      <c r="F45" t="s">
        <v>28</v>
      </c>
      <c r="G45">
        <v>8.9878168106079102</v>
      </c>
      <c r="H45">
        <v>9.1650943756103516</v>
      </c>
      <c r="I45">
        <v>0.25070899724960327</v>
      </c>
      <c r="J45">
        <v>114820296</v>
      </c>
      <c r="K45">
        <v>103760832</v>
      </c>
      <c r="L45">
        <v>15640444</v>
      </c>
      <c r="M45" t="b">
        <v>0</v>
      </c>
      <c r="N45">
        <v>1</v>
      </c>
      <c r="O45" t="b">
        <v>0</v>
      </c>
      <c r="P45">
        <v>1</v>
      </c>
      <c r="Q45">
        <v>4</v>
      </c>
      <c r="R45">
        <v>84.625617980957031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</row>
    <row r="46" spans="1:23">
      <c r="A46" t="s">
        <v>91</v>
      </c>
      <c r="B46" t="s">
        <v>90</v>
      </c>
      <c r="C46" t="s">
        <v>25</v>
      </c>
      <c r="D46" t="s">
        <v>33</v>
      </c>
      <c r="E46" t="s">
        <v>27</v>
      </c>
      <c r="F46" t="s">
        <v>28</v>
      </c>
      <c r="G46">
        <v>9.3423728942871094</v>
      </c>
      <c r="H46">
        <v>9.1650943756103516</v>
      </c>
      <c r="I46">
        <v>0.25070899724960327</v>
      </c>
      <c r="J46">
        <v>92701368</v>
      </c>
      <c r="K46">
        <v>103760832</v>
      </c>
      <c r="L46">
        <v>15640444</v>
      </c>
      <c r="M46" t="b">
        <v>0</v>
      </c>
      <c r="N46">
        <v>1</v>
      </c>
      <c r="O46" t="b">
        <v>0</v>
      </c>
      <c r="P46">
        <v>1</v>
      </c>
      <c r="Q46">
        <v>4</v>
      </c>
      <c r="R46">
        <v>84.243354797363281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</row>
    <row r="47" spans="1:23">
      <c r="A47" t="s">
        <v>92</v>
      </c>
      <c r="B47" t="s">
        <v>93</v>
      </c>
      <c r="C47" t="s">
        <v>25</v>
      </c>
      <c r="D47" t="s">
        <v>33</v>
      </c>
      <c r="E47" t="s">
        <v>27</v>
      </c>
      <c r="F47" t="s">
        <v>28</v>
      </c>
      <c r="G47">
        <v>10.542111396789551</v>
      </c>
      <c r="H47">
        <v>10.569899559020996</v>
      </c>
      <c r="I47">
        <v>3.9298396557569504E-2</v>
      </c>
      <c r="J47">
        <v>44938996</v>
      </c>
      <c r="K47">
        <v>44197824</v>
      </c>
      <c r="L47">
        <v>1048175.5</v>
      </c>
      <c r="M47" t="b">
        <v>0</v>
      </c>
      <c r="N47">
        <v>1</v>
      </c>
      <c r="O47" t="b">
        <v>0</v>
      </c>
      <c r="P47">
        <v>1</v>
      </c>
      <c r="Q47">
        <v>4</v>
      </c>
      <c r="R47">
        <v>84.052215576171875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</row>
    <row r="48" spans="1:23">
      <c r="A48" t="s">
        <v>94</v>
      </c>
      <c r="B48" t="s">
        <v>93</v>
      </c>
      <c r="C48" t="s">
        <v>25</v>
      </c>
      <c r="D48" t="s">
        <v>33</v>
      </c>
      <c r="E48" t="s">
        <v>27</v>
      </c>
      <c r="F48" t="s">
        <v>28</v>
      </c>
      <c r="G48">
        <v>10.597687721252441</v>
      </c>
      <c r="H48">
        <v>10.569899559020996</v>
      </c>
      <c r="I48">
        <v>3.9298396557569504E-2</v>
      </c>
      <c r="J48">
        <v>43456652</v>
      </c>
      <c r="K48">
        <v>44197824</v>
      </c>
      <c r="L48">
        <v>1048175.5</v>
      </c>
      <c r="M48" t="b">
        <v>0</v>
      </c>
      <c r="N48">
        <v>1</v>
      </c>
      <c r="O48" t="b">
        <v>0</v>
      </c>
      <c r="P48">
        <v>1</v>
      </c>
      <c r="Q48">
        <v>4</v>
      </c>
      <c r="R48">
        <v>84.243354797363281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</row>
    <row r="49" spans="1:23">
      <c r="A49" t="s">
        <v>95</v>
      </c>
      <c r="B49" t="s">
        <v>96</v>
      </c>
      <c r="C49" t="s">
        <v>25</v>
      </c>
      <c r="D49" t="s">
        <v>33</v>
      </c>
      <c r="E49" t="s">
        <v>27</v>
      </c>
      <c r="F49" t="s">
        <v>28</v>
      </c>
      <c r="G49">
        <v>8.8124065399169922</v>
      </c>
      <c r="H49">
        <v>8.7817573547363281</v>
      </c>
      <c r="I49">
        <v>4.3344493955373764E-2</v>
      </c>
      <c r="J49">
        <v>127642512</v>
      </c>
      <c r="K49">
        <v>130047824</v>
      </c>
      <c r="L49">
        <v>3401624.75</v>
      </c>
      <c r="M49" t="b">
        <v>0</v>
      </c>
      <c r="N49">
        <v>1</v>
      </c>
      <c r="O49" t="b">
        <v>0</v>
      </c>
      <c r="P49">
        <v>1</v>
      </c>
      <c r="Q49">
        <v>4</v>
      </c>
      <c r="R49">
        <v>84.243354797363281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</row>
    <row r="50" spans="1:23">
      <c r="A50" t="s">
        <v>97</v>
      </c>
      <c r="B50" t="s">
        <v>96</v>
      </c>
      <c r="C50" t="s">
        <v>25</v>
      </c>
      <c r="D50" t="s">
        <v>33</v>
      </c>
      <c r="E50" t="s">
        <v>27</v>
      </c>
      <c r="F50" t="s">
        <v>28</v>
      </c>
      <c r="G50">
        <v>8.7511081695556641</v>
      </c>
      <c r="H50">
        <v>8.7817573547363281</v>
      </c>
      <c r="I50">
        <v>4.3344493955373764E-2</v>
      </c>
      <c r="J50">
        <v>132453136</v>
      </c>
      <c r="K50">
        <v>130047824</v>
      </c>
      <c r="L50">
        <v>3401624.75</v>
      </c>
      <c r="M50" t="b">
        <v>0</v>
      </c>
      <c r="N50">
        <v>1</v>
      </c>
      <c r="O50" t="b">
        <v>0</v>
      </c>
      <c r="P50">
        <v>1</v>
      </c>
      <c r="Q50">
        <v>4</v>
      </c>
      <c r="R50">
        <v>84.052215576171875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</row>
    <row r="51" spans="1:23">
      <c r="A51" t="s">
        <v>98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>
        <v>28.738960266113281</v>
      </c>
      <c r="H51">
        <v>28.437458038330078</v>
      </c>
      <c r="I51">
        <v>0.42638719081878662</v>
      </c>
      <c r="J51">
        <v>1000</v>
      </c>
      <c r="K51" t="s">
        <v>24</v>
      </c>
      <c r="L51" t="s">
        <v>24</v>
      </c>
      <c r="M51" t="b">
        <v>0</v>
      </c>
      <c r="N51">
        <v>1</v>
      </c>
      <c r="O51" t="b">
        <v>1</v>
      </c>
      <c r="P51">
        <v>3</v>
      </c>
      <c r="Q51">
        <v>23</v>
      </c>
      <c r="R51">
        <v>85.007888793945312</v>
      </c>
      <c r="S51" t="s">
        <v>24</v>
      </c>
      <c r="T51" t="s">
        <v>24</v>
      </c>
      <c r="U51" t="s">
        <v>24</v>
      </c>
      <c r="V51" t="s">
        <v>29</v>
      </c>
      <c r="W51" t="s">
        <v>29</v>
      </c>
    </row>
    <row r="52" spans="1:23">
      <c r="A52" t="s">
        <v>99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>
        <v>28.135957717895508</v>
      </c>
      <c r="H52">
        <v>28.437458038330078</v>
      </c>
      <c r="I52">
        <v>0.42638719081878662</v>
      </c>
      <c r="J52">
        <v>1000</v>
      </c>
      <c r="K52" t="s">
        <v>24</v>
      </c>
      <c r="L52" t="s">
        <v>24</v>
      </c>
      <c r="M52" t="b">
        <v>0</v>
      </c>
      <c r="N52">
        <v>1</v>
      </c>
      <c r="O52" t="b">
        <v>1</v>
      </c>
      <c r="P52">
        <v>3</v>
      </c>
      <c r="Q52">
        <v>23</v>
      </c>
      <c r="R52">
        <v>85.199020385742188</v>
      </c>
      <c r="S52" t="s">
        <v>24</v>
      </c>
      <c r="T52" t="s">
        <v>24</v>
      </c>
      <c r="U52" t="s">
        <v>24</v>
      </c>
      <c r="V52" t="s">
        <v>29</v>
      </c>
      <c r="W52" t="s">
        <v>29</v>
      </c>
    </row>
    <row r="53" spans="1:23">
      <c r="A53" t="s">
        <v>100</v>
      </c>
      <c r="B53" t="s">
        <v>176</v>
      </c>
      <c r="C53" t="s">
        <v>25</v>
      </c>
      <c r="D53" t="s">
        <v>33</v>
      </c>
      <c r="E53" t="s">
        <v>27</v>
      </c>
      <c r="F53" t="s">
        <v>28</v>
      </c>
      <c r="G53">
        <v>8.866633415222168</v>
      </c>
      <c r="H53">
        <v>8.8546276092529297</v>
      </c>
      <c r="I53">
        <v>1.6978099942207336E-2</v>
      </c>
      <c r="J53">
        <v>123532712</v>
      </c>
      <c r="K53">
        <v>124434288</v>
      </c>
      <c r="L53">
        <v>1275026.625</v>
      </c>
      <c r="M53" t="b">
        <v>0</v>
      </c>
      <c r="N53">
        <v>1</v>
      </c>
      <c r="O53" t="b">
        <v>0</v>
      </c>
      <c r="P53">
        <v>1</v>
      </c>
      <c r="Q53">
        <v>4</v>
      </c>
      <c r="R53">
        <v>85.390151977539062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</row>
    <row r="54" spans="1:23">
      <c r="A54" t="s">
        <v>102</v>
      </c>
      <c r="B54" t="s">
        <v>176</v>
      </c>
      <c r="C54" t="s">
        <v>25</v>
      </c>
      <c r="D54" t="s">
        <v>33</v>
      </c>
      <c r="E54" t="s">
        <v>27</v>
      </c>
      <c r="F54" t="s">
        <v>28</v>
      </c>
      <c r="G54">
        <v>8.8426227569580078</v>
      </c>
      <c r="H54">
        <v>8.8546276092529297</v>
      </c>
      <c r="I54">
        <v>1.6978099942207336E-2</v>
      </c>
      <c r="J54">
        <v>125335872</v>
      </c>
      <c r="K54">
        <v>124434288</v>
      </c>
      <c r="L54">
        <v>1275026.625</v>
      </c>
      <c r="M54" t="b">
        <v>0</v>
      </c>
      <c r="N54">
        <v>1</v>
      </c>
      <c r="O54" t="b">
        <v>0</v>
      </c>
      <c r="P54">
        <v>1</v>
      </c>
      <c r="Q54">
        <v>4</v>
      </c>
      <c r="R54">
        <v>85.581283569335938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</row>
    <row r="55" spans="1:23">
      <c r="A55" t="s">
        <v>103</v>
      </c>
      <c r="B55" t="s">
        <v>104</v>
      </c>
      <c r="C55" t="s">
        <v>25</v>
      </c>
      <c r="D55" t="s">
        <v>33</v>
      </c>
      <c r="E55" t="s">
        <v>27</v>
      </c>
      <c r="F55" t="s">
        <v>28</v>
      </c>
      <c r="G55">
        <v>9.009943962097168</v>
      </c>
      <c r="H55">
        <v>9.0112533569335938</v>
      </c>
      <c r="I55">
        <v>1.8510895315557718E-3</v>
      </c>
      <c r="J55">
        <v>113297136</v>
      </c>
      <c r="K55">
        <v>113207704</v>
      </c>
      <c r="L55">
        <v>126475.9453125</v>
      </c>
      <c r="M55" t="b">
        <v>0</v>
      </c>
      <c r="N55">
        <v>1</v>
      </c>
      <c r="O55" t="b">
        <v>0</v>
      </c>
      <c r="P55">
        <v>1</v>
      </c>
      <c r="Q55">
        <v>4</v>
      </c>
      <c r="R55">
        <v>84.816757202148438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</row>
    <row r="56" spans="1:23">
      <c r="A56" t="s">
        <v>105</v>
      </c>
      <c r="B56" t="s">
        <v>104</v>
      </c>
      <c r="C56" t="s">
        <v>25</v>
      </c>
      <c r="D56" t="s">
        <v>33</v>
      </c>
      <c r="E56" t="s">
        <v>27</v>
      </c>
      <c r="F56" t="s">
        <v>28</v>
      </c>
      <c r="G56">
        <v>9.0125617980957031</v>
      </c>
      <c r="H56">
        <v>9.0112533569335938</v>
      </c>
      <c r="I56">
        <v>1.8510895315557718E-3</v>
      </c>
      <c r="J56">
        <v>113118272</v>
      </c>
      <c r="K56">
        <v>113207704</v>
      </c>
      <c r="L56">
        <v>126475.9453125</v>
      </c>
      <c r="M56" t="b">
        <v>0</v>
      </c>
      <c r="N56">
        <v>1</v>
      </c>
      <c r="O56" t="b">
        <v>0</v>
      </c>
      <c r="P56">
        <v>1</v>
      </c>
      <c r="Q56">
        <v>4</v>
      </c>
      <c r="R56">
        <v>84.625617980957031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</row>
    <row r="57" spans="1:23">
      <c r="A57" t="s">
        <v>106</v>
      </c>
      <c r="B57" t="s">
        <v>107</v>
      </c>
      <c r="C57" t="s">
        <v>25</v>
      </c>
      <c r="D57" t="s">
        <v>33</v>
      </c>
      <c r="E57" t="s">
        <v>27</v>
      </c>
      <c r="F57" t="s">
        <v>28</v>
      </c>
      <c r="G57">
        <v>7.679875373840332</v>
      </c>
      <c r="H57">
        <v>7.6438789367675781</v>
      </c>
      <c r="I57">
        <v>5.0906985998153687E-2</v>
      </c>
      <c r="J57">
        <v>252838080</v>
      </c>
      <c r="K57">
        <v>258452080</v>
      </c>
      <c r="L57">
        <v>7939395</v>
      </c>
      <c r="M57" t="b">
        <v>0</v>
      </c>
      <c r="N57">
        <v>1</v>
      </c>
      <c r="O57" t="b">
        <v>0</v>
      </c>
      <c r="P57">
        <v>1</v>
      </c>
      <c r="Q57">
        <v>4</v>
      </c>
      <c r="R57">
        <v>84.816757202148438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</row>
    <row r="58" spans="1:23">
      <c r="A58" t="s">
        <v>108</v>
      </c>
      <c r="B58" t="s">
        <v>107</v>
      </c>
      <c r="C58" t="s">
        <v>25</v>
      </c>
      <c r="D58" t="s">
        <v>33</v>
      </c>
      <c r="E58" t="s">
        <v>27</v>
      </c>
      <c r="F58" t="s">
        <v>28</v>
      </c>
      <c r="G58">
        <v>7.607882022857666</v>
      </c>
      <c r="H58">
        <v>7.6438789367675781</v>
      </c>
      <c r="I58">
        <v>5.0906985998153687E-2</v>
      </c>
      <c r="J58">
        <v>264066080</v>
      </c>
      <c r="K58">
        <v>258452080</v>
      </c>
      <c r="L58">
        <v>7939395</v>
      </c>
      <c r="M58" t="b">
        <v>0</v>
      </c>
      <c r="N58">
        <v>1</v>
      </c>
      <c r="O58" t="b">
        <v>0</v>
      </c>
      <c r="P58">
        <v>1</v>
      </c>
      <c r="Q58">
        <v>4</v>
      </c>
      <c r="R58">
        <v>84.625617980957031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</row>
    <row r="59" spans="1:23">
      <c r="A59" t="s">
        <v>109</v>
      </c>
      <c r="B59" t="s">
        <v>110</v>
      </c>
      <c r="C59" t="s">
        <v>25</v>
      </c>
      <c r="D59" t="s">
        <v>33</v>
      </c>
      <c r="E59" t="s">
        <v>27</v>
      </c>
      <c r="F59" t="s">
        <v>28</v>
      </c>
      <c r="G59">
        <v>10.514707565307617</v>
      </c>
      <c r="H59">
        <v>10.600446701049805</v>
      </c>
      <c r="I59">
        <v>0.12125344574451447</v>
      </c>
      <c r="J59">
        <v>45688420</v>
      </c>
      <c r="K59">
        <v>43442448</v>
      </c>
      <c r="L59">
        <v>3176284</v>
      </c>
      <c r="M59" t="b">
        <v>0</v>
      </c>
      <c r="N59">
        <v>1</v>
      </c>
      <c r="O59" t="b">
        <v>0</v>
      </c>
      <c r="P59">
        <v>1</v>
      </c>
      <c r="Q59">
        <v>4</v>
      </c>
      <c r="R59">
        <v>84.434486389160156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</row>
    <row r="60" spans="1:23">
      <c r="A60" t="s">
        <v>111</v>
      </c>
      <c r="B60" t="s">
        <v>110</v>
      </c>
      <c r="C60" t="s">
        <v>25</v>
      </c>
      <c r="D60" t="s">
        <v>33</v>
      </c>
      <c r="E60" t="s">
        <v>27</v>
      </c>
      <c r="F60" t="s">
        <v>28</v>
      </c>
      <c r="G60">
        <v>10.686185836791992</v>
      </c>
      <c r="H60">
        <v>10.600446701049805</v>
      </c>
      <c r="I60">
        <v>0.12125344574451447</v>
      </c>
      <c r="J60">
        <v>41196476</v>
      </c>
      <c r="K60">
        <v>43442448</v>
      </c>
      <c r="L60">
        <v>3176284</v>
      </c>
      <c r="M60" t="b">
        <v>0</v>
      </c>
      <c r="N60">
        <v>1</v>
      </c>
      <c r="O60" t="b">
        <v>0</v>
      </c>
      <c r="P60">
        <v>1</v>
      </c>
      <c r="Q60">
        <v>4</v>
      </c>
      <c r="R60">
        <v>84.434486389160156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</row>
    <row r="61" spans="1:23">
      <c r="A61" t="s">
        <v>112</v>
      </c>
      <c r="B61" t="s">
        <v>113</v>
      </c>
      <c r="C61" t="s">
        <v>25</v>
      </c>
      <c r="D61" t="s">
        <v>33</v>
      </c>
      <c r="E61" t="s">
        <v>27</v>
      </c>
      <c r="F61" t="s">
        <v>28</v>
      </c>
      <c r="G61">
        <v>11.099390029907227</v>
      </c>
      <c r="H61">
        <v>11.509857177734375</v>
      </c>
      <c r="I61">
        <v>0.58048886060714722</v>
      </c>
      <c r="J61">
        <v>32103720</v>
      </c>
      <c r="K61">
        <v>25832120</v>
      </c>
      <c r="L61">
        <v>8869380</v>
      </c>
      <c r="M61" t="b">
        <v>0</v>
      </c>
      <c r="N61">
        <v>1</v>
      </c>
      <c r="O61" t="b">
        <v>0</v>
      </c>
      <c r="P61">
        <v>1</v>
      </c>
      <c r="Q61">
        <v>4</v>
      </c>
      <c r="R61">
        <v>84.243354797363281</v>
      </c>
      <c r="S61" t="s">
        <v>24</v>
      </c>
      <c r="T61" t="s">
        <v>24</v>
      </c>
      <c r="U61" t="s">
        <v>24</v>
      </c>
      <c r="V61" t="s">
        <v>29</v>
      </c>
      <c r="W61" t="s">
        <v>114</v>
      </c>
    </row>
    <row r="62" spans="1:23">
      <c r="A62" t="s">
        <v>115</v>
      </c>
      <c r="B62" t="s">
        <v>113</v>
      </c>
      <c r="C62" t="s">
        <v>25</v>
      </c>
      <c r="D62" t="s">
        <v>33</v>
      </c>
      <c r="E62" t="s">
        <v>27</v>
      </c>
      <c r="F62" t="s">
        <v>28</v>
      </c>
      <c r="G62">
        <v>11.92032527923584</v>
      </c>
      <c r="H62">
        <v>11.509857177734375</v>
      </c>
      <c r="I62">
        <v>0.58048886060714722</v>
      </c>
      <c r="J62">
        <v>19560522</v>
      </c>
      <c r="K62">
        <v>25832120</v>
      </c>
      <c r="L62">
        <v>8869380</v>
      </c>
      <c r="M62" t="b">
        <v>0</v>
      </c>
      <c r="N62">
        <v>1</v>
      </c>
      <c r="O62" t="b">
        <v>0</v>
      </c>
      <c r="P62">
        <v>1</v>
      </c>
      <c r="Q62">
        <v>4</v>
      </c>
      <c r="R62">
        <v>84.052215576171875</v>
      </c>
      <c r="S62" t="s">
        <v>24</v>
      </c>
      <c r="T62" t="s">
        <v>24</v>
      </c>
      <c r="U62" t="s">
        <v>24</v>
      </c>
      <c r="V62" t="s">
        <v>29</v>
      </c>
      <c r="W62" t="s">
        <v>114</v>
      </c>
    </row>
    <row r="63" spans="1:23">
      <c r="A63" t="s">
        <v>116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b">
        <v>0</v>
      </c>
      <c r="N63">
        <v>1</v>
      </c>
      <c r="O63" t="b">
        <v>1</v>
      </c>
      <c r="P63">
        <v>3</v>
      </c>
      <c r="Q63">
        <v>23</v>
      </c>
      <c r="R63" t="s">
        <v>24</v>
      </c>
      <c r="S63" t="s">
        <v>24</v>
      </c>
      <c r="T63" t="s">
        <v>24</v>
      </c>
      <c r="U63" t="s">
        <v>24</v>
      </c>
      <c r="V63" t="s">
        <v>29</v>
      </c>
      <c r="W63" t="s">
        <v>29</v>
      </c>
    </row>
    <row r="64" spans="1:23">
      <c r="A64" t="s">
        <v>117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b">
        <v>0</v>
      </c>
      <c r="N64">
        <v>1</v>
      </c>
      <c r="O64" t="b">
        <v>1</v>
      </c>
      <c r="P64">
        <v>3</v>
      </c>
      <c r="Q64">
        <v>23</v>
      </c>
      <c r="R64" t="s">
        <v>24</v>
      </c>
      <c r="S64" t="s">
        <v>24</v>
      </c>
      <c r="T64" t="s">
        <v>24</v>
      </c>
      <c r="U64" t="s">
        <v>24</v>
      </c>
      <c r="V64" t="s">
        <v>29</v>
      </c>
      <c r="W64" t="s">
        <v>29</v>
      </c>
    </row>
    <row r="65" spans="1:23">
      <c r="A65" t="s">
        <v>118</v>
      </c>
      <c r="B65" t="s">
        <v>177</v>
      </c>
      <c r="C65" t="s">
        <v>25</v>
      </c>
      <c r="D65" t="s">
        <v>33</v>
      </c>
      <c r="E65" t="s">
        <v>27</v>
      </c>
      <c r="F65" t="s">
        <v>28</v>
      </c>
      <c r="G65">
        <v>9.3968410491943359</v>
      </c>
      <c r="H65">
        <v>9.3602352142333984</v>
      </c>
      <c r="I65">
        <v>5.1768466830253601E-2</v>
      </c>
      <c r="J65">
        <v>89703528</v>
      </c>
      <c r="K65">
        <v>91729760</v>
      </c>
      <c r="L65">
        <v>2865519</v>
      </c>
      <c r="M65" t="b">
        <v>0</v>
      </c>
      <c r="N65">
        <v>1</v>
      </c>
      <c r="O65" t="b">
        <v>0</v>
      </c>
      <c r="P65">
        <v>1</v>
      </c>
      <c r="Q65">
        <v>4</v>
      </c>
      <c r="R65">
        <v>85.390151977539062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</row>
    <row r="66" spans="1:23">
      <c r="A66" t="s">
        <v>120</v>
      </c>
      <c r="B66" t="s">
        <v>177</v>
      </c>
      <c r="C66" t="s">
        <v>25</v>
      </c>
      <c r="D66" t="s">
        <v>33</v>
      </c>
      <c r="E66" t="s">
        <v>27</v>
      </c>
      <c r="F66" t="s">
        <v>28</v>
      </c>
      <c r="G66">
        <v>9.3236293792724609</v>
      </c>
      <c r="H66">
        <v>9.3602352142333984</v>
      </c>
      <c r="I66">
        <v>5.1768466830253601E-2</v>
      </c>
      <c r="J66">
        <v>93755984</v>
      </c>
      <c r="K66">
        <v>91729760</v>
      </c>
      <c r="L66">
        <v>2865519</v>
      </c>
      <c r="M66" t="b">
        <v>0</v>
      </c>
      <c r="N66">
        <v>1</v>
      </c>
      <c r="O66" t="b">
        <v>0</v>
      </c>
      <c r="P66">
        <v>1</v>
      </c>
      <c r="Q66">
        <v>4</v>
      </c>
      <c r="R66">
        <v>85.581283569335938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</row>
    <row r="67" spans="1:23">
      <c r="A67" t="s">
        <v>121</v>
      </c>
      <c r="B67" t="s">
        <v>122</v>
      </c>
      <c r="C67" t="s">
        <v>25</v>
      </c>
      <c r="D67" t="s">
        <v>33</v>
      </c>
      <c r="E67" t="s">
        <v>27</v>
      </c>
      <c r="F67" t="s">
        <v>28</v>
      </c>
      <c r="G67">
        <v>9.4062042236328125</v>
      </c>
      <c r="H67">
        <v>9.4392910003662109</v>
      </c>
      <c r="I67">
        <v>4.6792443841695786E-2</v>
      </c>
      <c r="J67">
        <v>89198048</v>
      </c>
      <c r="K67">
        <v>87451944</v>
      </c>
      <c r="L67">
        <v>2469364</v>
      </c>
      <c r="M67" t="b">
        <v>0</v>
      </c>
      <c r="N67">
        <v>1</v>
      </c>
      <c r="O67" t="b">
        <v>0</v>
      </c>
      <c r="P67">
        <v>1</v>
      </c>
      <c r="Q67">
        <v>4</v>
      </c>
      <c r="R67">
        <v>84.816757202148438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</row>
    <row r="68" spans="1:23">
      <c r="A68" t="s">
        <v>123</v>
      </c>
      <c r="B68" t="s">
        <v>122</v>
      </c>
      <c r="C68" t="s">
        <v>25</v>
      </c>
      <c r="D68" t="s">
        <v>33</v>
      </c>
      <c r="E68" t="s">
        <v>27</v>
      </c>
      <c r="F68" t="s">
        <v>28</v>
      </c>
      <c r="G68">
        <v>9.4723787307739258</v>
      </c>
      <c r="H68">
        <v>9.4392910003662109</v>
      </c>
      <c r="I68">
        <v>4.6792443841695786E-2</v>
      </c>
      <c r="J68">
        <v>85705840</v>
      </c>
      <c r="K68">
        <v>87451944</v>
      </c>
      <c r="L68">
        <v>2469364</v>
      </c>
      <c r="M68" t="b">
        <v>0</v>
      </c>
      <c r="N68">
        <v>1</v>
      </c>
      <c r="O68" t="b">
        <v>0</v>
      </c>
      <c r="P68">
        <v>1</v>
      </c>
      <c r="Q68">
        <v>4</v>
      </c>
      <c r="R68">
        <v>84.816757202148438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</row>
    <row r="69" spans="1:23">
      <c r="A69" t="s">
        <v>124</v>
      </c>
      <c r="B69" t="s">
        <v>125</v>
      </c>
      <c r="C69" t="s">
        <v>25</v>
      </c>
      <c r="D69" t="s">
        <v>33</v>
      </c>
      <c r="E69" t="s">
        <v>27</v>
      </c>
      <c r="F69" t="s">
        <v>28</v>
      </c>
      <c r="G69">
        <v>8.292633056640625</v>
      </c>
      <c r="H69">
        <v>8.3662433624267578</v>
      </c>
      <c r="I69">
        <v>0.10410068929195404</v>
      </c>
      <c r="J69">
        <v>174675856</v>
      </c>
      <c r="K69">
        <v>167250480</v>
      </c>
      <c r="L69">
        <v>10501067</v>
      </c>
      <c r="M69" t="b">
        <v>0</v>
      </c>
      <c r="N69">
        <v>1</v>
      </c>
      <c r="O69" t="b">
        <v>0</v>
      </c>
      <c r="P69">
        <v>1</v>
      </c>
      <c r="Q69">
        <v>4</v>
      </c>
      <c r="R69">
        <v>85.007888793945312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</row>
    <row r="70" spans="1:23">
      <c r="A70" t="s">
        <v>126</v>
      </c>
      <c r="B70" t="s">
        <v>125</v>
      </c>
      <c r="C70" t="s">
        <v>25</v>
      </c>
      <c r="D70" t="s">
        <v>33</v>
      </c>
      <c r="E70" t="s">
        <v>27</v>
      </c>
      <c r="F70" t="s">
        <v>28</v>
      </c>
      <c r="G70">
        <v>8.4398536682128906</v>
      </c>
      <c r="H70">
        <v>8.3662433624267578</v>
      </c>
      <c r="I70">
        <v>0.10410068929195404</v>
      </c>
      <c r="J70">
        <v>159825104</v>
      </c>
      <c r="K70">
        <v>167250480</v>
      </c>
      <c r="L70">
        <v>10501067</v>
      </c>
      <c r="M70" t="b">
        <v>0</v>
      </c>
      <c r="N70">
        <v>1</v>
      </c>
      <c r="O70" t="b">
        <v>0</v>
      </c>
      <c r="P70">
        <v>1</v>
      </c>
      <c r="Q70">
        <v>4</v>
      </c>
      <c r="R70">
        <v>84.816757202148438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</row>
    <row r="71" spans="1:23">
      <c r="A71" t="s">
        <v>127</v>
      </c>
      <c r="B71" t="s">
        <v>128</v>
      </c>
      <c r="C71" t="s">
        <v>25</v>
      </c>
      <c r="D71" t="s">
        <v>33</v>
      </c>
      <c r="E71" t="s">
        <v>27</v>
      </c>
      <c r="F71" t="s">
        <v>28</v>
      </c>
      <c r="G71">
        <v>10.68807315826416</v>
      </c>
      <c r="H71">
        <v>10.537982940673828</v>
      </c>
      <c r="I71">
        <v>0.2122589498758316</v>
      </c>
      <c r="J71">
        <v>41149580</v>
      </c>
      <c r="K71">
        <v>45236048</v>
      </c>
      <c r="L71">
        <v>5779141.5</v>
      </c>
      <c r="M71" t="b">
        <v>0</v>
      </c>
      <c r="N71">
        <v>1</v>
      </c>
      <c r="O71" t="b">
        <v>0</v>
      </c>
      <c r="P71">
        <v>1</v>
      </c>
      <c r="Q71">
        <v>4</v>
      </c>
      <c r="R71">
        <v>84.816757202148438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</row>
    <row r="72" spans="1:23">
      <c r="A72" t="s">
        <v>129</v>
      </c>
      <c r="B72" t="s">
        <v>128</v>
      </c>
      <c r="C72" t="s">
        <v>25</v>
      </c>
      <c r="D72" t="s">
        <v>33</v>
      </c>
      <c r="E72" t="s">
        <v>27</v>
      </c>
      <c r="F72" t="s">
        <v>28</v>
      </c>
      <c r="G72">
        <v>10.387893676757812</v>
      </c>
      <c r="H72">
        <v>10.537982940673828</v>
      </c>
      <c r="I72">
        <v>0.2122589498758316</v>
      </c>
      <c r="J72">
        <v>49322520</v>
      </c>
      <c r="K72">
        <v>45236048</v>
      </c>
      <c r="L72">
        <v>5779141.5</v>
      </c>
      <c r="M72" t="b">
        <v>0</v>
      </c>
      <c r="N72">
        <v>1</v>
      </c>
      <c r="O72" t="b">
        <v>0</v>
      </c>
      <c r="P72">
        <v>1</v>
      </c>
      <c r="Q72">
        <v>4</v>
      </c>
      <c r="R72">
        <v>84.625617980957031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</row>
    <row r="73" spans="1:23">
      <c r="A73" t="s">
        <v>130</v>
      </c>
      <c r="B73" t="s">
        <v>131</v>
      </c>
      <c r="C73" t="s">
        <v>25</v>
      </c>
      <c r="D73" t="s">
        <v>33</v>
      </c>
      <c r="E73" t="s">
        <v>27</v>
      </c>
      <c r="F73" t="s">
        <v>28</v>
      </c>
      <c r="G73">
        <v>11.493029594421387</v>
      </c>
      <c r="H73">
        <v>11.302436828613281</v>
      </c>
      <c r="I73">
        <v>0.26953887939453125</v>
      </c>
      <c r="J73">
        <v>25315044</v>
      </c>
      <c r="K73">
        <v>28589182</v>
      </c>
      <c r="L73">
        <v>4630330.5</v>
      </c>
      <c r="M73" t="b">
        <v>0</v>
      </c>
      <c r="N73">
        <v>1</v>
      </c>
      <c r="O73" t="b">
        <v>0</v>
      </c>
      <c r="P73">
        <v>1</v>
      </c>
      <c r="Q73">
        <v>4</v>
      </c>
      <c r="R73">
        <v>84.434486389160156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</row>
    <row r="74" spans="1:23">
      <c r="A74" t="s">
        <v>132</v>
      </c>
      <c r="B74" t="s">
        <v>131</v>
      </c>
      <c r="C74" t="s">
        <v>25</v>
      </c>
      <c r="D74" t="s">
        <v>33</v>
      </c>
      <c r="E74" t="s">
        <v>27</v>
      </c>
      <c r="F74" t="s">
        <v>28</v>
      </c>
      <c r="G74">
        <v>11.111844062805176</v>
      </c>
      <c r="H74">
        <v>11.302436828613281</v>
      </c>
      <c r="I74">
        <v>0.26953887939453125</v>
      </c>
      <c r="J74">
        <v>31863320</v>
      </c>
      <c r="K74">
        <v>28589182</v>
      </c>
      <c r="L74">
        <v>4630330.5</v>
      </c>
      <c r="M74" t="b">
        <v>0</v>
      </c>
      <c r="N74">
        <v>1</v>
      </c>
      <c r="O74" t="b">
        <v>0</v>
      </c>
      <c r="P74">
        <v>1</v>
      </c>
      <c r="Q74">
        <v>4</v>
      </c>
      <c r="R74">
        <v>84.243354797363281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</row>
    <row r="75" spans="1:23">
      <c r="A75" t="s">
        <v>133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b">
        <v>0</v>
      </c>
      <c r="N75">
        <v>1</v>
      </c>
      <c r="O75" t="b">
        <v>1</v>
      </c>
      <c r="P75">
        <v>3</v>
      </c>
      <c r="Q75">
        <v>25</v>
      </c>
      <c r="R75" t="s">
        <v>24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</row>
    <row r="76" spans="1:23">
      <c r="A76" t="s">
        <v>134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b">
        <v>0</v>
      </c>
      <c r="N76">
        <v>1</v>
      </c>
      <c r="O76" t="b">
        <v>1</v>
      </c>
      <c r="P76">
        <v>3</v>
      </c>
      <c r="Q76">
        <v>49</v>
      </c>
      <c r="R76" t="s">
        <v>24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</row>
    <row r="77" spans="1:23">
      <c r="A77" t="s">
        <v>135</v>
      </c>
      <c r="B77" t="s">
        <v>178</v>
      </c>
      <c r="C77" t="s">
        <v>25</v>
      </c>
      <c r="D77" t="s">
        <v>33</v>
      </c>
      <c r="E77" t="s">
        <v>27</v>
      </c>
      <c r="F77" t="s">
        <v>28</v>
      </c>
      <c r="G77">
        <v>10.480194091796875</v>
      </c>
      <c r="H77">
        <v>10.422954559326172</v>
      </c>
      <c r="I77">
        <v>8.0948248505592346E-2</v>
      </c>
      <c r="J77">
        <v>46650088</v>
      </c>
      <c r="K77">
        <v>48318612</v>
      </c>
      <c r="L77">
        <v>2359649.25</v>
      </c>
      <c r="M77" t="b">
        <v>0</v>
      </c>
      <c r="N77">
        <v>1</v>
      </c>
      <c r="O77" t="b">
        <v>0</v>
      </c>
      <c r="P77">
        <v>1</v>
      </c>
      <c r="Q77">
        <v>4</v>
      </c>
      <c r="R77">
        <v>85.390151977539062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</row>
    <row r="78" spans="1:23">
      <c r="A78" t="s">
        <v>137</v>
      </c>
      <c r="B78" t="s">
        <v>178</v>
      </c>
      <c r="C78" t="s">
        <v>25</v>
      </c>
      <c r="D78" t="s">
        <v>33</v>
      </c>
      <c r="E78" t="s">
        <v>27</v>
      </c>
      <c r="F78" t="s">
        <v>28</v>
      </c>
      <c r="G78">
        <v>10.365715980529785</v>
      </c>
      <c r="H78">
        <v>10.422954559326172</v>
      </c>
      <c r="I78">
        <v>8.0948248505592346E-2</v>
      </c>
      <c r="J78">
        <v>49987136</v>
      </c>
      <c r="K78">
        <v>48318612</v>
      </c>
      <c r="L78">
        <v>2359649.25</v>
      </c>
      <c r="M78" t="b">
        <v>0</v>
      </c>
      <c r="N78">
        <v>1</v>
      </c>
      <c r="O78" t="b">
        <v>0</v>
      </c>
      <c r="P78">
        <v>1</v>
      </c>
      <c r="Q78">
        <v>4</v>
      </c>
      <c r="R78">
        <v>67.42364501953125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</row>
    <row r="79" spans="1:23">
      <c r="A79" t="s">
        <v>138</v>
      </c>
      <c r="B79" t="s">
        <v>139</v>
      </c>
      <c r="C79" t="s">
        <v>25</v>
      </c>
      <c r="D79" t="s">
        <v>33</v>
      </c>
      <c r="E79" t="s">
        <v>27</v>
      </c>
      <c r="F79" t="s">
        <v>28</v>
      </c>
      <c r="G79">
        <v>8.7081308364868164</v>
      </c>
      <c r="H79">
        <v>8.6716423034667969</v>
      </c>
      <c r="I79">
        <v>5.1603253930807114E-2</v>
      </c>
      <c r="J79">
        <v>135933664</v>
      </c>
      <c r="K79">
        <v>138994112</v>
      </c>
      <c r="L79">
        <v>4328138.5</v>
      </c>
      <c r="M79" t="b">
        <v>0</v>
      </c>
      <c r="N79">
        <v>1</v>
      </c>
      <c r="O79" t="b">
        <v>0</v>
      </c>
      <c r="P79">
        <v>1</v>
      </c>
      <c r="Q79">
        <v>4</v>
      </c>
      <c r="R79">
        <v>88.830551147460938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</row>
    <row r="80" spans="1:23">
      <c r="A80" t="s">
        <v>140</v>
      </c>
      <c r="B80" t="s">
        <v>139</v>
      </c>
      <c r="C80" t="s">
        <v>25</v>
      </c>
      <c r="D80" t="s">
        <v>33</v>
      </c>
      <c r="E80" t="s">
        <v>27</v>
      </c>
      <c r="F80" t="s">
        <v>28</v>
      </c>
      <c r="G80">
        <v>8.6351528167724609</v>
      </c>
      <c r="H80">
        <v>8.6716423034667969</v>
      </c>
      <c r="I80">
        <v>5.1603253930807114E-2</v>
      </c>
      <c r="J80">
        <v>142054576</v>
      </c>
      <c r="K80">
        <v>138994112</v>
      </c>
      <c r="L80">
        <v>4328138.5</v>
      </c>
      <c r="M80" t="b">
        <v>0</v>
      </c>
      <c r="N80">
        <v>1</v>
      </c>
      <c r="O80" t="b">
        <v>0</v>
      </c>
      <c r="P80">
        <v>1</v>
      </c>
      <c r="Q80">
        <v>4</v>
      </c>
      <c r="R80">
        <v>83.0965576171875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</row>
    <row r="81" spans="1:23">
      <c r="A81" t="s">
        <v>141</v>
      </c>
      <c r="B81" t="s">
        <v>142</v>
      </c>
      <c r="C81" t="s">
        <v>25</v>
      </c>
      <c r="D81" t="s">
        <v>33</v>
      </c>
      <c r="E81" t="s">
        <v>27</v>
      </c>
      <c r="F81" t="s">
        <v>28</v>
      </c>
      <c r="G81">
        <v>8.4285430908203125</v>
      </c>
      <c r="H81">
        <v>8.3082656860351562</v>
      </c>
      <c r="I81">
        <v>0.17009726166725159</v>
      </c>
      <c r="J81">
        <v>160919840</v>
      </c>
      <c r="K81">
        <v>173491648</v>
      </c>
      <c r="L81">
        <v>17779210</v>
      </c>
      <c r="M81" t="b">
        <v>0</v>
      </c>
      <c r="N81">
        <v>1</v>
      </c>
      <c r="O81" t="b">
        <v>0</v>
      </c>
      <c r="P81">
        <v>1</v>
      </c>
      <c r="Q81">
        <v>4</v>
      </c>
      <c r="R81">
        <v>88.448280334472656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</row>
    <row r="82" spans="1:23">
      <c r="A82" t="s">
        <v>143</v>
      </c>
      <c r="B82" t="s">
        <v>142</v>
      </c>
      <c r="C82" t="s">
        <v>25</v>
      </c>
      <c r="D82" t="s">
        <v>33</v>
      </c>
      <c r="E82" t="s">
        <v>27</v>
      </c>
      <c r="F82" t="s">
        <v>28</v>
      </c>
      <c r="G82">
        <v>8.1879892349243164</v>
      </c>
      <c r="H82">
        <v>8.3082656860351562</v>
      </c>
      <c r="I82">
        <v>0.17009726166725159</v>
      </c>
      <c r="J82">
        <v>186063440</v>
      </c>
      <c r="K82">
        <v>173491648</v>
      </c>
      <c r="L82">
        <v>17779210</v>
      </c>
      <c r="M82" t="b">
        <v>0</v>
      </c>
      <c r="N82">
        <v>1</v>
      </c>
      <c r="O82" t="b">
        <v>0</v>
      </c>
      <c r="P82">
        <v>1</v>
      </c>
      <c r="Q82">
        <v>4</v>
      </c>
      <c r="R82">
        <v>88.448280334472656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</row>
    <row r="83" spans="1:23">
      <c r="A83" t="s">
        <v>144</v>
      </c>
      <c r="B83" t="s">
        <v>145</v>
      </c>
      <c r="C83" t="s">
        <v>25</v>
      </c>
      <c r="D83" t="s">
        <v>33</v>
      </c>
      <c r="E83" t="s">
        <v>27</v>
      </c>
      <c r="F83" t="s">
        <v>28</v>
      </c>
      <c r="G83">
        <v>8.6590414047241211</v>
      </c>
      <c r="H83">
        <v>8.6456890106201172</v>
      </c>
      <c r="I83">
        <v>1.8882462754845619E-2</v>
      </c>
      <c r="J83">
        <v>140021200</v>
      </c>
      <c r="K83">
        <v>141158672</v>
      </c>
      <c r="L83">
        <v>1608628.375</v>
      </c>
      <c r="M83" t="b">
        <v>0</v>
      </c>
      <c r="N83">
        <v>1</v>
      </c>
      <c r="O83" t="b">
        <v>0</v>
      </c>
      <c r="P83">
        <v>1</v>
      </c>
      <c r="Q83">
        <v>4</v>
      </c>
      <c r="R83">
        <v>85.007888793945312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</row>
    <row r="84" spans="1:23">
      <c r="A84" t="s">
        <v>146</v>
      </c>
      <c r="B84" t="s">
        <v>145</v>
      </c>
      <c r="C84" t="s">
        <v>25</v>
      </c>
      <c r="D84" t="s">
        <v>33</v>
      </c>
      <c r="E84" t="s">
        <v>27</v>
      </c>
      <c r="F84" t="s">
        <v>28</v>
      </c>
      <c r="G84">
        <v>8.6323375701904297</v>
      </c>
      <c r="H84">
        <v>8.6456890106201172</v>
      </c>
      <c r="I84">
        <v>1.8882462754845619E-2</v>
      </c>
      <c r="J84">
        <v>142296144</v>
      </c>
      <c r="K84">
        <v>141158672</v>
      </c>
      <c r="L84">
        <v>1608628.375</v>
      </c>
      <c r="M84" t="b">
        <v>0</v>
      </c>
      <c r="N84">
        <v>1</v>
      </c>
      <c r="O84" t="b">
        <v>0</v>
      </c>
      <c r="P84">
        <v>1</v>
      </c>
      <c r="Q84">
        <v>4</v>
      </c>
      <c r="R84">
        <v>79.273895263671875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</row>
    <row r="85" spans="1:23">
      <c r="A85" t="s">
        <v>147</v>
      </c>
      <c r="B85" t="s">
        <v>148</v>
      </c>
      <c r="C85" t="s">
        <v>25</v>
      </c>
      <c r="D85" t="s">
        <v>33</v>
      </c>
      <c r="E85" t="s">
        <v>27</v>
      </c>
      <c r="F85" t="s">
        <v>28</v>
      </c>
      <c r="G85">
        <v>12.259126663208008</v>
      </c>
      <c r="H85">
        <v>12.471513748168945</v>
      </c>
      <c r="I85">
        <v>0.30036136507987976</v>
      </c>
      <c r="J85">
        <v>15943270</v>
      </c>
      <c r="K85">
        <v>14140565</v>
      </c>
      <c r="L85">
        <v>2549409.75</v>
      </c>
      <c r="M85" t="b">
        <v>0</v>
      </c>
      <c r="N85">
        <v>1</v>
      </c>
      <c r="O85" t="b">
        <v>0</v>
      </c>
      <c r="P85">
        <v>1</v>
      </c>
      <c r="Q85">
        <v>4</v>
      </c>
      <c r="R85">
        <v>88.830551147460938</v>
      </c>
      <c r="S85" t="s">
        <v>24</v>
      </c>
      <c r="T85" t="s">
        <v>24</v>
      </c>
      <c r="U85" t="s">
        <v>24</v>
      </c>
      <c r="V85" t="s">
        <v>29</v>
      </c>
      <c r="W85" t="s">
        <v>29</v>
      </c>
    </row>
    <row r="86" spans="1:23">
      <c r="A86" t="s">
        <v>149</v>
      </c>
      <c r="B86" t="s">
        <v>148</v>
      </c>
      <c r="C86" t="s">
        <v>25</v>
      </c>
      <c r="D86" t="s">
        <v>33</v>
      </c>
      <c r="E86" t="s">
        <v>27</v>
      </c>
      <c r="F86" t="s">
        <v>28</v>
      </c>
      <c r="G86">
        <v>12.683901786804199</v>
      </c>
      <c r="H86">
        <v>12.471513748168945</v>
      </c>
      <c r="I86">
        <v>0.30036136507987976</v>
      </c>
      <c r="J86">
        <v>12337860</v>
      </c>
      <c r="K86">
        <v>14140565</v>
      </c>
      <c r="L86">
        <v>2549409.75</v>
      </c>
      <c r="M86" t="b">
        <v>0</v>
      </c>
      <c r="N86">
        <v>1</v>
      </c>
      <c r="O86" t="b">
        <v>0</v>
      </c>
      <c r="P86">
        <v>1</v>
      </c>
      <c r="Q86">
        <v>4</v>
      </c>
      <c r="R86">
        <v>84.243354797363281</v>
      </c>
      <c r="S86" t="s">
        <v>24</v>
      </c>
      <c r="T86" t="s">
        <v>24</v>
      </c>
      <c r="U86" t="s">
        <v>24</v>
      </c>
      <c r="V86" t="s">
        <v>29</v>
      </c>
      <c r="W86" t="s">
        <v>29</v>
      </c>
    </row>
    <row r="87" spans="1:23">
      <c r="A87" t="s">
        <v>150</v>
      </c>
      <c r="B87" t="s">
        <v>24</v>
      </c>
      <c r="C87" t="s">
        <v>25</v>
      </c>
      <c r="D87" t="s">
        <v>151</v>
      </c>
      <c r="E87" t="s">
        <v>27</v>
      </c>
      <c r="F87" t="s">
        <v>28</v>
      </c>
      <c r="G87" t="s">
        <v>179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b">
        <v>0</v>
      </c>
      <c r="N87">
        <v>1</v>
      </c>
      <c r="O87" t="b">
        <v>1</v>
      </c>
      <c r="P87">
        <v>3</v>
      </c>
      <c r="Q87">
        <v>49</v>
      </c>
      <c r="R87">
        <v>62.454189300537109</v>
      </c>
      <c r="S87" t="s">
        <v>24</v>
      </c>
      <c r="T87" t="s">
        <v>24</v>
      </c>
      <c r="U87" t="s">
        <v>24</v>
      </c>
      <c r="V87" t="s">
        <v>29</v>
      </c>
      <c r="W87" t="s">
        <v>29</v>
      </c>
    </row>
    <row r="88" spans="1:23">
      <c r="A88" t="s">
        <v>152</v>
      </c>
      <c r="B88" t="s">
        <v>24</v>
      </c>
      <c r="C88" t="s">
        <v>25</v>
      </c>
      <c r="D88" t="s">
        <v>151</v>
      </c>
      <c r="E88" t="s">
        <v>27</v>
      </c>
      <c r="F88" t="s">
        <v>28</v>
      </c>
      <c r="G88">
        <v>35.697998046875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b">
        <v>0</v>
      </c>
      <c r="N88">
        <v>1</v>
      </c>
      <c r="O88" t="b">
        <v>1</v>
      </c>
      <c r="P88">
        <v>3</v>
      </c>
      <c r="Q88">
        <v>31</v>
      </c>
      <c r="R88">
        <v>83.861083984375</v>
      </c>
      <c r="S88" t="s">
        <v>24</v>
      </c>
      <c r="T88" t="s">
        <v>24</v>
      </c>
      <c r="U88" t="s">
        <v>24</v>
      </c>
      <c r="V88" t="s">
        <v>29</v>
      </c>
      <c r="W88" t="s">
        <v>29</v>
      </c>
    </row>
    <row r="89" spans="1:23">
      <c r="A89" t="s">
        <v>153</v>
      </c>
      <c r="B89" t="s">
        <v>180</v>
      </c>
      <c r="C89" t="s">
        <v>25</v>
      </c>
      <c r="D89" t="s">
        <v>33</v>
      </c>
      <c r="E89" t="s">
        <v>27</v>
      </c>
      <c r="F89" t="s">
        <v>28</v>
      </c>
      <c r="G89">
        <v>11.36400318145752</v>
      </c>
      <c r="H89">
        <v>11.780815124511719</v>
      </c>
      <c r="I89">
        <v>0.58946108818054199</v>
      </c>
      <c r="J89">
        <v>27365144</v>
      </c>
      <c r="K89">
        <v>21955648</v>
      </c>
      <c r="L89">
        <v>7650182</v>
      </c>
      <c r="M89" t="b">
        <v>0</v>
      </c>
      <c r="N89">
        <v>1</v>
      </c>
      <c r="O89" t="b">
        <v>0</v>
      </c>
      <c r="P89">
        <v>1</v>
      </c>
      <c r="Q89">
        <v>4</v>
      </c>
      <c r="R89">
        <v>65.703445434570312</v>
      </c>
      <c r="S89" t="s">
        <v>24</v>
      </c>
      <c r="T89" t="s">
        <v>24</v>
      </c>
      <c r="U89" t="s">
        <v>24</v>
      </c>
      <c r="V89" t="s">
        <v>114</v>
      </c>
      <c r="W89" t="s">
        <v>114</v>
      </c>
    </row>
    <row r="90" spans="1:23">
      <c r="A90" t="s">
        <v>155</v>
      </c>
      <c r="B90" t="s">
        <v>180</v>
      </c>
      <c r="C90" t="s">
        <v>25</v>
      </c>
      <c r="D90" t="s">
        <v>33</v>
      </c>
      <c r="E90" t="s">
        <v>27</v>
      </c>
      <c r="F90" t="s">
        <v>28</v>
      </c>
      <c r="G90">
        <v>12.197627067565918</v>
      </c>
      <c r="H90">
        <v>11.780815124511719</v>
      </c>
      <c r="I90">
        <v>0.58946108818054199</v>
      </c>
      <c r="J90">
        <v>16546153</v>
      </c>
      <c r="K90">
        <v>21955648</v>
      </c>
      <c r="L90">
        <v>7650182</v>
      </c>
      <c r="M90" t="b">
        <v>0</v>
      </c>
      <c r="N90">
        <v>1</v>
      </c>
      <c r="O90" t="b">
        <v>0</v>
      </c>
      <c r="P90">
        <v>1</v>
      </c>
      <c r="Q90">
        <v>4</v>
      </c>
      <c r="R90">
        <v>65.512313842773438</v>
      </c>
      <c r="S90" t="s">
        <v>24</v>
      </c>
      <c r="T90" t="s">
        <v>24</v>
      </c>
      <c r="U90" t="s">
        <v>24</v>
      </c>
      <c r="V90" t="s">
        <v>29</v>
      </c>
      <c r="W90" t="s">
        <v>114</v>
      </c>
    </row>
    <row r="91" spans="1:23">
      <c r="A91" t="s">
        <v>156</v>
      </c>
      <c r="B91" t="s">
        <v>157</v>
      </c>
      <c r="C91" t="s">
        <v>25</v>
      </c>
      <c r="D91" t="s">
        <v>33</v>
      </c>
      <c r="E91" t="s">
        <v>27</v>
      </c>
      <c r="F91" t="s">
        <v>28</v>
      </c>
      <c r="G91">
        <v>9.8471250534057617</v>
      </c>
      <c r="H91">
        <v>9.8950424194335938</v>
      </c>
      <c r="I91">
        <v>6.7766062915325165E-2</v>
      </c>
      <c r="J91">
        <v>68357448</v>
      </c>
      <c r="K91">
        <v>66436648</v>
      </c>
      <c r="L91">
        <v>2716421.5</v>
      </c>
      <c r="M91" t="b">
        <v>0</v>
      </c>
      <c r="N91">
        <v>1</v>
      </c>
      <c r="O91" t="b">
        <v>0</v>
      </c>
      <c r="P91">
        <v>1</v>
      </c>
      <c r="Q91">
        <v>4</v>
      </c>
      <c r="R91">
        <v>89.403945922851562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</row>
    <row r="92" spans="1:23">
      <c r="A92" t="s">
        <v>158</v>
      </c>
      <c r="B92" t="s">
        <v>157</v>
      </c>
      <c r="C92" t="s">
        <v>25</v>
      </c>
      <c r="D92" t="s">
        <v>33</v>
      </c>
      <c r="E92" t="s">
        <v>27</v>
      </c>
      <c r="F92" t="s">
        <v>28</v>
      </c>
      <c r="G92">
        <v>9.9429607391357422</v>
      </c>
      <c r="H92">
        <v>9.8950424194335938</v>
      </c>
      <c r="I92">
        <v>6.7766062915325165E-2</v>
      </c>
      <c r="J92">
        <v>64515848</v>
      </c>
      <c r="K92">
        <v>66436648</v>
      </c>
      <c r="L92">
        <v>2716421.5</v>
      </c>
      <c r="M92" t="b">
        <v>0</v>
      </c>
      <c r="N92">
        <v>1</v>
      </c>
      <c r="O92" t="b">
        <v>0</v>
      </c>
      <c r="P92">
        <v>1</v>
      </c>
      <c r="Q92">
        <v>4</v>
      </c>
      <c r="R92">
        <v>77.553695678710938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</row>
    <row r="93" spans="1:23">
      <c r="A93" t="s">
        <v>159</v>
      </c>
      <c r="B93" t="s">
        <v>160</v>
      </c>
      <c r="C93" t="s">
        <v>25</v>
      </c>
      <c r="D93" t="s">
        <v>33</v>
      </c>
      <c r="E93" t="s">
        <v>27</v>
      </c>
      <c r="F93" t="s">
        <v>28</v>
      </c>
      <c r="G93">
        <v>9.2638988494873047</v>
      </c>
      <c r="H93">
        <v>8.7803478240966797</v>
      </c>
      <c r="I93">
        <v>0.68384373188018799</v>
      </c>
      <c r="J93">
        <v>97197464</v>
      </c>
      <c r="K93">
        <v>135717408</v>
      </c>
      <c r="L93">
        <v>54475432</v>
      </c>
      <c r="M93" t="b">
        <v>0</v>
      </c>
      <c r="N93">
        <v>1</v>
      </c>
      <c r="O93" t="b">
        <v>0</v>
      </c>
      <c r="P93">
        <v>1</v>
      </c>
      <c r="Q93">
        <v>4</v>
      </c>
      <c r="R93">
        <v>57.102462768554688</v>
      </c>
      <c r="S93" t="s">
        <v>24</v>
      </c>
      <c r="T93" t="s">
        <v>24</v>
      </c>
      <c r="U93" t="s">
        <v>24</v>
      </c>
      <c r="V93" t="s">
        <v>29</v>
      </c>
      <c r="W93" t="s">
        <v>114</v>
      </c>
    </row>
    <row r="94" spans="1:23">
      <c r="A94" t="s">
        <v>161</v>
      </c>
      <c r="B94" t="s">
        <v>160</v>
      </c>
      <c r="C94" t="s">
        <v>25</v>
      </c>
      <c r="D94" t="s">
        <v>33</v>
      </c>
      <c r="E94" t="s">
        <v>27</v>
      </c>
      <c r="F94" t="s">
        <v>28</v>
      </c>
      <c r="G94">
        <v>8.2967977523803711</v>
      </c>
      <c r="H94">
        <v>8.7803478240966797</v>
      </c>
      <c r="I94">
        <v>0.68384373188018799</v>
      </c>
      <c r="J94">
        <v>174237360</v>
      </c>
      <c r="K94">
        <v>135717408</v>
      </c>
      <c r="L94">
        <v>54475432</v>
      </c>
      <c r="M94" t="b">
        <v>0</v>
      </c>
      <c r="N94">
        <v>1</v>
      </c>
      <c r="O94" t="b">
        <v>0</v>
      </c>
      <c r="P94">
        <v>1</v>
      </c>
      <c r="Q94">
        <v>4</v>
      </c>
      <c r="R94">
        <v>87.683746337890625</v>
      </c>
      <c r="S94" t="s">
        <v>24</v>
      </c>
      <c r="T94" t="s">
        <v>24</v>
      </c>
      <c r="U94" t="s">
        <v>24</v>
      </c>
      <c r="V94" t="s">
        <v>29</v>
      </c>
      <c r="W94" t="s">
        <v>114</v>
      </c>
    </row>
    <row r="95" spans="1:23">
      <c r="A95" t="s">
        <v>162</v>
      </c>
      <c r="B95" t="s">
        <v>163</v>
      </c>
      <c r="C95" t="s">
        <v>25</v>
      </c>
      <c r="D95" t="s">
        <v>33</v>
      </c>
      <c r="E95" t="s">
        <v>27</v>
      </c>
      <c r="F95" t="s">
        <v>28</v>
      </c>
      <c r="G95">
        <v>9.5006198883056641</v>
      </c>
      <c r="H95">
        <v>9.7024307250976562</v>
      </c>
      <c r="I95">
        <v>0.28540360927581787</v>
      </c>
      <c r="J95">
        <v>84257416</v>
      </c>
      <c r="K95">
        <v>75149312</v>
      </c>
      <c r="L95">
        <v>12880799</v>
      </c>
      <c r="M95" t="b">
        <v>0</v>
      </c>
      <c r="N95">
        <v>1</v>
      </c>
      <c r="O95" t="b">
        <v>0</v>
      </c>
      <c r="P95">
        <v>1</v>
      </c>
      <c r="Q95">
        <v>4</v>
      </c>
      <c r="R95">
        <v>77.362564086914062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</row>
    <row r="96" spans="1:23">
      <c r="A96" t="s">
        <v>164</v>
      </c>
      <c r="B96" t="s">
        <v>163</v>
      </c>
      <c r="C96" t="s">
        <v>25</v>
      </c>
      <c r="D96" t="s">
        <v>33</v>
      </c>
      <c r="E96" t="s">
        <v>27</v>
      </c>
      <c r="F96" t="s">
        <v>28</v>
      </c>
      <c r="G96">
        <v>9.9042415618896484</v>
      </c>
      <c r="H96">
        <v>9.7024307250976562</v>
      </c>
      <c r="I96">
        <v>0.28540360927581787</v>
      </c>
      <c r="J96">
        <v>66041216</v>
      </c>
      <c r="K96">
        <v>75149312</v>
      </c>
      <c r="L96">
        <v>12880799</v>
      </c>
      <c r="M96" t="b">
        <v>0</v>
      </c>
      <c r="N96">
        <v>1</v>
      </c>
      <c r="O96" t="b">
        <v>0</v>
      </c>
      <c r="P96">
        <v>1</v>
      </c>
      <c r="Q96">
        <v>4</v>
      </c>
      <c r="R96">
        <v>75.642364501953125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</row>
    <row r="97" spans="1:23">
      <c r="A97" t="s">
        <v>165</v>
      </c>
      <c r="B97" t="s">
        <v>166</v>
      </c>
      <c r="C97" t="s">
        <v>25</v>
      </c>
      <c r="D97" t="s">
        <v>33</v>
      </c>
      <c r="E97" t="s">
        <v>27</v>
      </c>
      <c r="F97" t="s">
        <v>28</v>
      </c>
      <c r="G97">
        <v>11.462224960327148</v>
      </c>
      <c r="H97">
        <v>11.470582962036133</v>
      </c>
      <c r="I97">
        <v>1.1820673942565918E-2</v>
      </c>
      <c r="J97">
        <v>25790092</v>
      </c>
      <c r="K97">
        <v>25660644</v>
      </c>
      <c r="L97">
        <v>183065.703125</v>
      </c>
      <c r="M97" t="b">
        <v>0</v>
      </c>
      <c r="N97">
        <v>1</v>
      </c>
      <c r="O97" t="b">
        <v>0</v>
      </c>
      <c r="P97">
        <v>1</v>
      </c>
      <c r="Q97">
        <v>4</v>
      </c>
      <c r="R97">
        <v>88.25714111328125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</row>
    <row r="98" spans="1:23">
      <c r="A98" t="s">
        <v>167</v>
      </c>
      <c r="B98" t="s">
        <v>166</v>
      </c>
      <c r="C98" t="s">
        <v>25</v>
      </c>
      <c r="D98" t="s">
        <v>33</v>
      </c>
      <c r="E98" t="s">
        <v>27</v>
      </c>
      <c r="F98" t="s">
        <v>28</v>
      </c>
      <c r="G98">
        <v>11.478941917419434</v>
      </c>
      <c r="H98">
        <v>11.470582962036133</v>
      </c>
      <c r="I98">
        <v>1.1820673942565918E-2</v>
      </c>
      <c r="J98">
        <v>25531198</v>
      </c>
      <c r="K98">
        <v>25660644</v>
      </c>
      <c r="L98">
        <v>183065.703125</v>
      </c>
      <c r="M98" t="b">
        <v>0</v>
      </c>
      <c r="N98">
        <v>1</v>
      </c>
      <c r="O98" t="b">
        <v>0</v>
      </c>
      <c r="P98">
        <v>1</v>
      </c>
      <c r="Q98">
        <v>4</v>
      </c>
      <c r="R98">
        <v>88.25714111328125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8"/>
  <sheetViews>
    <sheetView topLeftCell="A70" workbookViewId="0">
      <selection activeCell="A3" sqref="A3:K98"/>
    </sheetView>
  </sheetViews>
  <sheetFormatPr baseColWidth="10" defaultRowHeight="15"/>
  <sheetData>
    <row r="1" spans="1:22">
      <c r="A1" t="s">
        <v>222</v>
      </c>
      <c r="B1" t="s">
        <v>227</v>
      </c>
    </row>
    <row r="2" spans="1:2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168</v>
      </c>
    </row>
    <row r="3" spans="1:2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13.302900314331055</v>
      </c>
      <c r="H3">
        <v>13.237662315368652</v>
      </c>
      <c r="I3">
        <v>9.2260465025901794E-2</v>
      </c>
      <c r="J3">
        <v>5000000</v>
      </c>
      <c r="K3" t="s">
        <v>24</v>
      </c>
      <c r="L3" t="s">
        <v>24</v>
      </c>
      <c r="M3" t="b">
        <v>0</v>
      </c>
      <c r="N3">
        <v>1</v>
      </c>
      <c r="O3" t="b">
        <v>1</v>
      </c>
      <c r="P3">
        <v>3</v>
      </c>
      <c r="Q3">
        <v>6</v>
      </c>
      <c r="R3">
        <v>84.701972961425781</v>
      </c>
      <c r="S3" t="s">
        <v>24</v>
      </c>
      <c r="T3" t="s">
        <v>24</v>
      </c>
      <c r="U3" t="s">
        <v>24</v>
      </c>
      <c r="V3" t="s">
        <v>29</v>
      </c>
    </row>
    <row r="4" spans="1:22">
      <c r="A4" t="s">
        <v>30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13.17242431640625</v>
      </c>
      <c r="H4">
        <v>13.237662315368652</v>
      </c>
      <c r="I4">
        <v>9.2260465025901794E-2</v>
      </c>
      <c r="J4">
        <v>5000000</v>
      </c>
      <c r="K4" t="s">
        <v>24</v>
      </c>
      <c r="L4" t="s">
        <v>24</v>
      </c>
      <c r="M4" t="b">
        <v>0</v>
      </c>
      <c r="N4">
        <v>1</v>
      </c>
      <c r="O4" t="b">
        <v>1</v>
      </c>
      <c r="P4">
        <v>3</v>
      </c>
      <c r="Q4">
        <v>7</v>
      </c>
      <c r="R4">
        <v>84.701972961425781</v>
      </c>
      <c r="S4" t="s">
        <v>24</v>
      </c>
      <c r="T4" t="s">
        <v>24</v>
      </c>
      <c r="U4" t="s">
        <v>24</v>
      </c>
      <c r="V4" t="s">
        <v>29</v>
      </c>
    </row>
    <row r="5" spans="1:22">
      <c r="A5" t="s">
        <v>31</v>
      </c>
      <c r="B5" t="s">
        <v>228</v>
      </c>
      <c r="C5" t="s">
        <v>25</v>
      </c>
      <c r="D5" t="s">
        <v>33</v>
      </c>
      <c r="E5" t="s">
        <v>27</v>
      </c>
      <c r="F5" t="s">
        <v>28</v>
      </c>
      <c r="G5">
        <v>9.7460527420043945</v>
      </c>
      <c r="H5">
        <v>9.824493408203125</v>
      </c>
      <c r="I5">
        <v>0.11093185096979141</v>
      </c>
      <c r="J5">
        <v>157188624</v>
      </c>
      <c r="K5">
        <v>148269504</v>
      </c>
      <c r="L5">
        <v>12613540</v>
      </c>
      <c r="M5" t="b">
        <v>0</v>
      </c>
      <c r="N5">
        <v>1</v>
      </c>
      <c r="O5" t="b">
        <v>1</v>
      </c>
      <c r="P5">
        <v>1</v>
      </c>
      <c r="Q5">
        <v>2</v>
      </c>
      <c r="R5">
        <v>85.085220336914062</v>
      </c>
      <c r="S5" t="s">
        <v>24</v>
      </c>
      <c r="T5" t="s">
        <v>24</v>
      </c>
      <c r="U5" t="s">
        <v>24</v>
      </c>
      <c r="V5" t="s">
        <v>29</v>
      </c>
    </row>
    <row r="6" spans="1:22">
      <c r="A6" t="s">
        <v>34</v>
      </c>
      <c r="B6" t="s">
        <v>228</v>
      </c>
      <c r="C6" t="s">
        <v>25</v>
      </c>
      <c r="D6" t="s">
        <v>33</v>
      </c>
      <c r="E6" t="s">
        <v>27</v>
      </c>
      <c r="F6" t="s">
        <v>28</v>
      </c>
      <c r="G6">
        <v>9.9029340744018555</v>
      </c>
      <c r="H6">
        <v>9.824493408203125</v>
      </c>
      <c r="I6">
        <v>0.11093185096979141</v>
      </c>
      <c r="J6">
        <v>139350384</v>
      </c>
      <c r="K6">
        <v>148269504</v>
      </c>
      <c r="L6">
        <v>12613540</v>
      </c>
      <c r="M6" t="b">
        <v>0</v>
      </c>
      <c r="N6">
        <v>1</v>
      </c>
      <c r="O6" t="b">
        <v>1</v>
      </c>
      <c r="P6">
        <v>1</v>
      </c>
      <c r="Q6">
        <v>3</v>
      </c>
      <c r="R6">
        <v>85.085220336914062</v>
      </c>
      <c r="S6" t="s">
        <v>24</v>
      </c>
      <c r="T6" t="s">
        <v>24</v>
      </c>
      <c r="U6" t="s">
        <v>24</v>
      </c>
      <c r="V6" t="s">
        <v>29</v>
      </c>
    </row>
    <row r="7" spans="1:22">
      <c r="A7" t="s">
        <v>35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29</v>
      </c>
    </row>
    <row r="8" spans="1:22">
      <c r="A8" t="s">
        <v>37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29</v>
      </c>
    </row>
    <row r="9" spans="1:22">
      <c r="A9" t="s">
        <v>38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29</v>
      </c>
    </row>
    <row r="10" spans="1:22">
      <c r="A10" t="s">
        <v>40</v>
      </c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29</v>
      </c>
    </row>
    <row r="11" spans="1:22">
      <c r="A11" t="s">
        <v>41</v>
      </c>
      <c r="B11" t="s">
        <v>24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29</v>
      </c>
    </row>
    <row r="12" spans="1:22">
      <c r="A12" t="s">
        <v>43</v>
      </c>
      <c r="B12" t="s">
        <v>24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29</v>
      </c>
    </row>
    <row r="13" spans="1:22">
      <c r="A13" t="s">
        <v>44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29</v>
      </c>
    </row>
    <row r="14" spans="1:22">
      <c r="A14" t="s">
        <v>46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29</v>
      </c>
    </row>
    <row r="15" spans="1:22">
      <c r="A15" t="s">
        <v>47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16.834781646728516</v>
      </c>
      <c r="H15">
        <v>16.873271942138672</v>
      </c>
      <c r="I15">
        <v>5.4432149976491928E-2</v>
      </c>
      <c r="J15">
        <v>500000</v>
      </c>
      <c r="K15" t="s">
        <v>24</v>
      </c>
      <c r="L15" t="s">
        <v>24</v>
      </c>
      <c r="M15" t="b">
        <v>0</v>
      </c>
      <c r="N15">
        <v>1</v>
      </c>
      <c r="O15" t="b">
        <v>1</v>
      </c>
      <c r="P15">
        <v>3</v>
      </c>
      <c r="Q15">
        <v>12</v>
      </c>
      <c r="R15">
        <v>84.893600463867188</v>
      </c>
      <c r="S15" t="s">
        <v>24</v>
      </c>
      <c r="T15" t="s">
        <v>24</v>
      </c>
      <c r="U15" t="s">
        <v>24</v>
      </c>
      <c r="V15" t="s">
        <v>29</v>
      </c>
    </row>
    <row r="16" spans="1:22">
      <c r="A16" t="s">
        <v>48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16.911760330200195</v>
      </c>
      <c r="H16">
        <v>16.873271942138672</v>
      </c>
      <c r="I16">
        <v>5.4432149976491928E-2</v>
      </c>
      <c r="J16">
        <v>500000</v>
      </c>
      <c r="K16" t="s">
        <v>24</v>
      </c>
      <c r="L16" t="s">
        <v>24</v>
      </c>
      <c r="M16" t="b">
        <v>0</v>
      </c>
      <c r="N16">
        <v>1</v>
      </c>
      <c r="O16" t="b">
        <v>1</v>
      </c>
      <c r="P16">
        <v>3</v>
      </c>
      <c r="Q16">
        <v>10</v>
      </c>
      <c r="R16">
        <v>84.893600463867188</v>
      </c>
      <c r="S16" t="s">
        <v>24</v>
      </c>
      <c r="T16" t="s">
        <v>24</v>
      </c>
      <c r="U16" t="s">
        <v>24</v>
      </c>
      <c r="V16" t="s">
        <v>29</v>
      </c>
    </row>
    <row r="17" spans="1:22">
      <c r="A17" t="s">
        <v>49</v>
      </c>
      <c r="B17" t="s">
        <v>50</v>
      </c>
      <c r="C17" t="s">
        <v>25</v>
      </c>
      <c r="D17" t="s">
        <v>33</v>
      </c>
      <c r="E17" t="s">
        <v>27</v>
      </c>
      <c r="F17" t="s">
        <v>28</v>
      </c>
      <c r="G17">
        <v>10.204206466674805</v>
      </c>
      <c r="H17">
        <v>10.370780944824219</v>
      </c>
      <c r="I17">
        <v>0.23557189106941223</v>
      </c>
      <c r="J17">
        <v>110572512</v>
      </c>
      <c r="K17">
        <v>98094440</v>
      </c>
      <c r="L17">
        <v>17646658</v>
      </c>
      <c r="M17" t="b">
        <v>0</v>
      </c>
      <c r="N17">
        <v>1</v>
      </c>
      <c r="O17" t="b">
        <v>1</v>
      </c>
      <c r="P17">
        <v>1</v>
      </c>
      <c r="Q17">
        <v>3</v>
      </c>
      <c r="R17">
        <v>85.468475341796875</v>
      </c>
      <c r="S17" t="s">
        <v>24</v>
      </c>
      <c r="T17" t="s">
        <v>24</v>
      </c>
      <c r="U17" t="s">
        <v>24</v>
      </c>
      <c r="V17" t="s">
        <v>29</v>
      </c>
    </row>
    <row r="18" spans="1:22">
      <c r="A18" t="s">
        <v>51</v>
      </c>
      <c r="B18" t="s">
        <v>50</v>
      </c>
      <c r="C18" t="s">
        <v>25</v>
      </c>
      <c r="D18" t="s">
        <v>33</v>
      </c>
      <c r="E18" t="s">
        <v>27</v>
      </c>
      <c r="F18" t="s">
        <v>28</v>
      </c>
      <c r="G18">
        <v>10.537355422973633</v>
      </c>
      <c r="H18">
        <v>10.370780944824219</v>
      </c>
      <c r="I18">
        <v>0.23557189106941223</v>
      </c>
      <c r="J18">
        <v>85616368</v>
      </c>
      <c r="K18">
        <v>98094440</v>
      </c>
      <c r="L18">
        <v>17646658</v>
      </c>
      <c r="M18" t="b">
        <v>0</v>
      </c>
      <c r="N18">
        <v>1</v>
      </c>
      <c r="O18" t="b">
        <v>1</v>
      </c>
      <c r="P18">
        <v>1</v>
      </c>
      <c r="Q18">
        <v>3</v>
      </c>
      <c r="R18">
        <v>85.276847839355469</v>
      </c>
      <c r="S18" t="s">
        <v>24</v>
      </c>
      <c r="T18" t="s">
        <v>24</v>
      </c>
      <c r="U18" t="s">
        <v>24</v>
      </c>
      <c r="V18" t="s">
        <v>29</v>
      </c>
    </row>
    <row r="19" spans="1:22">
      <c r="A19" t="s">
        <v>52</v>
      </c>
      <c r="B19" t="s">
        <v>24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29</v>
      </c>
    </row>
    <row r="20" spans="1:22">
      <c r="A20" t="s">
        <v>54</v>
      </c>
      <c r="B20" t="s">
        <v>24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29</v>
      </c>
    </row>
    <row r="21" spans="1:22">
      <c r="A21" t="s">
        <v>55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29</v>
      </c>
    </row>
    <row r="22" spans="1:22">
      <c r="A22" t="s">
        <v>57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29</v>
      </c>
    </row>
    <row r="23" spans="1:22">
      <c r="A23" t="s">
        <v>58</v>
      </c>
      <c r="B23" t="s">
        <v>24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29</v>
      </c>
    </row>
    <row r="24" spans="1:22">
      <c r="A24" t="s">
        <v>60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29</v>
      </c>
    </row>
    <row r="25" spans="1:22">
      <c r="A25" t="s">
        <v>61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29</v>
      </c>
    </row>
    <row r="26" spans="1:22">
      <c r="A26" t="s">
        <v>63</v>
      </c>
      <c r="B26" t="s">
        <v>24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29</v>
      </c>
    </row>
    <row r="27" spans="1:22">
      <c r="A27" t="s">
        <v>64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>
        <v>20.621826171875</v>
      </c>
      <c r="H27">
        <v>20.612796783447266</v>
      </c>
      <c r="I27">
        <v>1.2770832516252995E-2</v>
      </c>
      <c r="J27">
        <v>50000</v>
      </c>
      <c r="K27" t="s">
        <v>24</v>
      </c>
      <c r="L27" t="s">
        <v>24</v>
      </c>
      <c r="M27" t="b">
        <v>0</v>
      </c>
      <c r="N27">
        <v>1</v>
      </c>
      <c r="O27" t="b">
        <v>1</v>
      </c>
      <c r="P27">
        <v>3</v>
      </c>
      <c r="Q27">
        <v>13</v>
      </c>
      <c r="R27">
        <v>84.893600463867188</v>
      </c>
      <c r="S27" t="s">
        <v>24</v>
      </c>
      <c r="T27" t="s">
        <v>24</v>
      </c>
      <c r="U27" t="s">
        <v>24</v>
      </c>
      <c r="V27" t="s">
        <v>29</v>
      </c>
    </row>
    <row r="28" spans="1:22">
      <c r="A28" t="s">
        <v>65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>
        <v>20.603765487670898</v>
      </c>
      <c r="H28">
        <v>20.612796783447266</v>
      </c>
      <c r="I28">
        <v>1.2770832516252995E-2</v>
      </c>
      <c r="J28">
        <v>50000</v>
      </c>
      <c r="K28" t="s">
        <v>24</v>
      </c>
      <c r="L28" t="s">
        <v>24</v>
      </c>
      <c r="M28" t="b">
        <v>0</v>
      </c>
      <c r="N28">
        <v>1</v>
      </c>
      <c r="O28" t="b">
        <v>1</v>
      </c>
      <c r="P28">
        <v>3</v>
      </c>
      <c r="Q28">
        <v>12</v>
      </c>
      <c r="R28">
        <v>85.085220336914062</v>
      </c>
      <c r="S28" t="s">
        <v>24</v>
      </c>
      <c r="T28" t="s">
        <v>24</v>
      </c>
      <c r="U28" t="s">
        <v>24</v>
      </c>
      <c r="V28" t="s">
        <v>29</v>
      </c>
    </row>
    <row r="29" spans="1:22">
      <c r="A29" t="s">
        <v>66</v>
      </c>
      <c r="B29" t="s">
        <v>67</v>
      </c>
      <c r="C29" t="s">
        <v>25</v>
      </c>
      <c r="D29" t="s">
        <v>33</v>
      </c>
      <c r="E29" t="s">
        <v>27</v>
      </c>
      <c r="F29" t="s">
        <v>28</v>
      </c>
      <c r="G29">
        <v>8.346003532409668</v>
      </c>
      <c r="H29">
        <v>8.3759441375732422</v>
      </c>
      <c r="I29">
        <v>4.2343083769083023E-2</v>
      </c>
      <c r="J29">
        <v>460548480</v>
      </c>
      <c r="K29">
        <v>450200640</v>
      </c>
      <c r="L29">
        <v>14634078</v>
      </c>
      <c r="M29" t="b">
        <v>0</v>
      </c>
      <c r="N29">
        <v>1</v>
      </c>
      <c r="O29" t="b">
        <v>1</v>
      </c>
      <c r="P29">
        <v>1</v>
      </c>
      <c r="Q29">
        <v>3</v>
      </c>
      <c r="R29">
        <v>85.085220336914062</v>
      </c>
      <c r="S29" t="s">
        <v>24</v>
      </c>
      <c r="T29" t="s">
        <v>24</v>
      </c>
      <c r="U29" t="s">
        <v>24</v>
      </c>
      <c r="V29" t="s">
        <v>29</v>
      </c>
    </row>
    <row r="30" spans="1:22">
      <c r="A30" t="s">
        <v>68</v>
      </c>
      <c r="B30" t="s">
        <v>67</v>
      </c>
      <c r="C30" t="s">
        <v>25</v>
      </c>
      <c r="D30" t="s">
        <v>33</v>
      </c>
      <c r="E30" t="s">
        <v>27</v>
      </c>
      <c r="F30" t="s">
        <v>28</v>
      </c>
      <c r="G30">
        <v>8.4058856964111328</v>
      </c>
      <c r="H30">
        <v>8.3759441375732422</v>
      </c>
      <c r="I30">
        <v>4.2343083769083023E-2</v>
      </c>
      <c r="J30">
        <v>439852768</v>
      </c>
      <c r="K30">
        <v>450200640</v>
      </c>
      <c r="L30">
        <v>14634078</v>
      </c>
      <c r="M30" t="b">
        <v>0</v>
      </c>
      <c r="N30">
        <v>1</v>
      </c>
      <c r="O30" t="b">
        <v>1</v>
      </c>
      <c r="P30">
        <v>1</v>
      </c>
      <c r="Q30">
        <v>2</v>
      </c>
      <c r="R30">
        <v>85.085220336914062</v>
      </c>
      <c r="S30" t="s">
        <v>24</v>
      </c>
      <c r="T30" t="s">
        <v>24</v>
      </c>
      <c r="U30" t="s">
        <v>24</v>
      </c>
      <c r="V30" t="s">
        <v>29</v>
      </c>
    </row>
    <row r="31" spans="1:22">
      <c r="A31" t="s">
        <v>69</v>
      </c>
      <c r="B31" t="s">
        <v>24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29</v>
      </c>
    </row>
    <row r="32" spans="1:22">
      <c r="A32" t="s">
        <v>71</v>
      </c>
      <c r="B32" t="s">
        <v>24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29</v>
      </c>
    </row>
    <row r="33" spans="1:22">
      <c r="A33" t="s">
        <v>72</v>
      </c>
      <c r="B33" t="s">
        <v>24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29</v>
      </c>
    </row>
    <row r="34" spans="1:22">
      <c r="A34" t="s">
        <v>74</v>
      </c>
      <c r="B34" t="s">
        <v>24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29</v>
      </c>
    </row>
    <row r="35" spans="1:22">
      <c r="A35" t="s">
        <v>75</v>
      </c>
      <c r="B35" t="s">
        <v>24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29</v>
      </c>
    </row>
    <row r="36" spans="1:22">
      <c r="A36" t="s">
        <v>77</v>
      </c>
      <c r="B36" t="s">
        <v>24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29</v>
      </c>
    </row>
    <row r="37" spans="1:22">
      <c r="A37" t="s">
        <v>78</v>
      </c>
      <c r="B37" t="s">
        <v>24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29</v>
      </c>
    </row>
    <row r="38" spans="1:22">
      <c r="A38" t="s">
        <v>80</v>
      </c>
      <c r="B38" t="s">
        <v>24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29</v>
      </c>
    </row>
    <row r="39" spans="1:22">
      <c r="A39" t="s">
        <v>81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>
        <v>24.340557098388672</v>
      </c>
      <c r="H39">
        <v>24.264316558837891</v>
      </c>
      <c r="I39">
        <v>0.10782040655612946</v>
      </c>
      <c r="J39">
        <v>5000</v>
      </c>
      <c r="K39" t="s">
        <v>24</v>
      </c>
      <c r="L39" t="s">
        <v>24</v>
      </c>
      <c r="M39" t="b">
        <v>0</v>
      </c>
      <c r="N39">
        <v>1</v>
      </c>
      <c r="O39" t="b">
        <v>1</v>
      </c>
      <c r="P39">
        <v>3</v>
      </c>
      <c r="Q39">
        <v>16</v>
      </c>
      <c r="R39">
        <v>85.085220336914062</v>
      </c>
      <c r="S39" t="s">
        <v>24</v>
      </c>
      <c r="T39" t="s">
        <v>24</v>
      </c>
      <c r="U39" t="s">
        <v>24</v>
      </c>
      <c r="V39" t="s">
        <v>29</v>
      </c>
    </row>
    <row r="40" spans="1:22">
      <c r="A40" t="s">
        <v>82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>
        <v>24.188076019287109</v>
      </c>
      <c r="H40">
        <v>24.264316558837891</v>
      </c>
      <c r="I40">
        <v>0.10782040655612946</v>
      </c>
      <c r="J40">
        <v>5000</v>
      </c>
      <c r="K40" t="s">
        <v>24</v>
      </c>
      <c r="L40" t="s">
        <v>24</v>
      </c>
      <c r="M40" t="b">
        <v>0</v>
      </c>
      <c r="N40">
        <v>1</v>
      </c>
      <c r="O40" t="b">
        <v>1</v>
      </c>
      <c r="P40">
        <v>3</v>
      </c>
      <c r="Q40">
        <v>18</v>
      </c>
      <c r="R40">
        <v>85.085220336914062</v>
      </c>
      <c r="S40" t="s">
        <v>24</v>
      </c>
      <c r="T40" t="s">
        <v>24</v>
      </c>
      <c r="U40" t="s">
        <v>24</v>
      </c>
      <c r="V40" t="s">
        <v>29</v>
      </c>
    </row>
    <row r="41" spans="1:22">
      <c r="A41" t="s">
        <v>83</v>
      </c>
      <c r="B41" t="s">
        <v>84</v>
      </c>
      <c r="C41" t="s">
        <v>25</v>
      </c>
      <c r="D41" t="s">
        <v>33</v>
      </c>
      <c r="E41" t="s">
        <v>27</v>
      </c>
      <c r="F41" t="s">
        <v>28</v>
      </c>
      <c r="G41">
        <v>9.8281526565551758</v>
      </c>
      <c r="H41">
        <v>9.9035511016845703</v>
      </c>
      <c r="I41">
        <v>0.10662882775068283</v>
      </c>
      <c r="J41">
        <v>147585744</v>
      </c>
      <c r="K41">
        <v>139517888</v>
      </c>
      <c r="L41">
        <v>11409677</v>
      </c>
      <c r="M41" t="b">
        <v>0</v>
      </c>
      <c r="N41">
        <v>1</v>
      </c>
      <c r="O41" t="b">
        <v>1</v>
      </c>
      <c r="P41">
        <v>1</v>
      </c>
      <c r="Q41">
        <v>3</v>
      </c>
      <c r="R41">
        <v>85.276847839355469</v>
      </c>
      <c r="S41" t="s">
        <v>24</v>
      </c>
      <c r="T41" t="s">
        <v>24</v>
      </c>
      <c r="U41" t="s">
        <v>24</v>
      </c>
      <c r="V41" t="s">
        <v>29</v>
      </c>
    </row>
    <row r="42" spans="1:22">
      <c r="A42" t="s">
        <v>85</v>
      </c>
      <c r="B42" t="s">
        <v>84</v>
      </c>
      <c r="C42" t="s">
        <v>25</v>
      </c>
      <c r="D42" t="s">
        <v>33</v>
      </c>
      <c r="E42" t="s">
        <v>27</v>
      </c>
      <c r="F42" t="s">
        <v>28</v>
      </c>
      <c r="G42">
        <v>9.9789485931396484</v>
      </c>
      <c r="H42">
        <v>9.9035511016845703</v>
      </c>
      <c r="I42">
        <v>0.10662882775068283</v>
      </c>
      <c r="J42">
        <v>131450024</v>
      </c>
      <c r="K42">
        <v>139517888</v>
      </c>
      <c r="L42">
        <v>11409677</v>
      </c>
      <c r="M42" t="b">
        <v>0</v>
      </c>
      <c r="N42">
        <v>1</v>
      </c>
      <c r="O42" t="b">
        <v>1</v>
      </c>
      <c r="P42">
        <v>1</v>
      </c>
      <c r="Q42">
        <v>3</v>
      </c>
      <c r="R42">
        <v>85.276847839355469</v>
      </c>
      <c r="S42" t="s">
        <v>24</v>
      </c>
      <c r="T42" t="s">
        <v>24</v>
      </c>
      <c r="U42" t="s">
        <v>24</v>
      </c>
      <c r="V42" t="s">
        <v>29</v>
      </c>
    </row>
    <row r="43" spans="1:22">
      <c r="A43" t="s">
        <v>86</v>
      </c>
      <c r="B43" t="s">
        <v>24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29</v>
      </c>
    </row>
    <row r="44" spans="1:22">
      <c r="A44" t="s">
        <v>88</v>
      </c>
      <c r="B44" t="s">
        <v>24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29</v>
      </c>
    </row>
    <row r="45" spans="1:22">
      <c r="A45" t="s">
        <v>89</v>
      </c>
      <c r="B45" t="s">
        <v>24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29</v>
      </c>
    </row>
    <row r="46" spans="1:22">
      <c r="A46" t="s">
        <v>91</v>
      </c>
      <c r="B46" t="s">
        <v>24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29</v>
      </c>
    </row>
    <row r="47" spans="1:22">
      <c r="A47" t="s">
        <v>92</v>
      </c>
      <c r="B47" t="s">
        <v>24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29</v>
      </c>
    </row>
    <row r="48" spans="1:22">
      <c r="A48" t="s">
        <v>94</v>
      </c>
      <c r="B48" t="s">
        <v>24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29</v>
      </c>
    </row>
    <row r="49" spans="1:22">
      <c r="A49" t="s">
        <v>95</v>
      </c>
      <c r="B49" t="s">
        <v>24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29</v>
      </c>
    </row>
    <row r="50" spans="1:22">
      <c r="A50" t="s">
        <v>97</v>
      </c>
      <c r="B50" t="s">
        <v>24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29</v>
      </c>
    </row>
    <row r="51" spans="1:22">
      <c r="A51" t="s">
        <v>98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>
        <v>28.029651641845703</v>
      </c>
      <c r="H51">
        <v>27.993717193603516</v>
      </c>
      <c r="I51">
        <v>5.0820332020521164E-2</v>
      </c>
      <c r="J51">
        <v>500</v>
      </c>
      <c r="K51" t="s">
        <v>24</v>
      </c>
      <c r="L51" t="s">
        <v>24</v>
      </c>
      <c r="M51" t="b">
        <v>0</v>
      </c>
      <c r="N51">
        <v>1</v>
      </c>
      <c r="O51" t="b">
        <v>1</v>
      </c>
      <c r="P51">
        <v>3</v>
      </c>
      <c r="Q51">
        <v>21</v>
      </c>
      <c r="R51">
        <v>84.893600463867188</v>
      </c>
      <c r="S51" t="s">
        <v>24</v>
      </c>
      <c r="T51" t="s">
        <v>24</v>
      </c>
      <c r="U51" t="s">
        <v>24</v>
      </c>
      <c r="V51" t="s">
        <v>29</v>
      </c>
    </row>
    <row r="52" spans="1:22">
      <c r="A52" t="s">
        <v>99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>
        <v>27.957780838012695</v>
      </c>
      <c r="H52">
        <v>27.993717193603516</v>
      </c>
      <c r="I52">
        <v>5.0820332020521164E-2</v>
      </c>
      <c r="J52">
        <v>500</v>
      </c>
      <c r="K52" t="s">
        <v>24</v>
      </c>
      <c r="L52" t="s">
        <v>24</v>
      </c>
      <c r="M52" t="b">
        <v>0</v>
      </c>
      <c r="N52">
        <v>1</v>
      </c>
      <c r="O52" t="b">
        <v>1</v>
      </c>
      <c r="P52">
        <v>3</v>
      </c>
      <c r="Q52">
        <v>22</v>
      </c>
      <c r="R52">
        <v>84.893600463867188</v>
      </c>
      <c r="S52" t="s">
        <v>24</v>
      </c>
      <c r="T52" t="s">
        <v>24</v>
      </c>
      <c r="U52" t="s">
        <v>24</v>
      </c>
      <c r="V52" t="s">
        <v>29</v>
      </c>
    </row>
    <row r="53" spans="1:22">
      <c r="A53" t="s">
        <v>100</v>
      </c>
      <c r="B53" t="s">
        <v>101</v>
      </c>
      <c r="C53" t="s">
        <v>25</v>
      </c>
      <c r="D53" t="s">
        <v>33</v>
      </c>
      <c r="E53" t="s">
        <v>27</v>
      </c>
      <c r="F53" t="s">
        <v>28</v>
      </c>
      <c r="G53">
        <v>11.078222274780273</v>
      </c>
      <c r="H53">
        <v>10.8934326171875</v>
      </c>
      <c r="I53">
        <v>0.26133203506469727</v>
      </c>
      <c r="J53">
        <v>56519944</v>
      </c>
      <c r="K53">
        <v>65792688</v>
      </c>
      <c r="L53">
        <v>13113640</v>
      </c>
      <c r="M53" t="b">
        <v>0</v>
      </c>
      <c r="N53">
        <v>1</v>
      </c>
      <c r="O53" t="b">
        <v>1</v>
      </c>
      <c r="P53">
        <v>3</v>
      </c>
      <c r="Q53">
        <v>5</v>
      </c>
      <c r="R53">
        <v>84.893600463867188</v>
      </c>
      <c r="S53" t="s">
        <v>24</v>
      </c>
      <c r="T53" t="s">
        <v>24</v>
      </c>
      <c r="U53" t="s">
        <v>24</v>
      </c>
      <c r="V53" t="s">
        <v>29</v>
      </c>
    </row>
    <row r="54" spans="1:22">
      <c r="A54" t="s">
        <v>102</v>
      </c>
      <c r="B54" t="s">
        <v>101</v>
      </c>
      <c r="C54" t="s">
        <v>25</v>
      </c>
      <c r="D54" t="s">
        <v>33</v>
      </c>
      <c r="E54" t="s">
        <v>27</v>
      </c>
      <c r="F54" t="s">
        <v>28</v>
      </c>
      <c r="G54">
        <v>10.708642959594727</v>
      </c>
      <c r="H54">
        <v>10.8934326171875</v>
      </c>
      <c r="I54">
        <v>0.26133203506469727</v>
      </c>
      <c r="J54">
        <v>75065432</v>
      </c>
      <c r="K54">
        <v>65792688</v>
      </c>
      <c r="L54">
        <v>13113640</v>
      </c>
      <c r="M54" t="b">
        <v>0</v>
      </c>
      <c r="N54">
        <v>1</v>
      </c>
      <c r="O54" t="b">
        <v>1</v>
      </c>
      <c r="P54">
        <v>3</v>
      </c>
      <c r="Q54">
        <v>5</v>
      </c>
      <c r="R54">
        <v>84.701972961425781</v>
      </c>
      <c r="S54" t="s">
        <v>24</v>
      </c>
      <c r="T54" t="s">
        <v>24</v>
      </c>
      <c r="U54" t="s">
        <v>24</v>
      </c>
      <c r="V54" t="s">
        <v>29</v>
      </c>
    </row>
    <row r="55" spans="1:22">
      <c r="A55" t="s">
        <v>103</v>
      </c>
      <c r="B55" t="s">
        <v>24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29</v>
      </c>
    </row>
    <row r="56" spans="1:22">
      <c r="A56" t="s">
        <v>105</v>
      </c>
      <c r="B56" t="s">
        <v>24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29</v>
      </c>
    </row>
    <row r="57" spans="1:22">
      <c r="A57" t="s">
        <v>106</v>
      </c>
      <c r="B57" t="s">
        <v>24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29</v>
      </c>
    </row>
    <row r="58" spans="1:22">
      <c r="A58" t="s">
        <v>108</v>
      </c>
      <c r="B58" t="s">
        <v>24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29</v>
      </c>
    </row>
    <row r="59" spans="1:22">
      <c r="A59" t="s">
        <v>109</v>
      </c>
      <c r="B59" t="s">
        <v>24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29</v>
      </c>
    </row>
    <row r="60" spans="1:22">
      <c r="A60" t="s">
        <v>111</v>
      </c>
      <c r="B60" t="s">
        <v>24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29</v>
      </c>
    </row>
    <row r="61" spans="1:22">
      <c r="A61" t="s">
        <v>112</v>
      </c>
      <c r="B61" t="s">
        <v>24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29</v>
      </c>
    </row>
    <row r="62" spans="1:22">
      <c r="A62" t="s">
        <v>115</v>
      </c>
      <c r="B62" t="s">
        <v>24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29</v>
      </c>
    </row>
    <row r="63" spans="1:22">
      <c r="A63" t="s">
        <v>116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>
        <v>29.047702789306641</v>
      </c>
      <c r="H63">
        <v>28.906558990478516</v>
      </c>
      <c r="I63">
        <v>0.19960612058639526</v>
      </c>
      <c r="J63">
        <v>50</v>
      </c>
      <c r="K63" t="s">
        <v>24</v>
      </c>
      <c r="L63" t="s">
        <v>24</v>
      </c>
      <c r="M63" t="b">
        <v>0</v>
      </c>
      <c r="N63">
        <v>1</v>
      </c>
      <c r="O63" t="b">
        <v>1</v>
      </c>
      <c r="P63">
        <v>3</v>
      </c>
      <c r="Q63">
        <v>23</v>
      </c>
      <c r="R63">
        <v>84.701972961425781</v>
      </c>
      <c r="S63" t="s">
        <v>24</v>
      </c>
      <c r="T63" t="s">
        <v>24</v>
      </c>
      <c r="U63" t="s">
        <v>24</v>
      </c>
      <c r="V63" t="s">
        <v>29</v>
      </c>
    </row>
    <row r="64" spans="1:22">
      <c r="A64" t="s">
        <v>117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>
        <v>28.765417098999023</v>
      </c>
      <c r="H64">
        <v>28.906558990478516</v>
      </c>
      <c r="I64">
        <v>0.19960612058639526</v>
      </c>
      <c r="J64">
        <v>50</v>
      </c>
      <c r="K64" t="s">
        <v>24</v>
      </c>
      <c r="L64" t="s">
        <v>24</v>
      </c>
      <c r="M64" t="b">
        <v>0</v>
      </c>
      <c r="N64">
        <v>1</v>
      </c>
      <c r="O64" t="b">
        <v>1</v>
      </c>
      <c r="P64">
        <v>3</v>
      </c>
      <c r="Q64">
        <v>23</v>
      </c>
      <c r="R64">
        <v>84.701972961425781</v>
      </c>
      <c r="S64" t="s">
        <v>24</v>
      </c>
      <c r="T64" t="s">
        <v>24</v>
      </c>
      <c r="U64" t="s">
        <v>24</v>
      </c>
      <c r="V64" t="s">
        <v>29</v>
      </c>
    </row>
    <row r="65" spans="1:22">
      <c r="A65" t="s">
        <v>118</v>
      </c>
      <c r="B65" t="s">
        <v>119</v>
      </c>
      <c r="C65" t="s">
        <v>25</v>
      </c>
      <c r="D65" t="s">
        <v>33</v>
      </c>
      <c r="E65" t="s">
        <v>27</v>
      </c>
      <c r="F65" t="s">
        <v>28</v>
      </c>
      <c r="G65">
        <v>9.1792888641357422</v>
      </c>
      <c r="H65">
        <v>9.2868175506591797</v>
      </c>
      <c r="I65">
        <v>0.15206919610500336</v>
      </c>
      <c r="J65">
        <v>242891152</v>
      </c>
      <c r="K65">
        <v>224405760</v>
      </c>
      <c r="L65">
        <v>26142292</v>
      </c>
      <c r="M65" t="b">
        <v>0</v>
      </c>
      <c r="N65">
        <v>1</v>
      </c>
      <c r="O65" t="b">
        <v>1</v>
      </c>
      <c r="P65">
        <v>1</v>
      </c>
      <c r="Q65">
        <v>2</v>
      </c>
      <c r="R65">
        <v>84.701972961425781</v>
      </c>
      <c r="S65" t="s">
        <v>24</v>
      </c>
      <c r="T65" t="s">
        <v>24</v>
      </c>
      <c r="U65" t="s">
        <v>24</v>
      </c>
      <c r="V65" t="s">
        <v>29</v>
      </c>
    </row>
    <row r="66" spans="1:22">
      <c r="A66" t="s">
        <v>120</v>
      </c>
      <c r="B66" t="s">
        <v>119</v>
      </c>
      <c r="C66" t="s">
        <v>25</v>
      </c>
      <c r="D66" t="s">
        <v>33</v>
      </c>
      <c r="E66" t="s">
        <v>27</v>
      </c>
      <c r="F66" t="s">
        <v>28</v>
      </c>
      <c r="G66">
        <v>9.3943471908569336</v>
      </c>
      <c r="H66">
        <v>9.2868175506591797</v>
      </c>
      <c r="I66">
        <v>0.15206919610500336</v>
      </c>
      <c r="J66">
        <v>205920368</v>
      </c>
      <c r="K66">
        <v>224405760</v>
      </c>
      <c r="L66">
        <v>26142292</v>
      </c>
      <c r="M66" t="b">
        <v>0</v>
      </c>
      <c r="N66">
        <v>1</v>
      </c>
      <c r="O66" t="b">
        <v>1</v>
      </c>
      <c r="P66">
        <v>1</v>
      </c>
      <c r="Q66">
        <v>2</v>
      </c>
      <c r="R66">
        <v>84.893600463867188</v>
      </c>
      <c r="S66" t="s">
        <v>24</v>
      </c>
      <c r="T66" t="s">
        <v>24</v>
      </c>
      <c r="U66" t="s">
        <v>24</v>
      </c>
      <c r="V66" t="s">
        <v>29</v>
      </c>
    </row>
    <row r="67" spans="1:22">
      <c r="A67" t="s">
        <v>121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29</v>
      </c>
    </row>
    <row r="68" spans="1:22">
      <c r="A68" t="s">
        <v>123</v>
      </c>
      <c r="B68" t="s">
        <v>24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29</v>
      </c>
    </row>
    <row r="69" spans="1:22">
      <c r="A69" t="s">
        <v>124</v>
      </c>
      <c r="B69" t="s">
        <v>24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29</v>
      </c>
    </row>
    <row r="70" spans="1:22">
      <c r="A70" t="s">
        <v>126</v>
      </c>
      <c r="B70" t="s">
        <v>24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29</v>
      </c>
    </row>
    <row r="71" spans="1:22">
      <c r="A71" t="s">
        <v>127</v>
      </c>
      <c r="B71" t="s">
        <v>24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29</v>
      </c>
    </row>
    <row r="72" spans="1:22">
      <c r="A72" t="s">
        <v>129</v>
      </c>
      <c r="B72" t="s">
        <v>24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29</v>
      </c>
    </row>
    <row r="73" spans="1:22">
      <c r="A73" t="s">
        <v>130</v>
      </c>
      <c r="B73" t="s">
        <v>24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29</v>
      </c>
    </row>
    <row r="74" spans="1:22">
      <c r="A74" t="s">
        <v>132</v>
      </c>
      <c r="B74" t="s">
        <v>24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29</v>
      </c>
    </row>
    <row r="75" spans="1:22">
      <c r="A75" t="s">
        <v>133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>
        <v>30.739345550537109</v>
      </c>
      <c r="H75">
        <v>30.745222091674805</v>
      </c>
      <c r="I75">
        <v>8.3106840029358864E-3</v>
      </c>
      <c r="J75">
        <v>5</v>
      </c>
      <c r="K75" t="s">
        <v>24</v>
      </c>
      <c r="L75" t="s">
        <v>24</v>
      </c>
      <c r="M75" t="b">
        <v>0</v>
      </c>
      <c r="N75">
        <v>1</v>
      </c>
      <c r="O75" t="b">
        <v>1</v>
      </c>
      <c r="P75">
        <v>3</v>
      </c>
      <c r="Q75">
        <v>24</v>
      </c>
      <c r="R75">
        <v>84.127090454101562</v>
      </c>
      <c r="S75" t="s">
        <v>24</v>
      </c>
      <c r="T75" t="s">
        <v>24</v>
      </c>
      <c r="U75" t="s">
        <v>24</v>
      </c>
      <c r="V75" t="s">
        <v>29</v>
      </c>
    </row>
    <row r="76" spans="1:22">
      <c r="A76" t="s">
        <v>134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>
        <v>30.7510986328125</v>
      </c>
      <c r="H76">
        <v>30.745222091674805</v>
      </c>
      <c r="I76">
        <v>8.3106840029358864E-3</v>
      </c>
      <c r="J76">
        <v>5</v>
      </c>
      <c r="K76" t="s">
        <v>24</v>
      </c>
      <c r="L76" t="s">
        <v>24</v>
      </c>
      <c r="M76" t="b">
        <v>0</v>
      </c>
      <c r="N76">
        <v>1</v>
      </c>
      <c r="O76" t="b">
        <v>1</v>
      </c>
      <c r="P76">
        <v>3</v>
      </c>
      <c r="Q76">
        <v>24</v>
      </c>
      <c r="R76">
        <v>84.3187255859375</v>
      </c>
      <c r="S76" t="s">
        <v>24</v>
      </c>
      <c r="T76" t="s">
        <v>24</v>
      </c>
      <c r="U76" t="s">
        <v>24</v>
      </c>
      <c r="V76" t="s">
        <v>29</v>
      </c>
    </row>
    <row r="77" spans="1:22">
      <c r="A77" t="s">
        <v>135</v>
      </c>
      <c r="B77" t="s">
        <v>136</v>
      </c>
      <c r="C77" t="s">
        <v>25</v>
      </c>
      <c r="D77" t="s">
        <v>33</v>
      </c>
      <c r="E77" t="s">
        <v>27</v>
      </c>
      <c r="F77" t="s">
        <v>28</v>
      </c>
      <c r="G77">
        <v>12.473546028137207</v>
      </c>
      <c r="H77">
        <v>12.625746726989746</v>
      </c>
      <c r="I77">
        <v>0.21524429321289062</v>
      </c>
      <c r="J77">
        <v>19360796</v>
      </c>
      <c r="K77">
        <v>17343222</v>
      </c>
      <c r="L77">
        <v>2853280.5</v>
      </c>
      <c r="M77" t="b">
        <v>0</v>
      </c>
      <c r="N77">
        <v>1</v>
      </c>
      <c r="O77" t="b">
        <v>1</v>
      </c>
      <c r="P77">
        <v>3</v>
      </c>
      <c r="Q77">
        <v>4</v>
      </c>
      <c r="R77">
        <v>85.085220336914062</v>
      </c>
      <c r="S77" t="s">
        <v>24</v>
      </c>
      <c r="T77" t="s">
        <v>24</v>
      </c>
      <c r="U77" t="s">
        <v>24</v>
      </c>
      <c r="V77" t="s">
        <v>29</v>
      </c>
    </row>
    <row r="78" spans="1:22">
      <c r="A78" t="s">
        <v>137</v>
      </c>
      <c r="B78" t="s">
        <v>136</v>
      </c>
      <c r="C78" t="s">
        <v>25</v>
      </c>
      <c r="D78" t="s">
        <v>33</v>
      </c>
      <c r="E78" t="s">
        <v>27</v>
      </c>
      <c r="F78" t="s">
        <v>28</v>
      </c>
      <c r="G78">
        <v>12.777947425842285</v>
      </c>
      <c r="H78">
        <v>12.625746726989746</v>
      </c>
      <c r="I78">
        <v>0.21524429321289062</v>
      </c>
      <c r="J78">
        <v>15325648</v>
      </c>
      <c r="K78">
        <v>17343222</v>
      </c>
      <c r="L78">
        <v>2853280.5</v>
      </c>
      <c r="M78" t="b">
        <v>0</v>
      </c>
      <c r="N78">
        <v>1</v>
      </c>
      <c r="O78" t="b">
        <v>1</v>
      </c>
      <c r="P78">
        <v>3</v>
      </c>
      <c r="Q78">
        <v>5</v>
      </c>
      <c r="R78">
        <v>85.085220336914062</v>
      </c>
      <c r="S78" t="s">
        <v>24</v>
      </c>
      <c r="T78" t="s">
        <v>24</v>
      </c>
      <c r="U78" t="s">
        <v>24</v>
      </c>
      <c r="V78" t="s">
        <v>29</v>
      </c>
    </row>
    <row r="79" spans="1:22">
      <c r="A79" t="s">
        <v>138</v>
      </c>
      <c r="B79" t="s">
        <v>24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29</v>
      </c>
    </row>
    <row r="80" spans="1:22">
      <c r="A80" t="s">
        <v>140</v>
      </c>
      <c r="B80" t="s">
        <v>24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29</v>
      </c>
    </row>
    <row r="81" spans="1:22">
      <c r="A81" t="s">
        <v>141</v>
      </c>
      <c r="B81" t="s">
        <v>24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29</v>
      </c>
    </row>
    <row r="82" spans="1:22">
      <c r="A82" t="s">
        <v>143</v>
      </c>
      <c r="B82" t="s">
        <v>24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29</v>
      </c>
    </row>
    <row r="83" spans="1:22">
      <c r="A83" t="s">
        <v>144</v>
      </c>
      <c r="B83" t="s">
        <v>24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29</v>
      </c>
    </row>
    <row r="84" spans="1:22">
      <c r="A84" t="s">
        <v>146</v>
      </c>
      <c r="B84" t="s">
        <v>24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29</v>
      </c>
    </row>
    <row r="85" spans="1:22">
      <c r="A85" t="s">
        <v>147</v>
      </c>
      <c r="B85" t="s">
        <v>24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29</v>
      </c>
    </row>
    <row r="86" spans="1:22">
      <c r="A86" t="s">
        <v>149</v>
      </c>
      <c r="B86" t="s">
        <v>24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29</v>
      </c>
    </row>
    <row r="87" spans="1:22">
      <c r="A87" t="s">
        <v>150</v>
      </c>
      <c r="B87" t="s">
        <v>24</v>
      </c>
      <c r="C87" t="s">
        <v>25</v>
      </c>
      <c r="D87" t="s">
        <v>151</v>
      </c>
      <c r="E87" t="s">
        <v>27</v>
      </c>
      <c r="F87" t="s">
        <v>28</v>
      </c>
      <c r="G87" t="s">
        <v>179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b">
        <v>0</v>
      </c>
      <c r="N87">
        <v>1</v>
      </c>
      <c r="O87" t="b">
        <v>1</v>
      </c>
      <c r="P87">
        <v>1</v>
      </c>
      <c r="Q87">
        <v>2</v>
      </c>
      <c r="R87">
        <v>67.072418212890625</v>
      </c>
      <c r="S87" t="s">
        <v>24</v>
      </c>
      <c r="T87" t="s">
        <v>24</v>
      </c>
      <c r="U87" t="s">
        <v>24</v>
      </c>
      <c r="V87" t="s">
        <v>29</v>
      </c>
    </row>
    <row r="88" spans="1:22">
      <c r="A88" t="s">
        <v>152</v>
      </c>
      <c r="B88" t="s">
        <v>24</v>
      </c>
      <c r="C88" t="s">
        <v>25</v>
      </c>
      <c r="D88" t="s">
        <v>151</v>
      </c>
      <c r="E88" t="s">
        <v>27</v>
      </c>
      <c r="F88" t="s">
        <v>28</v>
      </c>
      <c r="G88">
        <v>35.742645263671875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b">
        <v>0</v>
      </c>
      <c r="N88">
        <v>1</v>
      </c>
      <c r="O88" t="b">
        <v>1</v>
      </c>
      <c r="P88">
        <v>3</v>
      </c>
      <c r="Q88">
        <v>31</v>
      </c>
      <c r="R88">
        <v>62.09014892578125</v>
      </c>
      <c r="S88" t="s">
        <v>24</v>
      </c>
      <c r="T88" t="s">
        <v>24</v>
      </c>
      <c r="U88" t="s">
        <v>24</v>
      </c>
      <c r="V88" t="s">
        <v>29</v>
      </c>
    </row>
    <row r="89" spans="1:22">
      <c r="A89" t="s">
        <v>153</v>
      </c>
      <c r="B89" t="s">
        <v>154</v>
      </c>
      <c r="C89" t="s">
        <v>25</v>
      </c>
      <c r="D89" t="s">
        <v>33</v>
      </c>
      <c r="E89" t="s">
        <v>27</v>
      </c>
      <c r="F89" t="s">
        <v>28</v>
      </c>
      <c r="G89">
        <v>10.68226432800293</v>
      </c>
      <c r="H89">
        <v>10.808797836303711</v>
      </c>
      <c r="I89">
        <v>0.17894472181797028</v>
      </c>
      <c r="J89">
        <v>76601296</v>
      </c>
      <c r="K89">
        <v>69837608</v>
      </c>
      <c r="L89">
        <v>9565299</v>
      </c>
      <c r="M89" t="b">
        <v>0</v>
      </c>
      <c r="N89">
        <v>1</v>
      </c>
      <c r="O89" t="b">
        <v>1</v>
      </c>
      <c r="P89">
        <v>3</v>
      </c>
      <c r="Q89">
        <v>4</v>
      </c>
      <c r="R89">
        <v>72.629562377929688</v>
      </c>
      <c r="S89" t="s">
        <v>24</v>
      </c>
      <c r="T89" t="s">
        <v>24</v>
      </c>
      <c r="U89" t="s">
        <v>24</v>
      </c>
      <c r="V89" t="s">
        <v>29</v>
      </c>
    </row>
    <row r="90" spans="1:22">
      <c r="A90" t="s">
        <v>155</v>
      </c>
      <c r="B90" t="s">
        <v>154</v>
      </c>
      <c r="C90" t="s">
        <v>25</v>
      </c>
      <c r="D90" t="s">
        <v>33</v>
      </c>
      <c r="E90" t="s">
        <v>27</v>
      </c>
      <c r="F90" t="s">
        <v>28</v>
      </c>
      <c r="G90">
        <v>10.935330390930176</v>
      </c>
      <c r="H90">
        <v>10.808797836303711</v>
      </c>
      <c r="I90">
        <v>0.17894472181797028</v>
      </c>
      <c r="J90">
        <v>63073920</v>
      </c>
      <c r="K90">
        <v>69837608</v>
      </c>
      <c r="L90">
        <v>9565299</v>
      </c>
      <c r="M90" t="b">
        <v>0</v>
      </c>
      <c r="N90">
        <v>1</v>
      </c>
      <c r="O90" t="b">
        <v>1</v>
      </c>
      <c r="P90">
        <v>3</v>
      </c>
      <c r="Q90">
        <v>4</v>
      </c>
      <c r="R90">
        <v>61.13201904296875</v>
      </c>
      <c r="S90" t="s">
        <v>24</v>
      </c>
      <c r="T90" t="s">
        <v>24</v>
      </c>
      <c r="U90" t="s">
        <v>24</v>
      </c>
      <c r="V90" t="s">
        <v>114</v>
      </c>
    </row>
    <row r="91" spans="1:22">
      <c r="A91" t="s">
        <v>156</v>
      </c>
      <c r="B91" t="s">
        <v>24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</row>
    <row r="92" spans="1:22">
      <c r="A92" t="s">
        <v>158</v>
      </c>
      <c r="B92" t="s">
        <v>24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</row>
    <row r="93" spans="1:22">
      <c r="A93" t="s">
        <v>159</v>
      </c>
      <c r="B93" t="s">
        <v>24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29</v>
      </c>
    </row>
    <row r="94" spans="1:22">
      <c r="A94" t="s">
        <v>161</v>
      </c>
      <c r="B94" t="s">
        <v>24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29</v>
      </c>
    </row>
    <row r="95" spans="1:22">
      <c r="A95" t="s">
        <v>162</v>
      </c>
      <c r="B95" t="s">
        <v>24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29</v>
      </c>
    </row>
    <row r="96" spans="1:22">
      <c r="A96" t="s">
        <v>164</v>
      </c>
      <c r="B96" t="s">
        <v>24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29</v>
      </c>
    </row>
    <row r="97" spans="1:22">
      <c r="A97" t="s">
        <v>165</v>
      </c>
      <c r="B97" t="s">
        <v>24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29</v>
      </c>
    </row>
    <row r="98" spans="1:22">
      <c r="A98" t="s">
        <v>167</v>
      </c>
      <c r="B98" t="s">
        <v>24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8"/>
  <sheetViews>
    <sheetView topLeftCell="A79" workbookViewId="0">
      <selection activeCell="A3" sqref="A3:K98"/>
    </sheetView>
  </sheetViews>
  <sheetFormatPr baseColWidth="10" defaultRowHeight="15"/>
  <sheetData>
    <row r="1" spans="1:24">
      <c r="A1" t="s">
        <v>222</v>
      </c>
      <c r="B1" t="s">
        <v>226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169</v>
      </c>
      <c r="W2" t="s">
        <v>181</v>
      </c>
      <c r="X2" t="s">
        <v>22</v>
      </c>
    </row>
    <row r="3" spans="1:2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9.3404159545898438</v>
      </c>
      <c r="H3">
        <v>9.1819953918457031</v>
      </c>
      <c r="I3">
        <v>0.22403983771800995</v>
      </c>
      <c r="J3">
        <v>50000000</v>
      </c>
      <c r="K3" t="s">
        <v>24</v>
      </c>
      <c r="L3" t="s">
        <v>24</v>
      </c>
      <c r="M3" t="b">
        <v>0</v>
      </c>
      <c r="N3">
        <v>0.79418069281129755</v>
      </c>
      <c r="O3" t="b">
        <v>1</v>
      </c>
      <c r="P3">
        <v>1</v>
      </c>
      <c r="Q3">
        <v>2</v>
      </c>
      <c r="R3">
        <v>84.282760620117188</v>
      </c>
      <c r="S3" t="s">
        <v>24</v>
      </c>
      <c r="T3" t="s">
        <v>24</v>
      </c>
      <c r="U3" t="s">
        <v>24</v>
      </c>
      <c r="V3" t="s">
        <v>29</v>
      </c>
      <c r="W3" t="s">
        <v>29</v>
      </c>
      <c r="X3" t="s">
        <v>29</v>
      </c>
    </row>
    <row r="4" spans="1:24">
      <c r="A4" t="s">
        <v>30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9.0235757827758789</v>
      </c>
      <c r="H4">
        <v>9.1819953918457031</v>
      </c>
      <c r="I4">
        <v>0.22403983771800995</v>
      </c>
      <c r="J4">
        <v>50000000</v>
      </c>
      <c r="K4" t="s">
        <v>24</v>
      </c>
      <c r="L4" t="s">
        <v>24</v>
      </c>
      <c r="M4" t="b">
        <v>0</v>
      </c>
      <c r="N4">
        <v>0.79418069281129755</v>
      </c>
      <c r="O4" t="b">
        <v>1</v>
      </c>
      <c r="P4">
        <v>1</v>
      </c>
      <c r="Q4">
        <v>2</v>
      </c>
      <c r="R4">
        <v>84.282760620117188</v>
      </c>
      <c r="S4" t="s">
        <v>24</v>
      </c>
      <c r="T4" t="s">
        <v>24</v>
      </c>
      <c r="U4" t="s">
        <v>24</v>
      </c>
      <c r="V4" t="s">
        <v>29</v>
      </c>
      <c r="W4" t="s">
        <v>29</v>
      </c>
      <c r="X4" t="s">
        <v>29</v>
      </c>
    </row>
    <row r="5" spans="1:24">
      <c r="A5" t="s">
        <v>31</v>
      </c>
      <c r="B5" t="s">
        <v>32</v>
      </c>
      <c r="C5" t="s">
        <v>25</v>
      </c>
      <c r="D5" t="s">
        <v>33</v>
      </c>
      <c r="E5" t="s">
        <v>27</v>
      </c>
      <c r="F5" t="s">
        <v>28</v>
      </c>
      <c r="G5">
        <v>12.786888122558594</v>
      </c>
      <c r="H5">
        <v>12.730762481689453</v>
      </c>
      <c r="I5">
        <v>7.9373642802238464E-2</v>
      </c>
      <c r="J5">
        <v>6029472</v>
      </c>
      <c r="K5">
        <v>6234340</v>
      </c>
      <c r="L5">
        <v>289727.46875</v>
      </c>
      <c r="M5" t="b">
        <v>0</v>
      </c>
      <c r="N5">
        <v>0.79418069281129755</v>
      </c>
      <c r="O5" t="b">
        <v>1</v>
      </c>
      <c r="P5">
        <v>3</v>
      </c>
      <c r="Q5">
        <v>6</v>
      </c>
      <c r="R5">
        <v>84.853195190429688</v>
      </c>
      <c r="S5" t="s">
        <v>24</v>
      </c>
      <c r="T5" t="s">
        <v>24</v>
      </c>
      <c r="U5" t="s">
        <v>24</v>
      </c>
      <c r="V5" t="s">
        <v>29</v>
      </c>
      <c r="W5" t="s">
        <v>29</v>
      </c>
      <c r="X5" t="s">
        <v>29</v>
      </c>
    </row>
    <row r="6" spans="1:24">
      <c r="A6" t="s">
        <v>34</v>
      </c>
      <c r="B6" t="s">
        <v>32</v>
      </c>
      <c r="C6" t="s">
        <v>25</v>
      </c>
      <c r="D6" t="s">
        <v>33</v>
      </c>
      <c r="E6" t="s">
        <v>27</v>
      </c>
      <c r="F6" t="s">
        <v>28</v>
      </c>
      <c r="G6">
        <v>12.674636840820312</v>
      </c>
      <c r="H6">
        <v>12.730762481689453</v>
      </c>
      <c r="I6">
        <v>7.9373642802238464E-2</v>
      </c>
      <c r="J6">
        <v>6439208.5</v>
      </c>
      <c r="K6">
        <v>6234340</v>
      </c>
      <c r="L6">
        <v>289727.46875</v>
      </c>
      <c r="M6" t="b">
        <v>0</v>
      </c>
      <c r="N6">
        <v>0.79418069281129755</v>
      </c>
      <c r="O6" t="b">
        <v>1</v>
      </c>
      <c r="P6">
        <v>3</v>
      </c>
      <c r="Q6">
        <v>6</v>
      </c>
      <c r="R6">
        <v>84.853195190429688</v>
      </c>
      <c r="S6" t="s">
        <v>24</v>
      </c>
      <c r="T6" t="s">
        <v>24</v>
      </c>
      <c r="U6" t="s">
        <v>24</v>
      </c>
      <c r="V6" t="s">
        <v>29</v>
      </c>
      <c r="W6" t="s">
        <v>29</v>
      </c>
      <c r="X6" t="s">
        <v>29</v>
      </c>
    </row>
    <row r="7" spans="1:24">
      <c r="A7" t="s">
        <v>35</v>
      </c>
      <c r="B7" t="s">
        <v>36</v>
      </c>
      <c r="C7" t="s">
        <v>25</v>
      </c>
      <c r="D7" t="s">
        <v>33</v>
      </c>
      <c r="E7" t="s">
        <v>27</v>
      </c>
      <c r="F7" t="s">
        <v>28</v>
      </c>
      <c r="G7">
        <v>15.290532112121582</v>
      </c>
      <c r="H7">
        <v>15.176052093505859</v>
      </c>
      <c r="I7">
        <v>0.16189919412136078</v>
      </c>
      <c r="J7">
        <v>1391330.75</v>
      </c>
      <c r="K7">
        <v>1491166.25</v>
      </c>
      <c r="L7">
        <v>141188.8125</v>
      </c>
      <c r="M7" t="b">
        <v>0</v>
      </c>
      <c r="N7">
        <v>0.79418069281129755</v>
      </c>
      <c r="O7" t="b">
        <v>1</v>
      </c>
      <c r="P7">
        <v>3</v>
      </c>
      <c r="Q7">
        <v>8</v>
      </c>
      <c r="R7">
        <v>84.853195190429688</v>
      </c>
      <c r="S7" t="s">
        <v>24</v>
      </c>
      <c r="T7" t="s">
        <v>24</v>
      </c>
      <c r="U7" t="s">
        <v>24</v>
      </c>
      <c r="V7" t="s">
        <v>29</v>
      </c>
      <c r="W7" t="s">
        <v>29</v>
      </c>
      <c r="X7" t="s">
        <v>29</v>
      </c>
    </row>
    <row r="8" spans="1:24">
      <c r="A8" t="s">
        <v>37</v>
      </c>
      <c r="B8" t="s">
        <v>36</v>
      </c>
      <c r="C8" t="s">
        <v>25</v>
      </c>
      <c r="D8" t="s">
        <v>33</v>
      </c>
      <c r="E8" t="s">
        <v>27</v>
      </c>
      <c r="F8" t="s">
        <v>28</v>
      </c>
      <c r="G8">
        <v>15.061572074890137</v>
      </c>
      <c r="H8">
        <v>15.176052093505859</v>
      </c>
      <c r="I8">
        <v>0.16189919412136078</v>
      </c>
      <c r="J8">
        <v>1591001.875</v>
      </c>
      <c r="K8">
        <v>1491166.25</v>
      </c>
      <c r="L8">
        <v>141188.8125</v>
      </c>
      <c r="M8" t="b">
        <v>0</v>
      </c>
      <c r="N8">
        <v>0.79418069281129755</v>
      </c>
      <c r="O8" t="b">
        <v>1</v>
      </c>
      <c r="P8">
        <v>3</v>
      </c>
      <c r="Q8">
        <v>8</v>
      </c>
      <c r="R8">
        <v>84.853195190429688</v>
      </c>
      <c r="S8" t="s">
        <v>24</v>
      </c>
      <c r="T8" t="s">
        <v>24</v>
      </c>
      <c r="U8" t="s">
        <v>24</v>
      </c>
      <c r="V8" t="s">
        <v>29</v>
      </c>
      <c r="W8" t="s">
        <v>29</v>
      </c>
      <c r="X8" t="s">
        <v>29</v>
      </c>
    </row>
    <row r="9" spans="1:24">
      <c r="A9" t="s">
        <v>38</v>
      </c>
      <c r="B9" t="s">
        <v>39</v>
      </c>
      <c r="C9" t="s">
        <v>25</v>
      </c>
      <c r="D9" t="s">
        <v>33</v>
      </c>
      <c r="E9" t="s">
        <v>27</v>
      </c>
      <c r="F9" t="s">
        <v>28</v>
      </c>
      <c r="G9">
        <v>15.218250274658203</v>
      </c>
      <c r="H9">
        <v>15.22880744934082</v>
      </c>
      <c r="I9">
        <v>1.4930099248886108E-2</v>
      </c>
      <c r="J9">
        <v>1451498.625</v>
      </c>
      <c r="K9">
        <v>1442578.75</v>
      </c>
      <c r="L9">
        <v>12614.6962890625</v>
      </c>
      <c r="M9" t="b">
        <v>0</v>
      </c>
      <c r="N9">
        <v>0.79418069281129755</v>
      </c>
      <c r="O9" t="b">
        <v>1</v>
      </c>
      <c r="P9">
        <v>3</v>
      </c>
      <c r="Q9">
        <v>8</v>
      </c>
      <c r="R9">
        <v>84.472900390625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  <c r="X9" t="s">
        <v>29</v>
      </c>
    </row>
    <row r="10" spans="1:24">
      <c r="A10" t="s">
        <v>40</v>
      </c>
      <c r="B10" t="s">
        <v>39</v>
      </c>
      <c r="C10" t="s">
        <v>25</v>
      </c>
      <c r="D10" t="s">
        <v>33</v>
      </c>
      <c r="E10" t="s">
        <v>27</v>
      </c>
      <c r="F10" t="s">
        <v>28</v>
      </c>
      <c r="G10">
        <v>15.239364624023438</v>
      </c>
      <c r="H10">
        <v>15.22880744934082</v>
      </c>
      <c r="I10">
        <v>1.4930099248886108E-2</v>
      </c>
      <c r="J10">
        <v>1433658.75</v>
      </c>
      <c r="K10">
        <v>1442578.75</v>
      </c>
      <c r="L10">
        <v>12614.6962890625</v>
      </c>
      <c r="M10" t="b">
        <v>0</v>
      </c>
      <c r="N10">
        <v>0.79418069281129755</v>
      </c>
      <c r="O10" t="b">
        <v>1</v>
      </c>
      <c r="P10">
        <v>3</v>
      </c>
      <c r="Q10">
        <v>8</v>
      </c>
      <c r="R10">
        <v>84.282760620117188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  <c r="X10" t="s">
        <v>29</v>
      </c>
    </row>
    <row r="11" spans="1:24">
      <c r="A11" t="s">
        <v>41</v>
      </c>
      <c r="B11" t="s">
        <v>42</v>
      </c>
      <c r="C11" t="s">
        <v>25</v>
      </c>
      <c r="D11" t="s">
        <v>33</v>
      </c>
      <c r="E11" t="s">
        <v>27</v>
      </c>
      <c r="F11" t="s">
        <v>28</v>
      </c>
      <c r="G11">
        <v>14.90473747253418</v>
      </c>
      <c r="H11">
        <v>15.015921592712402</v>
      </c>
      <c r="I11">
        <v>0.15723809599876404</v>
      </c>
      <c r="J11">
        <v>1744072.375</v>
      </c>
      <c r="K11">
        <v>1637581.625</v>
      </c>
      <c r="L11">
        <v>150600.65625</v>
      </c>
      <c r="M11" t="b">
        <v>0</v>
      </c>
      <c r="N11">
        <v>0.79418069281129755</v>
      </c>
      <c r="O11" t="b">
        <v>1</v>
      </c>
      <c r="P11">
        <v>3</v>
      </c>
      <c r="Q11">
        <v>8</v>
      </c>
      <c r="R11">
        <v>83.9024658203125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  <c r="X11" t="s">
        <v>29</v>
      </c>
    </row>
    <row r="12" spans="1:24">
      <c r="A12" t="s">
        <v>43</v>
      </c>
      <c r="B12" t="s">
        <v>42</v>
      </c>
      <c r="C12" t="s">
        <v>25</v>
      </c>
      <c r="D12" t="s">
        <v>33</v>
      </c>
      <c r="E12" t="s">
        <v>27</v>
      </c>
      <c r="F12" t="s">
        <v>28</v>
      </c>
      <c r="G12">
        <v>15.127105712890625</v>
      </c>
      <c r="H12">
        <v>15.015921592712402</v>
      </c>
      <c r="I12">
        <v>0.15723809599876404</v>
      </c>
      <c r="J12">
        <v>1531090.875</v>
      </c>
      <c r="K12">
        <v>1637581.625</v>
      </c>
      <c r="L12">
        <v>150600.65625</v>
      </c>
      <c r="M12" t="b">
        <v>0</v>
      </c>
      <c r="N12">
        <v>0.79418069281129755</v>
      </c>
      <c r="O12" t="b">
        <v>1</v>
      </c>
      <c r="P12">
        <v>3</v>
      </c>
      <c r="Q12">
        <v>8</v>
      </c>
      <c r="R12">
        <v>83.712310791015625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  <c r="X12" t="s">
        <v>29</v>
      </c>
    </row>
    <row r="13" spans="1:24">
      <c r="A13" t="s">
        <v>44</v>
      </c>
      <c r="B13" t="s">
        <v>45</v>
      </c>
      <c r="C13" t="s">
        <v>25</v>
      </c>
      <c r="D13" t="s">
        <v>33</v>
      </c>
      <c r="E13" t="s">
        <v>27</v>
      </c>
      <c r="F13" t="s">
        <v>28</v>
      </c>
      <c r="G13">
        <v>13.910245895385742</v>
      </c>
      <c r="H13">
        <v>14.028614044189453</v>
      </c>
      <c r="I13">
        <v>0.16739851236343384</v>
      </c>
      <c r="J13">
        <v>3122713.25</v>
      </c>
      <c r="K13">
        <v>2920557.25</v>
      </c>
      <c r="L13">
        <v>285891.75</v>
      </c>
      <c r="M13" t="b">
        <v>0</v>
      </c>
      <c r="N13">
        <v>0.79418069281129755</v>
      </c>
      <c r="O13" t="b">
        <v>1</v>
      </c>
      <c r="P13">
        <v>3</v>
      </c>
      <c r="Q13">
        <v>6</v>
      </c>
      <c r="R13">
        <v>84.092605590820312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  <c r="X13" t="s">
        <v>29</v>
      </c>
    </row>
    <row r="14" spans="1:24">
      <c r="A14" t="s">
        <v>46</v>
      </c>
      <c r="B14" t="s">
        <v>45</v>
      </c>
      <c r="C14" t="s">
        <v>25</v>
      </c>
      <c r="D14" t="s">
        <v>33</v>
      </c>
      <c r="E14" t="s">
        <v>27</v>
      </c>
      <c r="F14" t="s">
        <v>28</v>
      </c>
      <c r="G14">
        <v>14.14698314666748</v>
      </c>
      <c r="H14">
        <v>14.028614044189453</v>
      </c>
      <c r="I14">
        <v>0.16739851236343384</v>
      </c>
      <c r="J14">
        <v>2718401.25</v>
      </c>
      <c r="K14">
        <v>2920557.25</v>
      </c>
      <c r="L14">
        <v>285891.75</v>
      </c>
      <c r="M14" t="b">
        <v>0</v>
      </c>
      <c r="N14">
        <v>0.79418069281129755</v>
      </c>
      <c r="O14" t="b">
        <v>1</v>
      </c>
      <c r="P14">
        <v>3</v>
      </c>
      <c r="Q14">
        <v>8</v>
      </c>
      <c r="R14">
        <v>84.092605590820312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  <c r="X14" t="s">
        <v>29</v>
      </c>
    </row>
    <row r="15" spans="1:24">
      <c r="A15" t="s">
        <v>47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12.789280891418457</v>
      </c>
      <c r="H15">
        <v>12.745952606201172</v>
      </c>
      <c r="I15">
        <v>6.127612292766571E-2</v>
      </c>
      <c r="J15">
        <v>5000000</v>
      </c>
      <c r="K15" t="s">
        <v>24</v>
      </c>
      <c r="L15" t="s">
        <v>24</v>
      </c>
      <c r="M15" t="b">
        <v>0</v>
      </c>
      <c r="N15">
        <v>0.79418069281129755</v>
      </c>
      <c r="O15" t="b">
        <v>1</v>
      </c>
      <c r="P15">
        <v>3</v>
      </c>
      <c r="Q15">
        <v>4</v>
      </c>
      <c r="R15">
        <v>84.282760620117188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  <c r="X15" t="s">
        <v>29</v>
      </c>
    </row>
    <row r="16" spans="1:24">
      <c r="A16" t="s">
        <v>48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12.70262336730957</v>
      </c>
      <c r="H16">
        <v>12.745952606201172</v>
      </c>
      <c r="I16">
        <v>6.127612292766571E-2</v>
      </c>
      <c r="J16">
        <v>5000000</v>
      </c>
      <c r="K16" t="s">
        <v>24</v>
      </c>
      <c r="L16" t="s">
        <v>24</v>
      </c>
      <c r="M16" t="b">
        <v>0</v>
      </c>
      <c r="N16">
        <v>0.79418069281129755</v>
      </c>
      <c r="O16" t="b">
        <v>1</v>
      </c>
      <c r="P16">
        <v>3</v>
      </c>
      <c r="Q16">
        <v>6</v>
      </c>
      <c r="R16">
        <v>84.472900390625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  <c r="X16" t="s">
        <v>29</v>
      </c>
    </row>
    <row r="17" spans="1:24">
      <c r="A17" t="s">
        <v>49</v>
      </c>
      <c r="B17" t="s">
        <v>50</v>
      </c>
      <c r="C17" t="s">
        <v>25</v>
      </c>
      <c r="D17" t="s">
        <v>33</v>
      </c>
      <c r="E17" t="s">
        <v>27</v>
      </c>
      <c r="F17" t="s">
        <v>28</v>
      </c>
      <c r="G17">
        <v>13.856040000915527</v>
      </c>
      <c r="H17">
        <v>13.905576705932617</v>
      </c>
      <c r="I17">
        <v>7.0056155323982239E-2</v>
      </c>
      <c r="J17">
        <v>3223446</v>
      </c>
      <c r="K17">
        <v>3132582</v>
      </c>
      <c r="L17">
        <v>128500.921875</v>
      </c>
      <c r="M17" t="b">
        <v>0</v>
      </c>
      <c r="N17">
        <v>0.79418069281129755</v>
      </c>
      <c r="O17" t="b">
        <v>1</v>
      </c>
      <c r="P17">
        <v>3</v>
      </c>
      <c r="Q17">
        <v>6</v>
      </c>
      <c r="R17">
        <v>84.853195190429688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  <c r="X17" t="s">
        <v>29</v>
      </c>
    </row>
    <row r="18" spans="1:24">
      <c r="A18" t="s">
        <v>51</v>
      </c>
      <c r="B18" t="s">
        <v>50</v>
      </c>
      <c r="C18" t="s">
        <v>25</v>
      </c>
      <c r="D18" t="s">
        <v>33</v>
      </c>
      <c r="E18" t="s">
        <v>27</v>
      </c>
      <c r="F18" t="s">
        <v>28</v>
      </c>
      <c r="G18">
        <v>13.955114364624023</v>
      </c>
      <c r="H18">
        <v>13.905576705932617</v>
      </c>
      <c r="I18">
        <v>7.0056155323982239E-2</v>
      </c>
      <c r="J18">
        <v>3041718.25</v>
      </c>
      <c r="K18">
        <v>3132582</v>
      </c>
      <c r="L18">
        <v>128500.921875</v>
      </c>
      <c r="M18" t="b">
        <v>0</v>
      </c>
      <c r="N18">
        <v>0.79418069281129755</v>
      </c>
      <c r="O18" t="b">
        <v>1</v>
      </c>
      <c r="P18">
        <v>3</v>
      </c>
      <c r="Q18">
        <v>7</v>
      </c>
      <c r="R18">
        <v>84.853195190429688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  <c r="X18" t="s">
        <v>29</v>
      </c>
    </row>
    <row r="19" spans="1:24">
      <c r="A19" t="s">
        <v>52</v>
      </c>
      <c r="B19" t="s">
        <v>53</v>
      </c>
      <c r="C19" t="s">
        <v>25</v>
      </c>
      <c r="D19" t="s">
        <v>33</v>
      </c>
      <c r="E19" t="s">
        <v>27</v>
      </c>
      <c r="F19" t="s">
        <v>28</v>
      </c>
      <c r="G19">
        <v>17.390598297119141</v>
      </c>
      <c r="H19">
        <v>17.273323059082031</v>
      </c>
      <c r="I19">
        <v>0.16585223376750946</v>
      </c>
      <c r="J19">
        <v>406667.15625</v>
      </c>
      <c r="K19">
        <v>436610.3125</v>
      </c>
      <c r="L19">
        <v>42346.01953125</v>
      </c>
      <c r="M19" t="b">
        <v>0</v>
      </c>
      <c r="N19">
        <v>0.79418069281129755</v>
      </c>
      <c r="O19" t="b">
        <v>1</v>
      </c>
      <c r="P19">
        <v>3</v>
      </c>
      <c r="Q19">
        <v>10</v>
      </c>
      <c r="R19">
        <v>84.663055419921875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  <c r="X19" t="s">
        <v>29</v>
      </c>
    </row>
    <row r="20" spans="1:24">
      <c r="A20" t="s">
        <v>54</v>
      </c>
      <c r="B20" t="s">
        <v>53</v>
      </c>
      <c r="C20" t="s">
        <v>25</v>
      </c>
      <c r="D20" t="s">
        <v>33</v>
      </c>
      <c r="E20" t="s">
        <v>27</v>
      </c>
      <c r="F20" t="s">
        <v>28</v>
      </c>
      <c r="G20">
        <v>17.156047821044922</v>
      </c>
      <c r="H20">
        <v>17.273323059082031</v>
      </c>
      <c r="I20">
        <v>0.16585223376750946</v>
      </c>
      <c r="J20">
        <v>466553.46875</v>
      </c>
      <c r="K20">
        <v>436610.3125</v>
      </c>
      <c r="L20">
        <v>42346.01953125</v>
      </c>
      <c r="M20" t="b">
        <v>0</v>
      </c>
      <c r="N20">
        <v>0.79418069281129755</v>
      </c>
      <c r="O20" t="b">
        <v>1</v>
      </c>
      <c r="P20">
        <v>3</v>
      </c>
      <c r="Q20">
        <v>9</v>
      </c>
      <c r="R20">
        <v>84.472900390625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  <c r="X20" t="s">
        <v>29</v>
      </c>
    </row>
    <row r="21" spans="1:24">
      <c r="A21" t="s">
        <v>55</v>
      </c>
      <c r="B21" t="s">
        <v>56</v>
      </c>
      <c r="C21" t="s">
        <v>25</v>
      </c>
      <c r="D21" t="s">
        <v>33</v>
      </c>
      <c r="E21" t="s">
        <v>27</v>
      </c>
      <c r="F21" t="s">
        <v>28</v>
      </c>
      <c r="G21">
        <v>16.930614471435547</v>
      </c>
      <c r="H21">
        <v>17.02294921875</v>
      </c>
      <c r="I21">
        <v>0.13058240711688995</v>
      </c>
      <c r="J21">
        <v>532408.0625</v>
      </c>
      <c r="K21">
        <v>505117.15625</v>
      </c>
      <c r="L21">
        <v>38595.16796875</v>
      </c>
      <c r="M21" t="b">
        <v>0</v>
      </c>
      <c r="N21">
        <v>0.79418069281129755</v>
      </c>
      <c r="O21" t="b">
        <v>1</v>
      </c>
      <c r="P21">
        <v>3</v>
      </c>
      <c r="Q21">
        <v>10</v>
      </c>
      <c r="R21">
        <v>84.853195190429688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  <c r="X21" t="s">
        <v>29</v>
      </c>
    </row>
    <row r="22" spans="1:24">
      <c r="A22" t="s">
        <v>57</v>
      </c>
      <c r="B22" t="s">
        <v>56</v>
      </c>
      <c r="C22" t="s">
        <v>25</v>
      </c>
      <c r="D22" t="s">
        <v>33</v>
      </c>
      <c r="E22" t="s">
        <v>27</v>
      </c>
      <c r="F22" t="s">
        <v>28</v>
      </c>
      <c r="G22">
        <v>17.115285873413086</v>
      </c>
      <c r="H22">
        <v>17.02294921875</v>
      </c>
      <c r="I22">
        <v>0.13058240711688995</v>
      </c>
      <c r="J22">
        <v>477826.25</v>
      </c>
      <c r="K22">
        <v>505117.15625</v>
      </c>
      <c r="L22">
        <v>38595.16796875</v>
      </c>
      <c r="M22" t="b">
        <v>0</v>
      </c>
      <c r="N22">
        <v>0.79418069281129755</v>
      </c>
      <c r="O22" t="b">
        <v>1</v>
      </c>
      <c r="P22">
        <v>3</v>
      </c>
      <c r="Q22">
        <v>10</v>
      </c>
      <c r="R22">
        <v>84.472900390625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  <c r="X22" t="s">
        <v>29</v>
      </c>
    </row>
    <row r="23" spans="1:24">
      <c r="A23" t="s">
        <v>58</v>
      </c>
      <c r="B23" t="s">
        <v>59</v>
      </c>
      <c r="C23" t="s">
        <v>25</v>
      </c>
      <c r="D23" t="s">
        <v>33</v>
      </c>
      <c r="E23" t="s">
        <v>27</v>
      </c>
      <c r="F23" t="s">
        <v>28</v>
      </c>
      <c r="G23">
        <v>21.137409210205078</v>
      </c>
      <c r="H23">
        <v>21.17713737487793</v>
      </c>
      <c r="I23">
        <v>5.6184109300374985E-2</v>
      </c>
      <c r="J23">
        <v>45307.21484375</v>
      </c>
      <c r="K23">
        <v>44277.1171875</v>
      </c>
      <c r="L23">
        <v>1456.7808837890625</v>
      </c>
      <c r="M23" t="b">
        <v>0</v>
      </c>
      <c r="N23">
        <v>0.79418069281129755</v>
      </c>
      <c r="O23" t="b">
        <v>1</v>
      </c>
      <c r="P23">
        <v>3</v>
      </c>
      <c r="Q23">
        <v>12</v>
      </c>
      <c r="R23">
        <v>84.282760620117188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  <c r="X23" t="s">
        <v>29</v>
      </c>
    </row>
    <row r="24" spans="1:24">
      <c r="A24" t="s">
        <v>60</v>
      </c>
      <c r="B24" t="s">
        <v>59</v>
      </c>
      <c r="C24" t="s">
        <v>25</v>
      </c>
      <c r="D24" t="s">
        <v>33</v>
      </c>
      <c r="E24" t="s">
        <v>27</v>
      </c>
      <c r="F24" t="s">
        <v>28</v>
      </c>
      <c r="G24">
        <v>21.216865539550781</v>
      </c>
      <c r="H24">
        <v>21.17713737487793</v>
      </c>
      <c r="I24">
        <v>5.6184109300374985E-2</v>
      </c>
      <c r="J24">
        <v>43247.015625</v>
      </c>
      <c r="K24">
        <v>44277.1171875</v>
      </c>
      <c r="L24">
        <v>1456.7808837890625</v>
      </c>
      <c r="M24" t="b">
        <v>0</v>
      </c>
      <c r="N24">
        <v>0.79418069281129755</v>
      </c>
      <c r="O24" t="b">
        <v>1</v>
      </c>
      <c r="P24">
        <v>3</v>
      </c>
      <c r="Q24">
        <v>14</v>
      </c>
      <c r="R24">
        <v>84.092605590820312</v>
      </c>
      <c r="S24" t="s">
        <v>24</v>
      </c>
      <c r="T24" t="s">
        <v>24</v>
      </c>
      <c r="U24" t="s">
        <v>24</v>
      </c>
      <c r="V24" t="s">
        <v>29</v>
      </c>
      <c r="W24" t="s">
        <v>29</v>
      </c>
      <c r="X24" t="s">
        <v>29</v>
      </c>
    </row>
    <row r="25" spans="1:24">
      <c r="A25" t="s">
        <v>61</v>
      </c>
      <c r="B25" t="s">
        <v>62</v>
      </c>
      <c r="C25" t="s">
        <v>25</v>
      </c>
      <c r="D25" t="s">
        <v>33</v>
      </c>
      <c r="E25" t="s">
        <v>27</v>
      </c>
      <c r="F25" t="s">
        <v>28</v>
      </c>
      <c r="G25">
        <v>17.099077224731445</v>
      </c>
      <c r="H25">
        <v>17.261564254760742</v>
      </c>
      <c r="I25">
        <v>0.22979135811328888</v>
      </c>
      <c r="J25">
        <v>482384.09375</v>
      </c>
      <c r="K25">
        <v>440580.375</v>
      </c>
      <c r="L25">
        <v>59119.38671875</v>
      </c>
      <c r="M25" t="b">
        <v>0</v>
      </c>
      <c r="N25">
        <v>0.79418069281129755</v>
      </c>
      <c r="O25" t="b">
        <v>1</v>
      </c>
      <c r="P25">
        <v>3</v>
      </c>
      <c r="Q25">
        <v>9</v>
      </c>
      <c r="R25">
        <v>84.282760620117188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  <c r="X25" t="s">
        <v>29</v>
      </c>
    </row>
    <row r="26" spans="1:24">
      <c r="A26" t="s">
        <v>63</v>
      </c>
      <c r="B26" t="s">
        <v>62</v>
      </c>
      <c r="C26" t="s">
        <v>25</v>
      </c>
      <c r="D26" t="s">
        <v>33</v>
      </c>
      <c r="E26" t="s">
        <v>27</v>
      </c>
      <c r="F26" t="s">
        <v>28</v>
      </c>
      <c r="G26">
        <v>17.424051284790039</v>
      </c>
      <c r="H26">
        <v>17.261564254760742</v>
      </c>
      <c r="I26">
        <v>0.22979135811328888</v>
      </c>
      <c r="J26">
        <v>398776.65625</v>
      </c>
      <c r="K26">
        <v>440580.375</v>
      </c>
      <c r="L26">
        <v>59119.38671875</v>
      </c>
      <c r="M26" t="b">
        <v>0</v>
      </c>
      <c r="N26">
        <v>0.79418069281129755</v>
      </c>
      <c r="O26" t="b">
        <v>1</v>
      </c>
      <c r="P26">
        <v>3</v>
      </c>
      <c r="Q26">
        <v>9</v>
      </c>
      <c r="R26">
        <v>84.282760620117188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  <c r="X26" t="s">
        <v>29</v>
      </c>
    </row>
    <row r="27" spans="1:24">
      <c r="A27" t="s">
        <v>64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>
        <v>17.695880889892578</v>
      </c>
      <c r="H27">
        <v>17.434551239013672</v>
      </c>
      <c r="I27">
        <v>0.36957457661628723</v>
      </c>
      <c r="J27">
        <v>500000</v>
      </c>
      <c r="K27" t="s">
        <v>24</v>
      </c>
      <c r="L27" t="s">
        <v>24</v>
      </c>
      <c r="M27" t="b">
        <v>0</v>
      </c>
      <c r="N27">
        <v>0.79418069281129755</v>
      </c>
      <c r="O27" t="b">
        <v>1</v>
      </c>
      <c r="P27">
        <v>3</v>
      </c>
      <c r="Q27">
        <v>9</v>
      </c>
      <c r="R27">
        <v>84.663055419921875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  <c r="X27" t="s">
        <v>29</v>
      </c>
    </row>
    <row r="28" spans="1:24">
      <c r="A28" t="s">
        <v>65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>
        <v>17.173223495483398</v>
      </c>
      <c r="H28">
        <v>17.434551239013672</v>
      </c>
      <c r="I28">
        <v>0.36957457661628723</v>
      </c>
      <c r="J28">
        <v>500000</v>
      </c>
      <c r="K28" t="s">
        <v>24</v>
      </c>
      <c r="L28" t="s">
        <v>24</v>
      </c>
      <c r="M28" t="b">
        <v>0</v>
      </c>
      <c r="N28">
        <v>0.79418069281129755</v>
      </c>
      <c r="O28" t="b">
        <v>1</v>
      </c>
      <c r="P28">
        <v>3</v>
      </c>
      <c r="Q28">
        <v>10</v>
      </c>
      <c r="R28">
        <v>84.663055419921875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  <c r="X28" t="s">
        <v>29</v>
      </c>
    </row>
    <row r="29" spans="1:24">
      <c r="A29" t="s">
        <v>66</v>
      </c>
      <c r="B29" t="s">
        <v>67</v>
      </c>
      <c r="C29" t="s">
        <v>25</v>
      </c>
      <c r="D29" t="s">
        <v>33</v>
      </c>
      <c r="E29" t="s">
        <v>27</v>
      </c>
      <c r="F29" t="s">
        <v>28</v>
      </c>
      <c r="G29">
        <v>14.724213600158691</v>
      </c>
      <c r="H29">
        <v>14.63042163848877</v>
      </c>
      <c r="I29">
        <v>0.13264186680316925</v>
      </c>
      <c r="J29">
        <v>1938581.875</v>
      </c>
      <c r="K29">
        <v>2051147.5</v>
      </c>
      <c r="L29">
        <v>159191.75</v>
      </c>
      <c r="M29" t="b">
        <v>0</v>
      </c>
      <c r="N29">
        <v>0.79418069281129755</v>
      </c>
      <c r="O29" t="b">
        <v>1</v>
      </c>
      <c r="P29">
        <v>3</v>
      </c>
      <c r="Q29">
        <v>7</v>
      </c>
      <c r="R29">
        <v>85.043350219726562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  <c r="X29" t="s">
        <v>29</v>
      </c>
    </row>
    <row r="30" spans="1:24">
      <c r="A30" t="s">
        <v>68</v>
      </c>
      <c r="B30" t="s">
        <v>67</v>
      </c>
      <c r="C30" t="s">
        <v>25</v>
      </c>
      <c r="D30" t="s">
        <v>33</v>
      </c>
      <c r="E30" t="s">
        <v>27</v>
      </c>
      <c r="F30" t="s">
        <v>28</v>
      </c>
      <c r="G30">
        <v>14.536629676818848</v>
      </c>
      <c r="H30">
        <v>14.63042163848877</v>
      </c>
      <c r="I30">
        <v>0.13264186680316925</v>
      </c>
      <c r="J30">
        <v>2163713</v>
      </c>
      <c r="K30">
        <v>2051147.5</v>
      </c>
      <c r="L30">
        <v>159191.75</v>
      </c>
      <c r="M30" t="b">
        <v>0</v>
      </c>
      <c r="N30">
        <v>0.79418069281129755</v>
      </c>
      <c r="O30" t="b">
        <v>1</v>
      </c>
      <c r="P30">
        <v>3</v>
      </c>
      <c r="Q30">
        <v>5</v>
      </c>
      <c r="R30">
        <v>85.233489990234375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  <c r="X30" t="s">
        <v>29</v>
      </c>
    </row>
    <row r="31" spans="1:24">
      <c r="A31" t="s">
        <v>69</v>
      </c>
      <c r="B31" t="s">
        <v>70</v>
      </c>
      <c r="C31" t="s">
        <v>25</v>
      </c>
      <c r="D31" t="s">
        <v>33</v>
      </c>
      <c r="E31" t="s">
        <v>27</v>
      </c>
      <c r="F31" t="s">
        <v>28</v>
      </c>
      <c r="G31">
        <v>14.720013618469238</v>
      </c>
      <c r="H31">
        <v>14.809756278991699</v>
      </c>
      <c r="I31">
        <v>0.12691529095172882</v>
      </c>
      <c r="J31">
        <v>1943356.5</v>
      </c>
      <c r="K31">
        <v>1846394.25</v>
      </c>
      <c r="L31">
        <v>137125.421875</v>
      </c>
      <c r="M31" t="b">
        <v>0</v>
      </c>
      <c r="N31">
        <v>0.79418069281129755</v>
      </c>
      <c r="O31" t="b">
        <v>1</v>
      </c>
      <c r="P31">
        <v>3</v>
      </c>
      <c r="Q31">
        <v>7</v>
      </c>
      <c r="R31">
        <v>85.043350219726562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  <c r="X31" t="s">
        <v>29</v>
      </c>
    </row>
    <row r="32" spans="1:24">
      <c r="A32" t="s">
        <v>71</v>
      </c>
      <c r="B32" t="s">
        <v>70</v>
      </c>
      <c r="C32" t="s">
        <v>25</v>
      </c>
      <c r="D32" t="s">
        <v>33</v>
      </c>
      <c r="E32" t="s">
        <v>27</v>
      </c>
      <c r="F32" t="s">
        <v>28</v>
      </c>
      <c r="G32">
        <v>14.89949893951416</v>
      </c>
      <c r="H32">
        <v>14.809756278991699</v>
      </c>
      <c r="I32">
        <v>0.12691529095172882</v>
      </c>
      <c r="J32">
        <v>1749431.875</v>
      </c>
      <c r="K32">
        <v>1846394.25</v>
      </c>
      <c r="L32">
        <v>137125.421875</v>
      </c>
      <c r="M32" t="b">
        <v>0</v>
      </c>
      <c r="N32">
        <v>0.79418069281129755</v>
      </c>
      <c r="O32" t="b">
        <v>1</v>
      </c>
      <c r="P32">
        <v>3</v>
      </c>
      <c r="Q32">
        <v>8</v>
      </c>
      <c r="R32">
        <v>84.853195190429688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  <c r="X32" t="s">
        <v>29</v>
      </c>
    </row>
    <row r="33" spans="1:24">
      <c r="A33" t="s">
        <v>72</v>
      </c>
      <c r="B33" t="s">
        <v>73</v>
      </c>
      <c r="C33" t="s">
        <v>25</v>
      </c>
      <c r="D33" t="s">
        <v>33</v>
      </c>
      <c r="E33" t="s">
        <v>27</v>
      </c>
      <c r="F33" t="s">
        <v>28</v>
      </c>
      <c r="G33">
        <v>22.925502777099609</v>
      </c>
      <c r="H33">
        <v>29.303672790527344</v>
      </c>
      <c r="I33">
        <v>9.0200948715209961</v>
      </c>
      <c r="J33">
        <v>15897.623046875</v>
      </c>
      <c r="K33">
        <v>7953.3349609375</v>
      </c>
      <c r="L33">
        <v>11234.919921875</v>
      </c>
      <c r="M33" t="b">
        <v>0</v>
      </c>
      <c r="N33">
        <v>0.79418069281129755</v>
      </c>
      <c r="O33" t="b">
        <v>1</v>
      </c>
      <c r="P33">
        <v>3</v>
      </c>
      <c r="Q33">
        <v>15</v>
      </c>
      <c r="R33">
        <v>84.282760620117188</v>
      </c>
      <c r="S33" t="s">
        <v>24</v>
      </c>
      <c r="T33" t="s">
        <v>24</v>
      </c>
      <c r="U33" t="s">
        <v>24</v>
      </c>
      <c r="V33" t="s">
        <v>114</v>
      </c>
      <c r="W33" t="s">
        <v>29</v>
      </c>
      <c r="X33" t="s">
        <v>29</v>
      </c>
    </row>
    <row r="34" spans="1:24">
      <c r="A34" t="s">
        <v>74</v>
      </c>
      <c r="B34" t="s">
        <v>73</v>
      </c>
      <c r="C34" t="s">
        <v>25</v>
      </c>
      <c r="D34" t="s">
        <v>33</v>
      </c>
      <c r="E34" t="s">
        <v>27</v>
      </c>
      <c r="F34" t="s">
        <v>28</v>
      </c>
      <c r="G34">
        <v>35.681842803955078</v>
      </c>
      <c r="H34">
        <v>29.303672790527344</v>
      </c>
      <c r="I34">
        <v>9.0200948715209961</v>
      </c>
      <c r="J34">
        <v>9.0472688674926758</v>
      </c>
      <c r="K34">
        <v>7953.3349609375</v>
      </c>
      <c r="L34">
        <v>11234.919921875</v>
      </c>
      <c r="M34" t="b">
        <v>0</v>
      </c>
      <c r="N34">
        <v>0.79418069281129755</v>
      </c>
      <c r="O34" t="b">
        <v>1</v>
      </c>
      <c r="P34">
        <v>3</v>
      </c>
      <c r="Q34">
        <v>27</v>
      </c>
      <c r="R34">
        <v>78.768470764160156</v>
      </c>
      <c r="S34" t="s">
        <v>24</v>
      </c>
      <c r="T34" t="s">
        <v>24</v>
      </c>
      <c r="U34" t="s">
        <v>24</v>
      </c>
      <c r="V34" t="s">
        <v>114</v>
      </c>
      <c r="W34" t="s">
        <v>29</v>
      </c>
      <c r="X34" t="s">
        <v>29</v>
      </c>
    </row>
    <row r="35" spans="1:24">
      <c r="A35" t="s">
        <v>75</v>
      </c>
      <c r="B35" t="s">
        <v>76</v>
      </c>
      <c r="C35" t="s">
        <v>25</v>
      </c>
      <c r="D35" t="s">
        <v>33</v>
      </c>
      <c r="E35" t="s">
        <v>27</v>
      </c>
      <c r="F35" t="s">
        <v>28</v>
      </c>
      <c r="G35">
        <v>19.802360534667969</v>
      </c>
      <c r="H35">
        <v>19.70440673828125</v>
      </c>
      <c r="I35">
        <v>0.13852894306182861</v>
      </c>
      <c r="J35">
        <v>99028.9296875</v>
      </c>
      <c r="K35">
        <v>105049.28125</v>
      </c>
      <c r="L35">
        <v>8514.0625</v>
      </c>
      <c r="M35" t="b">
        <v>0</v>
      </c>
      <c r="N35">
        <v>0.79418069281129755</v>
      </c>
      <c r="O35" t="b">
        <v>1</v>
      </c>
      <c r="P35">
        <v>3</v>
      </c>
      <c r="Q35">
        <v>11</v>
      </c>
      <c r="R35">
        <v>84.092605590820312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  <c r="X35" t="s">
        <v>29</v>
      </c>
    </row>
    <row r="36" spans="1:24">
      <c r="A36" t="s">
        <v>77</v>
      </c>
      <c r="B36" t="s">
        <v>76</v>
      </c>
      <c r="C36" t="s">
        <v>25</v>
      </c>
      <c r="D36" t="s">
        <v>33</v>
      </c>
      <c r="E36" t="s">
        <v>27</v>
      </c>
      <c r="F36" t="s">
        <v>28</v>
      </c>
      <c r="G36">
        <v>19.606451034545898</v>
      </c>
      <c r="H36">
        <v>19.70440673828125</v>
      </c>
      <c r="I36">
        <v>0.13852894306182861</v>
      </c>
      <c r="J36">
        <v>111069.6328125</v>
      </c>
      <c r="K36">
        <v>105049.28125</v>
      </c>
      <c r="L36">
        <v>8514.0625</v>
      </c>
      <c r="M36" t="b">
        <v>0</v>
      </c>
      <c r="N36">
        <v>0.79418069281129755</v>
      </c>
      <c r="O36" t="b">
        <v>1</v>
      </c>
      <c r="P36">
        <v>3</v>
      </c>
      <c r="Q36">
        <v>13</v>
      </c>
      <c r="R36">
        <v>83.9024658203125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  <c r="X36" t="s">
        <v>29</v>
      </c>
    </row>
    <row r="37" spans="1:24">
      <c r="A37" t="s">
        <v>78</v>
      </c>
      <c r="B37" t="s">
        <v>79</v>
      </c>
      <c r="C37" t="s">
        <v>25</v>
      </c>
      <c r="D37" t="s">
        <v>33</v>
      </c>
      <c r="E37" t="s">
        <v>27</v>
      </c>
      <c r="F37" t="s">
        <v>28</v>
      </c>
      <c r="G37">
        <v>38.348995208740234</v>
      </c>
      <c r="H37">
        <v>26.621501922607422</v>
      </c>
      <c r="I37">
        <v>16.585180282592773</v>
      </c>
      <c r="J37">
        <v>1.897042989730835</v>
      </c>
      <c r="K37">
        <v>877533.6875</v>
      </c>
      <c r="L37">
        <v>1241017.375</v>
      </c>
      <c r="M37" t="b">
        <v>0</v>
      </c>
      <c r="N37">
        <v>0.79418069281129755</v>
      </c>
      <c r="O37" t="b">
        <v>1</v>
      </c>
      <c r="P37">
        <v>3</v>
      </c>
      <c r="Q37">
        <v>30</v>
      </c>
      <c r="R37">
        <v>79.909355163574219</v>
      </c>
      <c r="S37" t="s">
        <v>24</v>
      </c>
      <c r="T37" t="s">
        <v>24</v>
      </c>
      <c r="U37" t="s">
        <v>24</v>
      </c>
      <c r="V37" t="s">
        <v>114</v>
      </c>
      <c r="W37" t="s">
        <v>29</v>
      </c>
      <c r="X37" t="s">
        <v>29</v>
      </c>
    </row>
    <row r="38" spans="1:24">
      <c r="A38" t="s">
        <v>80</v>
      </c>
      <c r="B38" t="s">
        <v>79</v>
      </c>
      <c r="C38" t="s">
        <v>25</v>
      </c>
      <c r="D38" t="s">
        <v>33</v>
      </c>
      <c r="E38" t="s">
        <v>27</v>
      </c>
      <c r="F38" t="s">
        <v>28</v>
      </c>
      <c r="G38">
        <v>14.894009590148926</v>
      </c>
      <c r="H38">
        <v>26.621501922607422</v>
      </c>
      <c r="I38">
        <v>16.585180282592773</v>
      </c>
      <c r="J38">
        <v>1755065.5</v>
      </c>
      <c r="K38">
        <v>877533.6875</v>
      </c>
      <c r="L38">
        <v>1241017.375</v>
      </c>
      <c r="M38" t="b">
        <v>0</v>
      </c>
      <c r="N38">
        <v>0.79418069281129755</v>
      </c>
      <c r="O38" t="b">
        <v>1</v>
      </c>
      <c r="P38">
        <v>3</v>
      </c>
      <c r="Q38">
        <v>8</v>
      </c>
      <c r="R38">
        <v>84.092605590820312</v>
      </c>
      <c r="S38" t="s">
        <v>24</v>
      </c>
      <c r="T38" t="s">
        <v>24</v>
      </c>
      <c r="U38" t="s">
        <v>24</v>
      </c>
      <c r="V38" t="s">
        <v>114</v>
      </c>
      <c r="W38" t="s">
        <v>29</v>
      </c>
      <c r="X38" t="s">
        <v>29</v>
      </c>
    </row>
    <row r="39" spans="1:24">
      <c r="A39" t="s">
        <v>81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>
        <v>21.333616256713867</v>
      </c>
      <c r="H39">
        <v>21.109943389892578</v>
      </c>
      <c r="I39">
        <v>0.31632256507873535</v>
      </c>
      <c r="J39">
        <v>50000</v>
      </c>
      <c r="K39" t="s">
        <v>24</v>
      </c>
      <c r="L39" t="s">
        <v>24</v>
      </c>
      <c r="M39" t="b">
        <v>0</v>
      </c>
      <c r="N39">
        <v>0.79418069281129755</v>
      </c>
      <c r="O39" t="b">
        <v>1</v>
      </c>
      <c r="P39">
        <v>3</v>
      </c>
      <c r="Q39">
        <v>13</v>
      </c>
      <c r="R39">
        <v>84.853195190429688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  <c r="X39" t="s">
        <v>29</v>
      </c>
    </row>
    <row r="40" spans="1:24">
      <c r="A40" t="s">
        <v>82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>
        <v>20.886268615722656</v>
      </c>
      <c r="H40">
        <v>21.109943389892578</v>
      </c>
      <c r="I40">
        <v>0.31632256507873535</v>
      </c>
      <c r="J40">
        <v>50000</v>
      </c>
      <c r="K40" t="s">
        <v>24</v>
      </c>
      <c r="L40" t="s">
        <v>24</v>
      </c>
      <c r="M40" t="b">
        <v>0</v>
      </c>
      <c r="N40">
        <v>0.79418069281129755</v>
      </c>
      <c r="O40" t="b">
        <v>1</v>
      </c>
      <c r="P40">
        <v>3</v>
      </c>
      <c r="Q40">
        <v>13</v>
      </c>
      <c r="R40">
        <v>84.663055419921875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  <c r="X40" t="s">
        <v>29</v>
      </c>
    </row>
    <row r="41" spans="1:24">
      <c r="A41" t="s">
        <v>83</v>
      </c>
      <c r="B41" t="s">
        <v>84</v>
      </c>
      <c r="C41" t="s">
        <v>25</v>
      </c>
      <c r="D41" t="s">
        <v>33</v>
      </c>
      <c r="E41" t="s">
        <v>27</v>
      </c>
      <c r="F41" t="s">
        <v>28</v>
      </c>
      <c r="G41">
        <v>16.643678665161133</v>
      </c>
      <c r="H41">
        <v>16.467742919921875</v>
      </c>
      <c r="I41">
        <v>0.24881206452846527</v>
      </c>
      <c r="J41">
        <v>629842.75</v>
      </c>
      <c r="K41">
        <v>701918.5</v>
      </c>
      <c r="L41">
        <v>101930.546875</v>
      </c>
      <c r="M41" t="b">
        <v>0</v>
      </c>
      <c r="N41">
        <v>0.79418069281129755</v>
      </c>
      <c r="O41" t="b">
        <v>1</v>
      </c>
      <c r="P41">
        <v>3</v>
      </c>
      <c r="Q41">
        <v>10</v>
      </c>
      <c r="R41">
        <v>84.853195190429688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  <c r="X41" t="s">
        <v>29</v>
      </c>
    </row>
    <row r="42" spans="1:24">
      <c r="A42" t="s">
        <v>85</v>
      </c>
      <c r="B42" t="s">
        <v>84</v>
      </c>
      <c r="C42" t="s">
        <v>25</v>
      </c>
      <c r="D42" t="s">
        <v>33</v>
      </c>
      <c r="E42" t="s">
        <v>27</v>
      </c>
      <c r="F42" t="s">
        <v>28</v>
      </c>
      <c r="G42">
        <v>16.291805267333984</v>
      </c>
      <c r="H42">
        <v>16.467742919921875</v>
      </c>
      <c r="I42">
        <v>0.24881206452846527</v>
      </c>
      <c r="J42">
        <v>773994.3125</v>
      </c>
      <c r="K42">
        <v>701918.5</v>
      </c>
      <c r="L42">
        <v>101930.546875</v>
      </c>
      <c r="M42" t="b">
        <v>0</v>
      </c>
      <c r="N42">
        <v>0.79418069281129755</v>
      </c>
      <c r="O42" t="b">
        <v>1</v>
      </c>
      <c r="P42">
        <v>3</v>
      </c>
      <c r="Q42">
        <v>8</v>
      </c>
      <c r="R42">
        <v>84.853195190429688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  <c r="X42" t="s">
        <v>29</v>
      </c>
    </row>
    <row r="43" spans="1:24">
      <c r="A43" t="s">
        <v>86</v>
      </c>
      <c r="B43" t="s">
        <v>87</v>
      </c>
      <c r="C43" t="s">
        <v>25</v>
      </c>
      <c r="D43" t="s">
        <v>33</v>
      </c>
      <c r="E43" t="s">
        <v>27</v>
      </c>
      <c r="F43" t="s">
        <v>28</v>
      </c>
      <c r="G43">
        <v>15.61598014831543</v>
      </c>
      <c r="H43">
        <v>15.171701431274414</v>
      </c>
      <c r="I43">
        <v>0.62830567359924316</v>
      </c>
      <c r="J43">
        <v>1149864.25</v>
      </c>
      <c r="K43">
        <v>1542403.5</v>
      </c>
      <c r="L43">
        <v>555134.25</v>
      </c>
      <c r="M43" t="b">
        <v>0</v>
      </c>
      <c r="N43">
        <v>0.79418069281129755</v>
      </c>
      <c r="O43" t="b">
        <v>1</v>
      </c>
      <c r="P43">
        <v>3</v>
      </c>
      <c r="Q43">
        <v>7</v>
      </c>
      <c r="R43">
        <v>85.233489990234375</v>
      </c>
      <c r="S43" t="s">
        <v>24</v>
      </c>
      <c r="T43" t="s">
        <v>24</v>
      </c>
      <c r="U43" t="s">
        <v>24</v>
      </c>
      <c r="V43" t="s">
        <v>114</v>
      </c>
      <c r="W43" t="s">
        <v>29</v>
      </c>
      <c r="X43" t="s">
        <v>29</v>
      </c>
    </row>
    <row r="44" spans="1:24">
      <c r="A44" t="s">
        <v>88</v>
      </c>
      <c r="B44" t="s">
        <v>87</v>
      </c>
      <c r="C44" t="s">
        <v>25</v>
      </c>
      <c r="D44" t="s">
        <v>33</v>
      </c>
      <c r="E44" t="s">
        <v>27</v>
      </c>
      <c r="F44" t="s">
        <v>28</v>
      </c>
      <c r="G44">
        <v>14.727421760559082</v>
      </c>
      <c r="H44">
        <v>15.171701431274414</v>
      </c>
      <c r="I44">
        <v>0.62830567359924316</v>
      </c>
      <c r="J44">
        <v>1934942.625</v>
      </c>
      <c r="K44">
        <v>1542403.5</v>
      </c>
      <c r="L44">
        <v>555134.25</v>
      </c>
      <c r="M44" t="b">
        <v>0</v>
      </c>
      <c r="N44">
        <v>0.79418069281129755</v>
      </c>
      <c r="O44" t="b">
        <v>1</v>
      </c>
      <c r="P44">
        <v>3</v>
      </c>
      <c r="Q44">
        <v>8</v>
      </c>
      <c r="R44">
        <v>85.043350219726562</v>
      </c>
      <c r="S44" t="s">
        <v>24</v>
      </c>
      <c r="T44" t="s">
        <v>24</v>
      </c>
      <c r="U44" t="s">
        <v>24</v>
      </c>
      <c r="V44" t="s">
        <v>114</v>
      </c>
      <c r="W44" t="s">
        <v>29</v>
      </c>
      <c r="X44" t="s">
        <v>29</v>
      </c>
    </row>
    <row r="45" spans="1:24">
      <c r="A45" t="s">
        <v>89</v>
      </c>
      <c r="B45" t="s">
        <v>90</v>
      </c>
      <c r="C45" t="s">
        <v>25</v>
      </c>
      <c r="D45" t="s">
        <v>33</v>
      </c>
      <c r="E45" t="s">
        <v>27</v>
      </c>
      <c r="F45" t="s">
        <v>28</v>
      </c>
      <c r="G45">
        <v>21.666046142578125</v>
      </c>
      <c r="H45">
        <v>28.389553070068359</v>
      </c>
      <c r="I45">
        <v>9.5084743499755859</v>
      </c>
      <c r="J45">
        <v>33242.87890625</v>
      </c>
      <c r="K45">
        <v>16627.751953125</v>
      </c>
      <c r="L45">
        <v>23497.337890625</v>
      </c>
      <c r="M45" t="b">
        <v>0</v>
      </c>
      <c r="N45">
        <v>0.79418069281129755</v>
      </c>
      <c r="O45" t="b">
        <v>1</v>
      </c>
      <c r="P45">
        <v>3</v>
      </c>
      <c r="Q45">
        <v>14</v>
      </c>
      <c r="R45">
        <v>84.663055419921875</v>
      </c>
      <c r="S45" t="s">
        <v>24</v>
      </c>
      <c r="T45" t="s">
        <v>24</v>
      </c>
      <c r="U45" t="s">
        <v>24</v>
      </c>
      <c r="V45" t="s">
        <v>114</v>
      </c>
      <c r="W45" t="s">
        <v>29</v>
      </c>
      <c r="X45" t="s">
        <v>29</v>
      </c>
    </row>
    <row r="46" spans="1:24">
      <c r="A46" t="s">
        <v>91</v>
      </c>
      <c r="B46" t="s">
        <v>90</v>
      </c>
      <c r="C46" t="s">
        <v>25</v>
      </c>
      <c r="D46" t="s">
        <v>33</v>
      </c>
      <c r="E46" t="s">
        <v>27</v>
      </c>
      <c r="F46" t="s">
        <v>28</v>
      </c>
      <c r="G46">
        <v>35.113059997558594</v>
      </c>
      <c r="H46">
        <v>28.389553070068359</v>
      </c>
      <c r="I46">
        <v>9.5084743499755859</v>
      </c>
      <c r="J46">
        <v>12.624032020568848</v>
      </c>
      <c r="K46">
        <v>16627.751953125</v>
      </c>
      <c r="L46">
        <v>23497.337890625</v>
      </c>
      <c r="M46" t="b">
        <v>0</v>
      </c>
      <c r="N46">
        <v>0.79418069281129755</v>
      </c>
      <c r="O46" t="b">
        <v>1</v>
      </c>
      <c r="P46">
        <v>3</v>
      </c>
      <c r="Q46">
        <v>22</v>
      </c>
      <c r="R46">
        <v>84.092605590820312</v>
      </c>
      <c r="S46" t="s">
        <v>24</v>
      </c>
      <c r="T46" t="s">
        <v>24</v>
      </c>
      <c r="U46" t="s">
        <v>24</v>
      </c>
      <c r="V46" t="s">
        <v>114</v>
      </c>
      <c r="W46" t="s">
        <v>29</v>
      </c>
      <c r="X46" t="s">
        <v>29</v>
      </c>
    </row>
    <row r="47" spans="1:24">
      <c r="A47" t="s">
        <v>92</v>
      </c>
      <c r="B47" t="s">
        <v>93</v>
      </c>
      <c r="C47" t="s">
        <v>25</v>
      </c>
      <c r="D47" t="s">
        <v>33</v>
      </c>
      <c r="E47" t="s">
        <v>27</v>
      </c>
      <c r="F47" t="s">
        <v>28</v>
      </c>
      <c r="G47">
        <v>37.739212036132812</v>
      </c>
      <c r="H47">
        <v>27.743595123291016</v>
      </c>
      <c r="I47">
        <v>14.135936737060547</v>
      </c>
      <c r="J47">
        <v>2.7113587856292725</v>
      </c>
      <c r="K47">
        <v>164932.5625</v>
      </c>
      <c r="L47">
        <v>233246.03125</v>
      </c>
      <c r="M47" t="b">
        <v>0</v>
      </c>
      <c r="N47">
        <v>0.79418069281129755</v>
      </c>
      <c r="O47" t="b">
        <v>1</v>
      </c>
      <c r="P47">
        <v>3</v>
      </c>
      <c r="Q47">
        <v>30</v>
      </c>
      <c r="R47">
        <v>80.860092163085938</v>
      </c>
      <c r="S47" t="s">
        <v>24</v>
      </c>
      <c r="T47" t="s">
        <v>24</v>
      </c>
      <c r="U47" t="s">
        <v>24</v>
      </c>
      <c r="V47" t="s">
        <v>114</v>
      </c>
      <c r="W47" t="s">
        <v>29</v>
      </c>
      <c r="X47" t="s">
        <v>29</v>
      </c>
    </row>
    <row r="48" spans="1:24">
      <c r="A48" t="s">
        <v>94</v>
      </c>
      <c r="B48" t="s">
        <v>93</v>
      </c>
      <c r="C48" t="s">
        <v>25</v>
      </c>
      <c r="D48" t="s">
        <v>33</v>
      </c>
      <c r="E48" t="s">
        <v>27</v>
      </c>
      <c r="F48" t="s">
        <v>28</v>
      </c>
      <c r="G48">
        <v>17.747978210449219</v>
      </c>
      <c r="H48">
        <v>27.743595123291016</v>
      </c>
      <c r="I48">
        <v>14.135936737060547</v>
      </c>
      <c r="J48">
        <v>329862.40625</v>
      </c>
      <c r="K48">
        <v>164932.5625</v>
      </c>
      <c r="L48">
        <v>233246.03125</v>
      </c>
      <c r="M48" t="b">
        <v>0</v>
      </c>
      <c r="N48">
        <v>0.79418069281129755</v>
      </c>
      <c r="O48" t="b">
        <v>1</v>
      </c>
      <c r="P48">
        <v>3</v>
      </c>
      <c r="Q48">
        <v>11</v>
      </c>
      <c r="R48">
        <v>83.712310791015625</v>
      </c>
      <c r="S48" t="s">
        <v>24</v>
      </c>
      <c r="T48" t="s">
        <v>24</v>
      </c>
      <c r="U48" t="s">
        <v>24</v>
      </c>
      <c r="V48" t="s">
        <v>114</v>
      </c>
      <c r="W48" t="s">
        <v>29</v>
      </c>
      <c r="X48" t="s">
        <v>29</v>
      </c>
    </row>
    <row r="49" spans="1:24">
      <c r="A49" t="s">
        <v>95</v>
      </c>
      <c r="B49" t="s">
        <v>96</v>
      </c>
      <c r="C49" t="s">
        <v>25</v>
      </c>
      <c r="D49" t="s">
        <v>33</v>
      </c>
      <c r="E49" t="s">
        <v>27</v>
      </c>
      <c r="F49" t="s">
        <v>28</v>
      </c>
      <c r="G49">
        <v>16.943021774291992</v>
      </c>
      <c r="H49">
        <v>16.773250579833984</v>
      </c>
      <c r="I49">
        <v>0.24009138345718384</v>
      </c>
      <c r="J49">
        <v>528553.0625</v>
      </c>
      <c r="K49">
        <v>586700.375</v>
      </c>
      <c r="L49">
        <v>82232.671875</v>
      </c>
      <c r="M49" t="b">
        <v>0</v>
      </c>
      <c r="N49">
        <v>0.79418069281129755</v>
      </c>
      <c r="O49" t="b">
        <v>1</v>
      </c>
      <c r="P49">
        <v>3</v>
      </c>
      <c r="Q49">
        <v>9</v>
      </c>
      <c r="R49">
        <v>84.472900390625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  <c r="X49" t="s">
        <v>29</v>
      </c>
    </row>
    <row r="50" spans="1:24">
      <c r="A50" t="s">
        <v>97</v>
      </c>
      <c r="B50" t="s">
        <v>96</v>
      </c>
      <c r="C50" t="s">
        <v>25</v>
      </c>
      <c r="D50" t="s">
        <v>33</v>
      </c>
      <c r="E50" t="s">
        <v>27</v>
      </c>
      <c r="F50" t="s">
        <v>28</v>
      </c>
      <c r="G50">
        <v>16.603481292724609</v>
      </c>
      <c r="H50">
        <v>16.773250579833984</v>
      </c>
      <c r="I50">
        <v>0.24009138345718384</v>
      </c>
      <c r="J50">
        <v>644847.625</v>
      </c>
      <c r="K50">
        <v>586700.375</v>
      </c>
      <c r="L50">
        <v>82232.671875</v>
      </c>
      <c r="M50" t="b">
        <v>0</v>
      </c>
      <c r="N50">
        <v>0.79418069281129755</v>
      </c>
      <c r="O50" t="b">
        <v>1</v>
      </c>
      <c r="P50">
        <v>3</v>
      </c>
      <c r="Q50">
        <v>9</v>
      </c>
      <c r="R50">
        <v>84.282760620117188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  <c r="X50" t="s">
        <v>29</v>
      </c>
    </row>
    <row r="51" spans="1:24">
      <c r="A51" t="s">
        <v>98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>
        <v>24.60688591003418</v>
      </c>
      <c r="H51">
        <v>24.833267211914062</v>
      </c>
      <c r="I51">
        <v>0.32015016674995422</v>
      </c>
      <c r="J51">
        <v>5000</v>
      </c>
      <c r="K51" t="s">
        <v>24</v>
      </c>
      <c r="L51" t="s">
        <v>24</v>
      </c>
      <c r="M51" t="b">
        <v>0</v>
      </c>
      <c r="N51">
        <v>0.79418069281129755</v>
      </c>
      <c r="O51" t="b">
        <v>1</v>
      </c>
      <c r="P51">
        <v>3</v>
      </c>
      <c r="Q51">
        <v>18</v>
      </c>
      <c r="R51">
        <v>84.853195190429688</v>
      </c>
      <c r="S51" t="s">
        <v>24</v>
      </c>
      <c r="T51" t="s">
        <v>24</v>
      </c>
      <c r="U51" t="s">
        <v>24</v>
      </c>
      <c r="V51" t="s">
        <v>29</v>
      </c>
      <c r="W51" t="s">
        <v>29</v>
      </c>
      <c r="X51" t="s">
        <v>29</v>
      </c>
    </row>
    <row r="52" spans="1:24">
      <c r="A52" t="s">
        <v>99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>
        <v>25.059646606445312</v>
      </c>
      <c r="H52">
        <v>24.833267211914062</v>
      </c>
      <c r="I52">
        <v>0.32015016674995422</v>
      </c>
      <c r="J52">
        <v>5000</v>
      </c>
      <c r="K52" t="s">
        <v>24</v>
      </c>
      <c r="L52" t="s">
        <v>24</v>
      </c>
      <c r="M52" t="b">
        <v>0</v>
      </c>
      <c r="N52">
        <v>0.79418069281129755</v>
      </c>
      <c r="O52" t="b">
        <v>1</v>
      </c>
      <c r="P52">
        <v>3</v>
      </c>
      <c r="Q52">
        <v>17</v>
      </c>
      <c r="R52">
        <v>84.853195190429688</v>
      </c>
      <c r="S52" t="s">
        <v>24</v>
      </c>
      <c r="T52" t="s">
        <v>24</v>
      </c>
      <c r="U52" t="s">
        <v>24</v>
      </c>
      <c r="V52" t="s">
        <v>29</v>
      </c>
      <c r="W52" t="s">
        <v>29</v>
      </c>
      <c r="X52" t="s">
        <v>29</v>
      </c>
    </row>
    <row r="53" spans="1:24">
      <c r="A53" t="s">
        <v>100</v>
      </c>
      <c r="B53" t="s">
        <v>101</v>
      </c>
      <c r="C53" t="s">
        <v>25</v>
      </c>
      <c r="D53" t="s">
        <v>33</v>
      </c>
      <c r="E53" t="s">
        <v>27</v>
      </c>
      <c r="F53" t="s">
        <v>28</v>
      </c>
      <c r="G53">
        <v>14.359246253967285</v>
      </c>
      <c r="H53">
        <v>13.973688125610352</v>
      </c>
      <c r="I53">
        <v>0.54526221752166748</v>
      </c>
      <c r="J53">
        <v>2400603.5</v>
      </c>
      <c r="K53">
        <v>3085854</v>
      </c>
      <c r="L53">
        <v>969090.75</v>
      </c>
      <c r="M53" t="b">
        <v>0</v>
      </c>
      <c r="N53">
        <v>0.79418069281129755</v>
      </c>
      <c r="O53" t="b">
        <v>1</v>
      </c>
      <c r="P53">
        <v>3</v>
      </c>
      <c r="Q53">
        <v>6</v>
      </c>
      <c r="R53">
        <v>85.043350219726562</v>
      </c>
      <c r="S53" t="s">
        <v>24</v>
      </c>
      <c r="T53" t="s">
        <v>24</v>
      </c>
      <c r="U53" t="s">
        <v>24</v>
      </c>
      <c r="V53" t="s">
        <v>114</v>
      </c>
      <c r="W53" t="s">
        <v>29</v>
      </c>
      <c r="X53" t="s">
        <v>29</v>
      </c>
    </row>
    <row r="54" spans="1:24">
      <c r="A54" t="s">
        <v>102</v>
      </c>
      <c r="B54" t="s">
        <v>101</v>
      </c>
      <c r="C54" t="s">
        <v>25</v>
      </c>
      <c r="D54" t="s">
        <v>33</v>
      </c>
      <c r="E54" t="s">
        <v>27</v>
      </c>
      <c r="F54" t="s">
        <v>28</v>
      </c>
      <c r="G54">
        <v>13.588129043579102</v>
      </c>
      <c r="H54">
        <v>13.973688125610352</v>
      </c>
      <c r="I54">
        <v>0.54526221752166748</v>
      </c>
      <c r="J54">
        <v>3771104.75</v>
      </c>
      <c r="K54">
        <v>3085854</v>
      </c>
      <c r="L54">
        <v>969090.75</v>
      </c>
      <c r="M54" t="b">
        <v>0</v>
      </c>
      <c r="N54">
        <v>0.79418069281129755</v>
      </c>
      <c r="O54" t="b">
        <v>1</v>
      </c>
      <c r="P54">
        <v>3</v>
      </c>
      <c r="Q54">
        <v>6</v>
      </c>
      <c r="R54">
        <v>85.043350219726562</v>
      </c>
      <c r="S54" t="s">
        <v>24</v>
      </c>
      <c r="T54" t="s">
        <v>24</v>
      </c>
      <c r="U54" t="s">
        <v>24</v>
      </c>
      <c r="V54" t="s">
        <v>114</v>
      </c>
      <c r="W54" t="s">
        <v>29</v>
      </c>
      <c r="X54" t="s">
        <v>29</v>
      </c>
    </row>
    <row r="55" spans="1:24">
      <c r="A55" t="s">
        <v>103</v>
      </c>
      <c r="B55" t="s">
        <v>107</v>
      </c>
      <c r="C55" t="s">
        <v>25</v>
      </c>
      <c r="D55" t="s">
        <v>33</v>
      </c>
      <c r="E55" t="s">
        <v>27</v>
      </c>
      <c r="F55" t="s">
        <v>28</v>
      </c>
      <c r="G55">
        <v>14.586469650268555</v>
      </c>
      <c r="H55">
        <v>14.648443222045898</v>
      </c>
      <c r="I55">
        <v>8.764386922121048E-2</v>
      </c>
      <c r="J55">
        <v>2101463.75</v>
      </c>
      <c r="K55">
        <v>2027887.25</v>
      </c>
      <c r="L55">
        <v>104052.8828125</v>
      </c>
      <c r="M55" t="b">
        <v>0</v>
      </c>
      <c r="N55">
        <v>0.79418069281129755</v>
      </c>
      <c r="O55" t="b">
        <v>1</v>
      </c>
      <c r="P55">
        <v>3</v>
      </c>
      <c r="Q55">
        <v>8</v>
      </c>
      <c r="R55">
        <v>85.043350219726562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  <c r="X55" t="s">
        <v>29</v>
      </c>
    </row>
    <row r="56" spans="1:24">
      <c r="A56" t="s">
        <v>105</v>
      </c>
      <c r="B56" t="s">
        <v>104</v>
      </c>
      <c r="C56" t="s">
        <v>25</v>
      </c>
      <c r="D56" t="s">
        <v>33</v>
      </c>
      <c r="E56" t="s">
        <v>27</v>
      </c>
      <c r="F56" t="s">
        <v>28</v>
      </c>
      <c r="G56">
        <v>17.610357284545898</v>
      </c>
      <c r="H56">
        <v>17.713268280029297</v>
      </c>
      <c r="I56">
        <v>0.14553947746753693</v>
      </c>
      <c r="J56">
        <v>357552.0625</v>
      </c>
      <c r="K56">
        <v>337248.625</v>
      </c>
      <c r="L56">
        <v>28713.41796875</v>
      </c>
      <c r="M56" t="b">
        <v>0</v>
      </c>
      <c r="N56">
        <v>0.79418069281129755</v>
      </c>
      <c r="O56" t="b">
        <v>1</v>
      </c>
      <c r="P56">
        <v>3</v>
      </c>
      <c r="Q56">
        <v>9</v>
      </c>
      <c r="R56">
        <v>85.233489990234375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  <c r="X56" t="s">
        <v>29</v>
      </c>
    </row>
    <row r="57" spans="1:24">
      <c r="A57" t="s">
        <v>106</v>
      </c>
      <c r="B57" t="s">
        <v>104</v>
      </c>
      <c r="C57" t="s">
        <v>25</v>
      </c>
      <c r="D57" t="s">
        <v>33</v>
      </c>
      <c r="E57" t="s">
        <v>27</v>
      </c>
      <c r="F57" t="s">
        <v>28</v>
      </c>
      <c r="G57">
        <v>17.816181182861328</v>
      </c>
      <c r="H57">
        <v>17.713268280029297</v>
      </c>
      <c r="I57">
        <v>0.14553947746753693</v>
      </c>
      <c r="J57">
        <v>316945.15625</v>
      </c>
      <c r="K57">
        <v>337248.625</v>
      </c>
      <c r="L57">
        <v>28713.41796875</v>
      </c>
      <c r="M57" t="b">
        <v>0</v>
      </c>
      <c r="N57">
        <v>0.79418069281129755</v>
      </c>
      <c r="O57" t="b">
        <v>1</v>
      </c>
      <c r="P57">
        <v>3</v>
      </c>
      <c r="Q57">
        <v>10</v>
      </c>
      <c r="R57">
        <v>85.043350219726562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  <c r="X57" t="s">
        <v>29</v>
      </c>
    </row>
    <row r="58" spans="1:24">
      <c r="A58" t="s">
        <v>108</v>
      </c>
      <c r="B58" t="s">
        <v>107</v>
      </c>
      <c r="C58" t="s">
        <v>25</v>
      </c>
      <c r="D58" t="s">
        <v>33</v>
      </c>
      <c r="E58" t="s">
        <v>27</v>
      </c>
      <c r="F58" t="s">
        <v>28</v>
      </c>
      <c r="G58">
        <v>14.710416793823242</v>
      </c>
      <c r="H58">
        <v>14.648443222045898</v>
      </c>
      <c r="I58">
        <v>8.764386922121048E-2</v>
      </c>
      <c r="J58">
        <v>1954310.75</v>
      </c>
      <c r="K58">
        <v>2027887.25</v>
      </c>
      <c r="L58">
        <v>104052.8828125</v>
      </c>
      <c r="M58" t="b">
        <v>0</v>
      </c>
      <c r="N58">
        <v>0.79418069281129755</v>
      </c>
      <c r="O58" t="b">
        <v>1</v>
      </c>
      <c r="P58">
        <v>3</v>
      </c>
      <c r="Q58">
        <v>7</v>
      </c>
      <c r="R58">
        <v>84.853195190429688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  <c r="X58" t="s">
        <v>29</v>
      </c>
    </row>
    <row r="59" spans="1:24">
      <c r="A59" t="s">
        <v>109</v>
      </c>
      <c r="B59" t="s">
        <v>110</v>
      </c>
      <c r="C59" t="s">
        <v>25</v>
      </c>
      <c r="D59" t="s">
        <v>33</v>
      </c>
      <c r="E59" t="s">
        <v>27</v>
      </c>
      <c r="F59" t="s">
        <v>28</v>
      </c>
      <c r="G59">
        <v>19.938877105712891</v>
      </c>
      <c r="H59">
        <v>20.594348907470703</v>
      </c>
      <c r="I59">
        <v>0.9269757866859436</v>
      </c>
      <c r="J59">
        <v>91419.015625</v>
      </c>
      <c r="K59">
        <v>66919.6640625</v>
      </c>
      <c r="L59">
        <v>34647.31640625</v>
      </c>
      <c r="M59" t="b">
        <v>0</v>
      </c>
      <c r="N59">
        <v>0.79418069281129755</v>
      </c>
      <c r="O59" t="b">
        <v>1</v>
      </c>
      <c r="P59">
        <v>3</v>
      </c>
      <c r="Q59">
        <v>12</v>
      </c>
      <c r="R59">
        <v>84.472900390625</v>
      </c>
      <c r="S59" t="s">
        <v>24</v>
      </c>
      <c r="T59" t="s">
        <v>24</v>
      </c>
      <c r="U59" t="s">
        <v>24</v>
      </c>
      <c r="V59" t="s">
        <v>114</v>
      </c>
      <c r="W59" t="s">
        <v>29</v>
      </c>
      <c r="X59" t="s">
        <v>29</v>
      </c>
    </row>
    <row r="60" spans="1:24">
      <c r="A60" t="s">
        <v>111</v>
      </c>
      <c r="B60" t="s">
        <v>110</v>
      </c>
      <c r="C60" t="s">
        <v>25</v>
      </c>
      <c r="D60" t="s">
        <v>33</v>
      </c>
      <c r="E60" t="s">
        <v>27</v>
      </c>
      <c r="F60" t="s">
        <v>28</v>
      </c>
      <c r="G60">
        <v>21.249818801879883</v>
      </c>
      <c r="H60">
        <v>20.594348907470703</v>
      </c>
      <c r="I60">
        <v>0.9269757866859436</v>
      </c>
      <c r="J60">
        <v>42420.3125</v>
      </c>
      <c r="K60">
        <v>66919.6640625</v>
      </c>
      <c r="L60">
        <v>34647.31640625</v>
      </c>
      <c r="M60" t="b">
        <v>0</v>
      </c>
      <c r="N60">
        <v>0.79418069281129755</v>
      </c>
      <c r="O60" t="b">
        <v>1</v>
      </c>
      <c r="P60">
        <v>3</v>
      </c>
      <c r="Q60">
        <v>12</v>
      </c>
      <c r="R60">
        <v>84.472900390625</v>
      </c>
      <c r="S60" t="s">
        <v>24</v>
      </c>
      <c r="T60" t="s">
        <v>24</v>
      </c>
      <c r="U60" t="s">
        <v>24</v>
      </c>
      <c r="V60" t="s">
        <v>114</v>
      </c>
      <c r="W60" t="s">
        <v>29</v>
      </c>
      <c r="X60" t="s">
        <v>29</v>
      </c>
    </row>
    <row r="61" spans="1:24">
      <c r="A61" t="s">
        <v>112</v>
      </c>
      <c r="B61" t="s">
        <v>113</v>
      </c>
      <c r="C61" t="s">
        <v>25</v>
      </c>
      <c r="D61" t="s">
        <v>33</v>
      </c>
      <c r="E61" t="s">
        <v>27</v>
      </c>
      <c r="F61" t="s">
        <v>28</v>
      </c>
      <c r="G61">
        <v>15.564791679382324</v>
      </c>
      <c r="H61">
        <v>15.523426055908203</v>
      </c>
      <c r="I61">
        <v>5.8500498533248901E-2</v>
      </c>
      <c r="J61">
        <v>1184860.75</v>
      </c>
      <c r="K61">
        <v>1214274.875</v>
      </c>
      <c r="L61">
        <v>41597.85546875</v>
      </c>
      <c r="M61" t="b">
        <v>0</v>
      </c>
      <c r="N61">
        <v>0.79418069281129755</v>
      </c>
      <c r="O61" t="b">
        <v>1</v>
      </c>
      <c r="P61">
        <v>3</v>
      </c>
      <c r="Q61">
        <v>8</v>
      </c>
      <c r="R61">
        <v>84.663055419921875</v>
      </c>
      <c r="S61" t="s">
        <v>24</v>
      </c>
      <c r="T61" t="s">
        <v>24</v>
      </c>
      <c r="U61" t="s">
        <v>24</v>
      </c>
      <c r="V61" t="s">
        <v>29</v>
      </c>
      <c r="W61" t="s">
        <v>29</v>
      </c>
      <c r="X61" t="s">
        <v>29</v>
      </c>
    </row>
    <row r="62" spans="1:24">
      <c r="A62" t="s">
        <v>115</v>
      </c>
      <c r="B62" t="s">
        <v>113</v>
      </c>
      <c r="C62" t="s">
        <v>25</v>
      </c>
      <c r="D62" t="s">
        <v>33</v>
      </c>
      <c r="E62" t="s">
        <v>27</v>
      </c>
      <c r="F62" t="s">
        <v>28</v>
      </c>
      <c r="G62">
        <v>15.482059478759766</v>
      </c>
      <c r="H62">
        <v>15.523426055908203</v>
      </c>
      <c r="I62">
        <v>5.8500498533248901E-2</v>
      </c>
      <c r="J62">
        <v>1243689</v>
      </c>
      <c r="K62">
        <v>1214274.875</v>
      </c>
      <c r="L62">
        <v>41597.85546875</v>
      </c>
      <c r="M62" t="b">
        <v>0</v>
      </c>
      <c r="N62">
        <v>0.79418069281129755</v>
      </c>
      <c r="O62" t="b">
        <v>1</v>
      </c>
      <c r="P62">
        <v>3</v>
      </c>
      <c r="Q62">
        <v>7</v>
      </c>
      <c r="R62">
        <v>84.472900390625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  <c r="X62" t="s">
        <v>29</v>
      </c>
    </row>
    <row r="63" spans="1:24">
      <c r="A63" t="s">
        <v>116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>
        <v>28.984823226928711</v>
      </c>
      <c r="H63">
        <v>28.7139892578125</v>
      </c>
      <c r="I63">
        <v>0.38301843404769897</v>
      </c>
      <c r="J63">
        <v>500</v>
      </c>
      <c r="K63" t="s">
        <v>24</v>
      </c>
      <c r="L63" t="s">
        <v>24</v>
      </c>
      <c r="M63" t="b">
        <v>0</v>
      </c>
      <c r="N63">
        <v>0.79418069281129755</v>
      </c>
      <c r="O63" t="b">
        <v>1</v>
      </c>
      <c r="P63">
        <v>3</v>
      </c>
      <c r="Q63">
        <v>22</v>
      </c>
      <c r="R63">
        <v>84.663055419921875</v>
      </c>
      <c r="S63" t="s">
        <v>24</v>
      </c>
      <c r="T63" t="s">
        <v>24</v>
      </c>
      <c r="U63" t="s">
        <v>24</v>
      </c>
      <c r="V63" t="s">
        <v>29</v>
      </c>
      <c r="W63" t="s">
        <v>29</v>
      </c>
      <c r="X63" t="s">
        <v>29</v>
      </c>
    </row>
    <row r="64" spans="1:24">
      <c r="A64" t="s">
        <v>117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>
        <v>28.443153381347656</v>
      </c>
      <c r="H64">
        <v>28.7139892578125</v>
      </c>
      <c r="I64">
        <v>0.38301843404769897</v>
      </c>
      <c r="J64">
        <v>500</v>
      </c>
      <c r="K64" t="s">
        <v>24</v>
      </c>
      <c r="L64" t="s">
        <v>24</v>
      </c>
      <c r="M64" t="b">
        <v>0</v>
      </c>
      <c r="N64">
        <v>0.79418069281129755</v>
      </c>
      <c r="O64" t="b">
        <v>1</v>
      </c>
      <c r="P64">
        <v>3</v>
      </c>
      <c r="Q64">
        <v>20</v>
      </c>
      <c r="R64">
        <v>84.853195190429688</v>
      </c>
      <c r="S64" t="s">
        <v>24</v>
      </c>
      <c r="T64" t="s">
        <v>24</v>
      </c>
      <c r="U64" t="s">
        <v>24</v>
      </c>
      <c r="V64" t="s">
        <v>29</v>
      </c>
      <c r="W64" t="s">
        <v>29</v>
      </c>
      <c r="X64" t="s">
        <v>29</v>
      </c>
    </row>
    <row r="65" spans="1:24">
      <c r="A65" t="s">
        <v>118</v>
      </c>
      <c r="B65" t="s">
        <v>119</v>
      </c>
      <c r="C65" t="s">
        <v>25</v>
      </c>
      <c r="D65" t="s">
        <v>33</v>
      </c>
      <c r="E65" t="s">
        <v>27</v>
      </c>
      <c r="F65" t="s">
        <v>28</v>
      </c>
      <c r="G65">
        <v>16.195695877075195</v>
      </c>
      <c r="H65">
        <v>16.256134033203125</v>
      </c>
      <c r="I65">
        <v>8.5473805665969849E-2</v>
      </c>
      <c r="J65">
        <v>818813.5</v>
      </c>
      <c r="K65">
        <v>790830.125</v>
      </c>
      <c r="L65">
        <v>39574.42578125</v>
      </c>
      <c r="M65" t="b">
        <v>0</v>
      </c>
      <c r="N65">
        <v>0.79418069281129755</v>
      </c>
      <c r="O65" t="b">
        <v>1</v>
      </c>
      <c r="P65">
        <v>3</v>
      </c>
      <c r="Q65">
        <v>9</v>
      </c>
      <c r="R65">
        <v>84.853195190429688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  <c r="X65" t="s">
        <v>29</v>
      </c>
    </row>
    <row r="66" spans="1:24">
      <c r="A66" t="s">
        <v>120</v>
      </c>
      <c r="B66" t="s">
        <v>119</v>
      </c>
      <c r="C66" t="s">
        <v>25</v>
      </c>
      <c r="D66" t="s">
        <v>33</v>
      </c>
      <c r="E66" t="s">
        <v>27</v>
      </c>
      <c r="F66" t="s">
        <v>28</v>
      </c>
      <c r="G66">
        <v>16.316574096679688</v>
      </c>
      <c r="H66">
        <v>16.256134033203125</v>
      </c>
      <c r="I66">
        <v>8.5473805665969849E-2</v>
      </c>
      <c r="J66">
        <v>762846.8125</v>
      </c>
      <c r="K66">
        <v>790830.125</v>
      </c>
      <c r="L66">
        <v>39574.42578125</v>
      </c>
      <c r="M66" t="b">
        <v>0</v>
      </c>
      <c r="N66">
        <v>0.79418069281129755</v>
      </c>
      <c r="O66" t="b">
        <v>1</v>
      </c>
      <c r="P66">
        <v>3</v>
      </c>
      <c r="Q66">
        <v>8</v>
      </c>
      <c r="R66">
        <v>84.853195190429688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  <c r="X66" t="s">
        <v>29</v>
      </c>
    </row>
    <row r="67" spans="1:24">
      <c r="A67" t="s">
        <v>121</v>
      </c>
      <c r="B67" t="s">
        <v>125</v>
      </c>
      <c r="C67" t="s">
        <v>25</v>
      </c>
      <c r="D67" t="s">
        <v>33</v>
      </c>
      <c r="E67" t="s">
        <v>27</v>
      </c>
      <c r="F67" t="s">
        <v>28</v>
      </c>
      <c r="G67">
        <v>13.611418724060059</v>
      </c>
      <c r="H67">
        <v>13.669957160949707</v>
      </c>
      <c r="I67">
        <v>8.2785852253437042E-2</v>
      </c>
      <c r="J67">
        <v>3720012.75</v>
      </c>
      <c r="K67">
        <v>3596742</v>
      </c>
      <c r="L67">
        <v>174331.171875</v>
      </c>
      <c r="M67" t="b">
        <v>0</v>
      </c>
      <c r="N67">
        <v>0.79418069281129755</v>
      </c>
      <c r="O67" t="b">
        <v>1</v>
      </c>
      <c r="P67">
        <v>3</v>
      </c>
      <c r="Q67">
        <v>6</v>
      </c>
      <c r="R67">
        <v>84.853195190429688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  <c r="X67" t="s">
        <v>29</v>
      </c>
    </row>
    <row r="68" spans="1:24">
      <c r="A68" t="s">
        <v>123</v>
      </c>
      <c r="B68" t="s">
        <v>122</v>
      </c>
      <c r="C68" t="s">
        <v>25</v>
      </c>
      <c r="D68" t="s">
        <v>33</v>
      </c>
      <c r="E68" t="s">
        <v>27</v>
      </c>
      <c r="F68" t="s">
        <v>28</v>
      </c>
      <c r="G68">
        <v>15.178203582763672</v>
      </c>
      <c r="H68">
        <v>15.167351722717285</v>
      </c>
      <c r="I68">
        <v>1.5346847474575043E-2</v>
      </c>
      <c r="J68">
        <v>1485946.75</v>
      </c>
      <c r="K68">
        <v>1495451.75</v>
      </c>
      <c r="L68">
        <v>13442.099609375</v>
      </c>
      <c r="M68" t="b">
        <v>0</v>
      </c>
      <c r="N68">
        <v>0.79418069281129755</v>
      </c>
      <c r="O68" t="b">
        <v>1</v>
      </c>
      <c r="P68">
        <v>3</v>
      </c>
      <c r="Q68">
        <v>6</v>
      </c>
      <c r="R68">
        <v>85.233489990234375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  <c r="X68" t="s">
        <v>29</v>
      </c>
    </row>
    <row r="69" spans="1:24">
      <c r="A69" t="s">
        <v>124</v>
      </c>
      <c r="B69" t="s">
        <v>122</v>
      </c>
      <c r="C69" t="s">
        <v>25</v>
      </c>
      <c r="D69" t="s">
        <v>33</v>
      </c>
      <c r="E69" t="s">
        <v>27</v>
      </c>
      <c r="F69" t="s">
        <v>28</v>
      </c>
      <c r="G69">
        <v>15.156499862670898</v>
      </c>
      <c r="H69">
        <v>15.167351722717285</v>
      </c>
      <c r="I69">
        <v>1.5346847474575043E-2</v>
      </c>
      <c r="J69">
        <v>1504956.75</v>
      </c>
      <c r="K69">
        <v>1495451.75</v>
      </c>
      <c r="L69">
        <v>13442.099609375</v>
      </c>
      <c r="M69" t="b">
        <v>0</v>
      </c>
      <c r="N69">
        <v>0.79418069281129755</v>
      </c>
      <c r="O69" t="b">
        <v>1</v>
      </c>
      <c r="P69">
        <v>3</v>
      </c>
      <c r="Q69">
        <v>8</v>
      </c>
      <c r="R69">
        <v>85.043350219726562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  <c r="X69" t="s">
        <v>29</v>
      </c>
    </row>
    <row r="70" spans="1:24">
      <c r="A70" t="s">
        <v>126</v>
      </c>
      <c r="B70" t="s">
        <v>125</v>
      </c>
      <c r="C70" t="s">
        <v>25</v>
      </c>
      <c r="D70" t="s">
        <v>33</v>
      </c>
      <c r="E70" t="s">
        <v>27</v>
      </c>
      <c r="F70" t="s">
        <v>28</v>
      </c>
      <c r="G70">
        <v>13.728495597839355</v>
      </c>
      <c r="H70">
        <v>13.669957160949707</v>
      </c>
      <c r="I70">
        <v>8.2785852253437042E-2</v>
      </c>
      <c r="J70">
        <v>3473471.25</v>
      </c>
      <c r="K70">
        <v>3596742</v>
      </c>
      <c r="L70">
        <v>174331.171875</v>
      </c>
      <c r="M70" t="b">
        <v>0</v>
      </c>
      <c r="N70">
        <v>0.79418069281129755</v>
      </c>
      <c r="O70" t="b">
        <v>1</v>
      </c>
      <c r="P70">
        <v>3</v>
      </c>
      <c r="Q70">
        <v>7</v>
      </c>
      <c r="R70">
        <v>84.853195190429688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  <c r="X70" t="s">
        <v>29</v>
      </c>
    </row>
    <row r="71" spans="1:24">
      <c r="A71" t="s">
        <v>127</v>
      </c>
      <c r="B71" t="s">
        <v>128</v>
      </c>
      <c r="C71" t="s">
        <v>25</v>
      </c>
      <c r="D71" t="s">
        <v>33</v>
      </c>
      <c r="E71" t="s">
        <v>27</v>
      </c>
      <c r="F71" t="s">
        <v>28</v>
      </c>
      <c r="G71">
        <v>18.596145629882812</v>
      </c>
      <c r="H71">
        <v>18.948799133300781</v>
      </c>
      <c r="I71">
        <v>0.49872738122940063</v>
      </c>
      <c r="J71">
        <v>200717.625</v>
      </c>
      <c r="K71">
        <v>166755.65625</v>
      </c>
      <c r="L71">
        <v>48029.4765625</v>
      </c>
      <c r="M71" t="b">
        <v>0</v>
      </c>
      <c r="N71">
        <v>0.79418069281129755</v>
      </c>
      <c r="O71" t="b">
        <v>1</v>
      </c>
      <c r="P71">
        <v>3</v>
      </c>
      <c r="Q71">
        <v>11</v>
      </c>
      <c r="R71">
        <v>84.853195190429688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  <c r="X71" t="s">
        <v>29</v>
      </c>
    </row>
    <row r="72" spans="1:24">
      <c r="A72" t="s">
        <v>129</v>
      </c>
      <c r="B72" t="s">
        <v>128</v>
      </c>
      <c r="C72" t="s">
        <v>25</v>
      </c>
      <c r="D72" t="s">
        <v>33</v>
      </c>
      <c r="E72" t="s">
        <v>27</v>
      </c>
      <c r="F72" t="s">
        <v>28</v>
      </c>
      <c r="G72">
        <v>19.30145263671875</v>
      </c>
      <c r="H72">
        <v>18.948799133300781</v>
      </c>
      <c r="I72">
        <v>0.49872738122940063</v>
      </c>
      <c r="J72">
        <v>132793.6875</v>
      </c>
      <c r="K72">
        <v>166755.65625</v>
      </c>
      <c r="L72">
        <v>48029.4765625</v>
      </c>
      <c r="M72" t="b">
        <v>0</v>
      </c>
      <c r="N72">
        <v>0.79418069281129755</v>
      </c>
      <c r="O72" t="b">
        <v>1</v>
      </c>
      <c r="P72">
        <v>3</v>
      </c>
      <c r="Q72">
        <v>11</v>
      </c>
      <c r="R72">
        <v>84.663055419921875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  <c r="X72" t="s">
        <v>29</v>
      </c>
    </row>
    <row r="73" spans="1:24">
      <c r="A73" t="s">
        <v>130</v>
      </c>
      <c r="B73" t="s">
        <v>131</v>
      </c>
      <c r="C73" t="s">
        <v>25</v>
      </c>
      <c r="D73" t="s">
        <v>33</v>
      </c>
      <c r="E73" t="s">
        <v>27</v>
      </c>
      <c r="F73" t="s">
        <v>28</v>
      </c>
      <c r="G73">
        <v>15.192327499389648</v>
      </c>
      <c r="H73">
        <v>15.170465469360352</v>
      </c>
      <c r="I73">
        <v>3.0916905030608177E-2</v>
      </c>
      <c r="J73">
        <v>1473705.125</v>
      </c>
      <c r="K73">
        <v>1492818.75</v>
      </c>
      <c r="L73">
        <v>27030.748046875</v>
      </c>
      <c r="M73" t="b">
        <v>0</v>
      </c>
      <c r="N73">
        <v>0.79418069281129755</v>
      </c>
      <c r="O73" t="b">
        <v>1</v>
      </c>
      <c r="P73">
        <v>3</v>
      </c>
      <c r="Q73">
        <v>7</v>
      </c>
      <c r="R73">
        <v>84.853195190429688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  <c r="X73" t="s">
        <v>29</v>
      </c>
    </row>
    <row r="74" spans="1:24">
      <c r="A74" t="s">
        <v>132</v>
      </c>
      <c r="B74" t="s">
        <v>131</v>
      </c>
      <c r="C74" t="s">
        <v>25</v>
      </c>
      <c r="D74" t="s">
        <v>33</v>
      </c>
      <c r="E74" t="s">
        <v>27</v>
      </c>
      <c r="F74" t="s">
        <v>28</v>
      </c>
      <c r="G74">
        <v>15.148604393005371</v>
      </c>
      <c r="H74">
        <v>15.170465469360352</v>
      </c>
      <c r="I74">
        <v>3.0916905030608177E-2</v>
      </c>
      <c r="J74">
        <v>1511932.375</v>
      </c>
      <c r="K74">
        <v>1492818.75</v>
      </c>
      <c r="L74">
        <v>27030.748046875</v>
      </c>
      <c r="M74" t="b">
        <v>0</v>
      </c>
      <c r="N74">
        <v>0.79418069281129755</v>
      </c>
      <c r="O74" t="b">
        <v>1</v>
      </c>
      <c r="P74">
        <v>3</v>
      </c>
      <c r="Q74">
        <v>7</v>
      </c>
      <c r="R74">
        <v>84.472900390625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  <c r="X74" t="s">
        <v>29</v>
      </c>
    </row>
    <row r="75" spans="1:24">
      <c r="A75" t="s">
        <v>133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b">
        <v>0</v>
      </c>
      <c r="N75">
        <v>0.79418069281129755</v>
      </c>
      <c r="O75" t="b">
        <v>1</v>
      </c>
      <c r="P75">
        <v>3</v>
      </c>
      <c r="Q75">
        <v>21</v>
      </c>
      <c r="R75" t="s">
        <v>24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  <c r="X75" t="s">
        <v>29</v>
      </c>
    </row>
    <row r="76" spans="1:24">
      <c r="A76" t="s">
        <v>134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b">
        <v>0</v>
      </c>
      <c r="N76">
        <v>0.79418069281129755</v>
      </c>
      <c r="O76" t="b">
        <v>1</v>
      </c>
      <c r="P76">
        <v>3</v>
      </c>
      <c r="Q76">
        <v>22</v>
      </c>
      <c r="R76" t="s">
        <v>24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  <c r="X76" t="s">
        <v>29</v>
      </c>
    </row>
    <row r="77" spans="1:24">
      <c r="A77" t="s">
        <v>135</v>
      </c>
      <c r="B77" t="s">
        <v>136</v>
      </c>
      <c r="C77" t="s">
        <v>25</v>
      </c>
      <c r="D77" t="s">
        <v>33</v>
      </c>
      <c r="E77" t="s">
        <v>27</v>
      </c>
      <c r="F77" t="s">
        <v>28</v>
      </c>
      <c r="G77">
        <v>13.740779876708984</v>
      </c>
      <c r="H77">
        <v>13.706401824951172</v>
      </c>
      <c r="I77">
        <v>4.8617232590913773E-2</v>
      </c>
      <c r="J77">
        <v>3448569.5</v>
      </c>
      <c r="K77">
        <v>3519424</v>
      </c>
      <c r="L77">
        <v>100203.3984375</v>
      </c>
      <c r="M77" t="b">
        <v>0</v>
      </c>
      <c r="N77">
        <v>0.79418069281129755</v>
      </c>
      <c r="O77" t="b">
        <v>1</v>
      </c>
      <c r="P77">
        <v>3</v>
      </c>
      <c r="Q77">
        <v>6</v>
      </c>
      <c r="R77">
        <v>85.043350219726562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  <c r="X77" t="s">
        <v>29</v>
      </c>
    </row>
    <row r="78" spans="1:24">
      <c r="A78" t="s">
        <v>137</v>
      </c>
      <c r="B78" t="s">
        <v>136</v>
      </c>
      <c r="C78" t="s">
        <v>25</v>
      </c>
      <c r="D78" t="s">
        <v>33</v>
      </c>
      <c r="E78" t="s">
        <v>27</v>
      </c>
      <c r="F78" t="s">
        <v>28</v>
      </c>
      <c r="G78">
        <v>13.672024726867676</v>
      </c>
      <c r="H78">
        <v>13.706401824951172</v>
      </c>
      <c r="I78">
        <v>4.8617232590913773E-2</v>
      </c>
      <c r="J78">
        <v>3590278.5</v>
      </c>
      <c r="K78">
        <v>3519424</v>
      </c>
      <c r="L78">
        <v>100203.3984375</v>
      </c>
      <c r="M78" t="b">
        <v>0</v>
      </c>
      <c r="N78">
        <v>0.79418069281129755</v>
      </c>
      <c r="O78" t="b">
        <v>1</v>
      </c>
      <c r="P78">
        <v>3</v>
      </c>
      <c r="Q78">
        <v>6</v>
      </c>
      <c r="R78">
        <v>85.043350219726562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  <c r="X78" t="s">
        <v>29</v>
      </c>
    </row>
    <row r="79" spans="1:24">
      <c r="A79" t="s">
        <v>138</v>
      </c>
      <c r="B79" t="s">
        <v>139</v>
      </c>
      <c r="C79" t="s">
        <v>25</v>
      </c>
      <c r="D79" t="s">
        <v>33</v>
      </c>
      <c r="E79" t="s">
        <v>27</v>
      </c>
      <c r="F79" t="s">
        <v>28</v>
      </c>
      <c r="G79">
        <v>16.352640151977539</v>
      </c>
      <c r="H79">
        <v>16.251047134399414</v>
      </c>
      <c r="I79">
        <v>0.14367422461509705</v>
      </c>
      <c r="J79">
        <v>746901.375</v>
      </c>
      <c r="K79">
        <v>794097.375</v>
      </c>
      <c r="L79">
        <v>66745.1796875</v>
      </c>
      <c r="M79" t="b">
        <v>0</v>
      </c>
      <c r="N79">
        <v>0.79418069281129755</v>
      </c>
      <c r="O79" t="b">
        <v>1</v>
      </c>
      <c r="P79">
        <v>3</v>
      </c>
      <c r="Q79">
        <v>9</v>
      </c>
      <c r="R79">
        <v>84.663055419921875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  <c r="X79" t="s">
        <v>29</v>
      </c>
    </row>
    <row r="80" spans="1:24">
      <c r="A80" t="s">
        <v>140</v>
      </c>
      <c r="B80" t="s">
        <v>139</v>
      </c>
      <c r="C80" t="s">
        <v>25</v>
      </c>
      <c r="D80" t="s">
        <v>33</v>
      </c>
      <c r="E80" t="s">
        <v>27</v>
      </c>
      <c r="F80" t="s">
        <v>28</v>
      </c>
      <c r="G80">
        <v>16.149454116821289</v>
      </c>
      <c r="H80">
        <v>16.251047134399414</v>
      </c>
      <c r="I80">
        <v>0.14367422461509705</v>
      </c>
      <c r="J80">
        <v>841293.3125</v>
      </c>
      <c r="K80">
        <v>794097.375</v>
      </c>
      <c r="L80">
        <v>66745.1796875</v>
      </c>
      <c r="M80" t="b">
        <v>0</v>
      </c>
      <c r="N80">
        <v>0.79418069281129755</v>
      </c>
      <c r="O80" t="b">
        <v>1</v>
      </c>
      <c r="P80">
        <v>3</v>
      </c>
      <c r="Q80">
        <v>9</v>
      </c>
      <c r="R80">
        <v>84.663055419921875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  <c r="X80" t="s">
        <v>29</v>
      </c>
    </row>
    <row r="81" spans="1:24">
      <c r="A81" t="s">
        <v>141</v>
      </c>
      <c r="B81" t="s">
        <v>142</v>
      </c>
      <c r="C81" t="s">
        <v>25</v>
      </c>
      <c r="D81" t="s">
        <v>33</v>
      </c>
      <c r="E81" t="s">
        <v>27</v>
      </c>
      <c r="F81" t="s">
        <v>28</v>
      </c>
      <c r="G81" t="s">
        <v>179</v>
      </c>
      <c r="H81">
        <v>14.361536026000977</v>
      </c>
      <c r="I81" t="s">
        <v>24</v>
      </c>
      <c r="J81" t="s">
        <v>24</v>
      </c>
      <c r="K81" t="s">
        <v>24</v>
      </c>
      <c r="L81" t="s">
        <v>24</v>
      </c>
      <c r="M81" t="b">
        <v>0</v>
      </c>
      <c r="N81">
        <v>0.79418069281129755</v>
      </c>
      <c r="O81" t="b">
        <v>1</v>
      </c>
      <c r="P81">
        <v>3</v>
      </c>
      <c r="Q81">
        <v>49</v>
      </c>
      <c r="R81">
        <v>56.901477813720703</v>
      </c>
      <c r="S81">
        <v>71.923149108886719</v>
      </c>
      <c r="T81" t="s">
        <v>24</v>
      </c>
      <c r="U81" t="s">
        <v>24</v>
      </c>
      <c r="V81" t="s">
        <v>29</v>
      </c>
      <c r="W81" t="s">
        <v>114</v>
      </c>
      <c r="X81" t="s">
        <v>114</v>
      </c>
    </row>
    <row r="82" spans="1:24">
      <c r="A82" t="s">
        <v>143</v>
      </c>
      <c r="B82" t="s">
        <v>142</v>
      </c>
      <c r="C82" t="s">
        <v>25</v>
      </c>
      <c r="D82" t="s">
        <v>33</v>
      </c>
      <c r="E82" t="s">
        <v>27</v>
      </c>
      <c r="F82" t="s">
        <v>28</v>
      </c>
      <c r="G82">
        <v>14.361536026000977</v>
      </c>
      <c r="H82">
        <v>14.361536026000977</v>
      </c>
      <c r="I82" t="s">
        <v>24</v>
      </c>
      <c r="J82">
        <v>2397386.25</v>
      </c>
      <c r="K82">
        <v>2397386.25</v>
      </c>
      <c r="L82" t="s">
        <v>24</v>
      </c>
      <c r="M82" t="b">
        <v>0</v>
      </c>
      <c r="N82">
        <v>0.79418069281129755</v>
      </c>
      <c r="O82" t="b">
        <v>1</v>
      </c>
      <c r="P82">
        <v>3</v>
      </c>
      <c r="Q82">
        <v>6</v>
      </c>
      <c r="R82">
        <v>84.663055419921875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  <c r="X82" t="s">
        <v>29</v>
      </c>
    </row>
    <row r="83" spans="1:24">
      <c r="A83" t="s">
        <v>144</v>
      </c>
      <c r="B83" t="s">
        <v>145</v>
      </c>
      <c r="C83" t="s">
        <v>25</v>
      </c>
      <c r="D83" t="s">
        <v>33</v>
      </c>
      <c r="E83" t="s">
        <v>27</v>
      </c>
      <c r="F83" t="s">
        <v>28</v>
      </c>
      <c r="G83">
        <v>14.113364219665527</v>
      </c>
      <c r="H83">
        <v>14.06635856628418</v>
      </c>
      <c r="I83">
        <v>6.6475361585617065E-2</v>
      </c>
      <c r="J83">
        <v>2772459.25</v>
      </c>
      <c r="K83">
        <v>2850929</v>
      </c>
      <c r="L83">
        <v>110972.8046875</v>
      </c>
      <c r="M83" t="b">
        <v>0</v>
      </c>
      <c r="N83">
        <v>0.79418069281129755</v>
      </c>
      <c r="O83" t="b">
        <v>1</v>
      </c>
      <c r="P83">
        <v>3</v>
      </c>
      <c r="Q83">
        <v>7</v>
      </c>
      <c r="R83">
        <v>84.853195190429688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  <c r="X83" t="s">
        <v>29</v>
      </c>
    </row>
    <row r="84" spans="1:24">
      <c r="A84" t="s">
        <v>146</v>
      </c>
      <c r="B84" t="s">
        <v>145</v>
      </c>
      <c r="C84" t="s">
        <v>25</v>
      </c>
      <c r="D84" t="s">
        <v>33</v>
      </c>
      <c r="E84" t="s">
        <v>27</v>
      </c>
      <c r="F84" t="s">
        <v>28</v>
      </c>
      <c r="G84">
        <v>14.019353866577148</v>
      </c>
      <c r="H84">
        <v>14.06635856628418</v>
      </c>
      <c r="I84">
        <v>6.6475361585617065E-2</v>
      </c>
      <c r="J84">
        <v>2929398.5</v>
      </c>
      <c r="K84">
        <v>2850929</v>
      </c>
      <c r="L84">
        <v>110972.8046875</v>
      </c>
      <c r="M84" t="b">
        <v>0</v>
      </c>
      <c r="N84">
        <v>0.79418069281129755</v>
      </c>
      <c r="O84" t="b">
        <v>1</v>
      </c>
      <c r="P84">
        <v>3</v>
      </c>
      <c r="Q84">
        <v>7</v>
      </c>
      <c r="R84">
        <v>84.853195190429688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  <c r="X84" t="s">
        <v>29</v>
      </c>
    </row>
    <row r="85" spans="1:24">
      <c r="A85" t="s">
        <v>147</v>
      </c>
      <c r="B85" t="s">
        <v>148</v>
      </c>
      <c r="C85" t="s">
        <v>25</v>
      </c>
      <c r="D85" t="s">
        <v>33</v>
      </c>
      <c r="E85" t="s">
        <v>27</v>
      </c>
      <c r="F85" t="s">
        <v>28</v>
      </c>
      <c r="G85">
        <v>27.634614944458008</v>
      </c>
      <c r="H85">
        <v>28.010097503662109</v>
      </c>
      <c r="I85">
        <v>0.53101253509521484</v>
      </c>
      <c r="J85">
        <v>1008.047607421875</v>
      </c>
      <c r="K85">
        <v>828.6839599609375</v>
      </c>
      <c r="L85">
        <v>253.65853881835938</v>
      </c>
      <c r="M85" t="b">
        <v>0</v>
      </c>
      <c r="N85">
        <v>0.79418069281129755</v>
      </c>
      <c r="O85" t="b">
        <v>1</v>
      </c>
      <c r="P85">
        <v>3</v>
      </c>
      <c r="Q85">
        <v>19</v>
      </c>
      <c r="R85">
        <v>84.282760620117188</v>
      </c>
      <c r="S85" t="s">
        <v>24</v>
      </c>
      <c r="T85" t="s">
        <v>24</v>
      </c>
      <c r="U85" t="s">
        <v>24</v>
      </c>
      <c r="V85" t="s">
        <v>114</v>
      </c>
      <c r="W85" t="s">
        <v>29</v>
      </c>
      <c r="X85" t="s">
        <v>29</v>
      </c>
    </row>
    <row r="86" spans="1:24">
      <c r="A86" t="s">
        <v>149</v>
      </c>
      <c r="B86" t="s">
        <v>148</v>
      </c>
      <c r="C86" t="s">
        <v>25</v>
      </c>
      <c r="D86" t="s">
        <v>33</v>
      </c>
      <c r="E86" t="s">
        <v>27</v>
      </c>
      <c r="F86" t="s">
        <v>28</v>
      </c>
      <c r="G86">
        <v>28.385580062866211</v>
      </c>
      <c r="H86">
        <v>28.010097503662109</v>
      </c>
      <c r="I86">
        <v>0.53101253509521484</v>
      </c>
      <c r="J86">
        <v>649.32025146484375</v>
      </c>
      <c r="K86">
        <v>828.6839599609375</v>
      </c>
      <c r="L86">
        <v>253.65853881835938</v>
      </c>
      <c r="M86" t="b">
        <v>0</v>
      </c>
      <c r="N86">
        <v>0.79418069281129755</v>
      </c>
      <c r="O86" t="b">
        <v>1</v>
      </c>
      <c r="P86">
        <v>3</v>
      </c>
      <c r="Q86">
        <v>21</v>
      </c>
      <c r="R86">
        <v>84.282760620117188</v>
      </c>
      <c r="S86" t="s">
        <v>24</v>
      </c>
      <c r="T86" t="s">
        <v>24</v>
      </c>
      <c r="U86" t="s">
        <v>24</v>
      </c>
      <c r="V86" t="s">
        <v>114</v>
      </c>
      <c r="W86" t="s">
        <v>29</v>
      </c>
      <c r="X86" t="s">
        <v>29</v>
      </c>
    </row>
    <row r="87" spans="1:24">
      <c r="A87" t="s">
        <v>150</v>
      </c>
      <c r="B87" t="s">
        <v>24</v>
      </c>
      <c r="C87" t="s">
        <v>25</v>
      </c>
      <c r="D87" t="s">
        <v>151</v>
      </c>
      <c r="E87" t="s">
        <v>27</v>
      </c>
      <c r="F87" t="s">
        <v>28</v>
      </c>
      <c r="G87">
        <v>35.882579803466797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b">
        <v>0</v>
      </c>
      <c r="N87">
        <v>0.79418069281129755</v>
      </c>
      <c r="O87" t="b">
        <v>1</v>
      </c>
      <c r="P87">
        <v>3</v>
      </c>
      <c r="Q87">
        <v>28</v>
      </c>
      <c r="R87">
        <v>77.627586364746094</v>
      </c>
      <c r="S87" t="s">
        <v>24</v>
      </c>
      <c r="T87" t="s">
        <v>24</v>
      </c>
      <c r="U87" t="s">
        <v>24</v>
      </c>
      <c r="V87" t="s">
        <v>29</v>
      </c>
      <c r="W87" t="s">
        <v>29</v>
      </c>
      <c r="X87" t="s">
        <v>29</v>
      </c>
    </row>
    <row r="88" spans="1:24">
      <c r="A88" t="s">
        <v>152</v>
      </c>
      <c r="B88" t="s">
        <v>24</v>
      </c>
      <c r="C88" t="s">
        <v>25</v>
      </c>
      <c r="D88" t="s">
        <v>151</v>
      </c>
      <c r="E88" t="s">
        <v>27</v>
      </c>
      <c r="F88" t="s">
        <v>28</v>
      </c>
      <c r="G88">
        <v>35.637752532958984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b">
        <v>0</v>
      </c>
      <c r="N88">
        <v>0.79418069281129755</v>
      </c>
      <c r="O88" t="b">
        <v>1</v>
      </c>
      <c r="P88">
        <v>3</v>
      </c>
      <c r="Q88">
        <v>28</v>
      </c>
      <c r="R88">
        <v>78.198028564453125</v>
      </c>
      <c r="S88" t="s">
        <v>24</v>
      </c>
      <c r="T88" t="s">
        <v>24</v>
      </c>
      <c r="U88" t="s">
        <v>24</v>
      </c>
      <c r="V88" t="s">
        <v>29</v>
      </c>
      <c r="W88" t="s">
        <v>29</v>
      </c>
      <c r="X88" t="s">
        <v>29</v>
      </c>
    </row>
    <row r="89" spans="1:24">
      <c r="A89" t="s">
        <v>153</v>
      </c>
      <c r="B89" t="s">
        <v>154</v>
      </c>
      <c r="C89" t="s">
        <v>25</v>
      </c>
      <c r="D89" t="s">
        <v>33</v>
      </c>
      <c r="E89" t="s">
        <v>27</v>
      </c>
      <c r="F89" t="s">
        <v>28</v>
      </c>
      <c r="G89">
        <v>15.705241203308105</v>
      </c>
      <c r="H89">
        <v>15.695363998413086</v>
      </c>
      <c r="I89">
        <v>1.3969151303172112E-2</v>
      </c>
      <c r="J89">
        <v>1091292.875</v>
      </c>
      <c r="K89">
        <v>1097643.125</v>
      </c>
      <c r="L89">
        <v>8980.609375</v>
      </c>
      <c r="M89" t="b">
        <v>0</v>
      </c>
      <c r="N89">
        <v>0.79418069281129755</v>
      </c>
      <c r="O89" t="b">
        <v>1</v>
      </c>
      <c r="P89">
        <v>3</v>
      </c>
      <c r="Q89">
        <v>9</v>
      </c>
      <c r="R89">
        <v>84.663055419921875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  <c r="X89" t="s">
        <v>29</v>
      </c>
    </row>
    <row r="90" spans="1:24">
      <c r="A90" t="s">
        <v>155</v>
      </c>
      <c r="B90" t="s">
        <v>154</v>
      </c>
      <c r="C90" t="s">
        <v>25</v>
      </c>
      <c r="D90" t="s">
        <v>33</v>
      </c>
      <c r="E90" t="s">
        <v>27</v>
      </c>
      <c r="F90" t="s">
        <v>28</v>
      </c>
      <c r="G90">
        <v>15.68548583984375</v>
      </c>
      <c r="H90">
        <v>15.695363998413086</v>
      </c>
      <c r="I90">
        <v>1.3969151303172112E-2</v>
      </c>
      <c r="J90">
        <v>1103993.375</v>
      </c>
      <c r="K90">
        <v>1097643.125</v>
      </c>
      <c r="L90">
        <v>8980.609375</v>
      </c>
      <c r="M90" t="b">
        <v>0</v>
      </c>
      <c r="N90">
        <v>0.79418069281129755</v>
      </c>
      <c r="O90" t="b">
        <v>1</v>
      </c>
      <c r="P90">
        <v>3</v>
      </c>
      <c r="Q90">
        <v>7</v>
      </c>
      <c r="R90">
        <v>84.853195190429688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  <c r="X90" t="s">
        <v>29</v>
      </c>
    </row>
    <row r="91" spans="1:24">
      <c r="A91" t="s">
        <v>156</v>
      </c>
      <c r="B91" t="s">
        <v>157</v>
      </c>
      <c r="C91" t="s">
        <v>25</v>
      </c>
      <c r="D91" t="s">
        <v>33</v>
      </c>
      <c r="E91" t="s">
        <v>27</v>
      </c>
      <c r="F91" t="s">
        <v>28</v>
      </c>
      <c r="G91">
        <v>17.444538116455078</v>
      </c>
      <c r="H91">
        <v>17.194927215576172</v>
      </c>
      <c r="I91">
        <v>0.35300177335739136</v>
      </c>
      <c r="J91">
        <v>394020.21875</v>
      </c>
      <c r="K91">
        <v>460931.4375</v>
      </c>
      <c r="L91">
        <v>94626.734375</v>
      </c>
      <c r="M91" t="b">
        <v>0</v>
      </c>
      <c r="N91">
        <v>0.79418069281129755</v>
      </c>
      <c r="O91" t="b">
        <v>1</v>
      </c>
      <c r="P91">
        <v>3</v>
      </c>
      <c r="Q91">
        <v>10</v>
      </c>
      <c r="R91">
        <v>84.853195190429688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  <c r="X91" t="s">
        <v>29</v>
      </c>
    </row>
    <row r="92" spans="1:24">
      <c r="A92" t="s">
        <v>158</v>
      </c>
      <c r="B92" t="s">
        <v>157</v>
      </c>
      <c r="C92" t="s">
        <v>25</v>
      </c>
      <c r="D92" t="s">
        <v>33</v>
      </c>
      <c r="E92" t="s">
        <v>27</v>
      </c>
      <c r="F92" t="s">
        <v>28</v>
      </c>
      <c r="G92">
        <v>16.945318222045898</v>
      </c>
      <c r="H92">
        <v>17.194927215576172</v>
      </c>
      <c r="I92">
        <v>0.35300177335739136</v>
      </c>
      <c r="J92">
        <v>527842.625</v>
      </c>
      <c r="K92">
        <v>460931.4375</v>
      </c>
      <c r="L92">
        <v>94626.734375</v>
      </c>
      <c r="M92" t="b">
        <v>0</v>
      </c>
      <c r="N92">
        <v>0.79418069281129755</v>
      </c>
      <c r="O92" t="b">
        <v>1</v>
      </c>
      <c r="P92">
        <v>3</v>
      </c>
      <c r="Q92">
        <v>9</v>
      </c>
      <c r="R92">
        <v>85.043350219726562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  <c r="X92" t="s">
        <v>29</v>
      </c>
    </row>
    <row r="93" spans="1:24">
      <c r="A93" t="s">
        <v>159</v>
      </c>
      <c r="B93" t="s">
        <v>160</v>
      </c>
      <c r="C93" t="s">
        <v>25</v>
      </c>
      <c r="D93" t="s">
        <v>33</v>
      </c>
      <c r="E93" t="s">
        <v>27</v>
      </c>
      <c r="F93" t="s">
        <v>28</v>
      </c>
      <c r="G93">
        <v>15.333983421325684</v>
      </c>
      <c r="H93">
        <v>15.315450668334961</v>
      </c>
      <c r="I93">
        <v>2.6208596304059029E-2</v>
      </c>
      <c r="J93">
        <v>1356368.625</v>
      </c>
      <c r="K93">
        <v>1371252.25</v>
      </c>
      <c r="L93">
        <v>21048.625</v>
      </c>
      <c r="M93" t="b">
        <v>0</v>
      </c>
      <c r="N93">
        <v>0.79418069281129755</v>
      </c>
      <c r="O93" t="b">
        <v>1</v>
      </c>
      <c r="P93">
        <v>3</v>
      </c>
      <c r="Q93">
        <v>7</v>
      </c>
      <c r="R93">
        <v>84.663055419921875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  <c r="X93" t="s">
        <v>29</v>
      </c>
    </row>
    <row r="94" spans="1:24">
      <c r="A94" t="s">
        <v>161</v>
      </c>
      <c r="B94" t="s">
        <v>160</v>
      </c>
      <c r="C94" t="s">
        <v>25</v>
      </c>
      <c r="D94" t="s">
        <v>33</v>
      </c>
      <c r="E94" t="s">
        <v>27</v>
      </c>
      <c r="F94" t="s">
        <v>28</v>
      </c>
      <c r="G94">
        <v>15.296918869018555</v>
      </c>
      <c r="H94">
        <v>15.315450668334961</v>
      </c>
      <c r="I94">
        <v>2.6208596304059029E-2</v>
      </c>
      <c r="J94">
        <v>1386135.875</v>
      </c>
      <c r="K94">
        <v>1371252.25</v>
      </c>
      <c r="L94">
        <v>21048.625</v>
      </c>
      <c r="M94" t="b">
        <v>0</v>
      </c>
      <c r="N94">
        <v>0.79418069281129755</v>
      </c>
      <c r="O94" t="b">
        <v>1</v>
      </c>
      <c r="P94">
        <v>3</v>
      </c>
      <c r="Q94">
        <v>8</v>
      </c>
      <c r="R94">
        <v>84.663055419921875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  <c r="X94" t="s">
        <v>29</v>
      </c>
    </row>
    <row r="95" spans="1:24">
      <c r="A95" t="s">
        <v>162</v>
      </c>
      <c r="B95" t="s">
        <v>163</v>
      </c>
      <c r="C95" t="s">
        <v>25</v>
      </c>
      <c r="D95" t="s">
        <v>33</v>
      </c>
      <c r="E95" t="s">
        <v>27</v>
      </c>
      <c r="F95" t="s">
        <v>28</v>
      </c>
      <c r="G95">
        <v>14.195465087890625</v>
      </c>
      <c r="H95">
        <v>14.179788589477539</v>
      </c>
      <c r="I95">
        <v>2.2169915959239006E-2</v>
      </c>
      <c r="J95">
        <v>2642294.75</v>
      </c>
      <c r="K95">
        <v>2666780</v>
      </c>
      <c r="L95">
        <v>34627.1953125</v>
      </c>
      <c r="M95" t="b">
        <v>0</v>
      </c>
      <c r="N95">
        <v>0.79418069281129755</v>
      </c>
      <c r="O95" t="b">
        <v>1</v>
      </c>
      <c r="P95">
        <v>3</v>
      </c>
      <c r="Q95">
        <v>6</v>
      </c>
      <c r="R95">
        <v>84.853195190429688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  <c r="X95" t="s">
        <v>29</v>
      </c>
    </row>
    <row r="96" spans="1:24">
      <c r="A96" t="s">
        <v>164</v>
      </c>
      <c r="B96" t="s">
        <v>163</v>
      </c>
      <c r="C96" t="s">
        <v>25</v>
      </c>
      <c r="D96" t="s">
        <v>33</v>
      </c>
      <c r="E96" t="s">
        <v>27</v>
      </c>
      <c r="F96" t="s">
        <v>28</v>
      </c>
      <c r="G96">
        <v>14.164112091064453</v>
      </c>
      <c r="H96">
        <v>14.179788589477539</v>
      </c>
      <c r="I96">
        <v>2.2169915959239006E-2</v>
      </c>
      <c r="J96">
        <v>2691265</v>
      </c>
      <c r="K96">
        <v>2666780</v>
      </c>
      <c r="L96">
        <v>34627.1953125</v>
      </c>
      <c r="M96" t="b">
        <v>0</v>
      </c>
      <c r="N96">
        <v>0.79418069281129755</v>
      </c>
      <c r="O96" t="b">
        <v>1</v>
      </c>
      <c r="P96">
        <v>3</v>
      </c>
      <c r="Q96">
        <v>6</v>
      </c>
      <c r="R96">
        <v>84.663055419921875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  <c r="X96" t="s">
        <v>29</v>
      </c>
    </row>
    <row r="97" spans="1:24">
      <c r="A97" t="s">
        <v>165</v>
      </c>
      <c r="B97" t="s">
        <v>166</v>
      </c>
      <c r="C97" t="s">
        <v>25</v>
      </c>
      <c r="D97" t="s">
        <v>33</v>
      </c>
      <c r="E97" t="s">
        <v>27</v>
      </c>
      <c r="F97" t="s">
        <v>28</v>
      </c>
      <c r="G97">
        <v>18.004142761230469</v>
      </c>
      <c r="H97">
        <v>18.658607482910156</v>
      </c>
      <c r="I97">
        <v>0.92555153369903564</v>
      </c>
      <c r="J97">
        <v>283904.6875</v>
      </c>
      <c r="K97">
        <v>207898.921875</v>
      </c>
      <c r="L97">
        <v>107488.3828125</v>
      </c>
      <c r="M97" t="b">
        <v>0</v>
      </c>
      <c r="N97">
        <v>0.79418069281129755</v>
      </c>
      <c r="O97" t="b">
        <v>1</v>
      </c>
      <c r="P97">
        <v>3</v>
      </c>
      <c r="Q97">
        <v>10</v>
      </c>
      <c r="R97">
        <v>84.472900390625</v>
      </c>
      <c r="S97" t="s">
        <v>24</v>
      </c>
      <c r="T97" t="s">
        <v>24</v>
      </c>
      <c r="U97" t="s">
        <v>24</v>
      </c>
      <c r="V97" t="s">
        <v>114</v>
      </c>
      <c r="W97" t="s">
        <v>29</v>
      </c>
      <c r="X97" t="s">
        <v>29</v>
      </c>
    </row>
    <row r="98" spans="1:24">
      <c r="A98" t="s">
        <v>167</v>
      </c>
      <c r="B98" t="s">
        <v>166</v>
      </c>
      <c r="C98" t="s">
        <v>25</v>
      </c>
      <c r="D98" t="s">
        <v>33</v>
      </c>
      <c r="E98" t="s">
        <v>27</v>
      </c>
      <c r="F98" t="s">
        <v>28</v>
      </c>
      <c r="G98">
        <v>19.313070297241211</v>
      </c>
      <c r="H98">
        <v>18.658607482910156</v>
      </c>
      <c r="I98">
        <v>0.92555153369903564</v>
      </c>
      <c r="J98">
        <v>131893.15625</v>
      </c>
      <c r="K98">
        <v>207898.921875</v>
      </c>
      <c r="L98">
        <v>107488.3828125</v>
      </c>
      <c r="M98" t="b">
        <v>0</v>
      </c>
      <c r="N98">
        <v>0.79418069281129755</v>
      </c>
      <c r="O98" t="b">
        <v>1</v>
      </c>
      <c r="P98">
        <v>3</v>
      </c>
      <c r="Q98">
        <v>11</v>
      </c>
      <c r="R98">
        <v>84.472900390625</v>
      </c>
      <c r="S98" t="s">
        <v>24</v>
      </c>
      <c r="T98" t="s">
        <v>24</v>
      </c>
      <c r="U98" t="s">
        <v>24</v>
      </c>
      <c r="V98" t="s">
        <v>114</v>
      </c>
      <c r="W98" t="s">
        <v>29</v>
      </c>
      <c r="X98" t="s">
        <v>29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8"/>
  <sheetViews>
    <sheetView workbookViewId="0">
      <selection activeCell="M21" sqref="M21"/>
    </sheetView>
  </sheetViews>
  <sheetFormatPr baseColWidth="10" defaultRowHeight="15"/>
  <sheetData>
    <row r="1" spans="1:25">
      <c r="A1" t="s">
        <v>222</v>
      </c>
      <c r="B1" t="s">
        <v>225</v>
      </c>
    </row>
    <row r="2" spans="1: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169</v>
      </c>
      <c r="X2" t="s">
        <v>182</v>
      </c>
      <c r="Y2" t="s">
        <v>183</v>
      </c>
    </row>
    <row r="3" spans="1: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9.1533603668212891</v>
      </c>
      <c r="H3">
        <v>9.0282325744628906</v>
      </c>
      <c r="I3">
        <v>0.17695809900760651</v>
      </c>
      <c r="J3">
        <v>50000000</v>
      </c>
      <c r="K3" t="s">
        <v>24</v>
      </c>
      <c r="L3" t="s">
        <v>24</v>
      </c>
      <c r="M3" t="b">
        <v>1</v>
      </c>
      <c r="N3">
        <v>1.1674169177275437</v>
      </c>
      <c r="O3" t="b">
        <v>1</v>
      </c>
      <c r="P3">
        <v>1</v>
      </c>
      <c r="Q3">
        <v>2</v>
      </c>
      <c r="R3">
        <v>84.296096801757812</v>
      </c>
      <c r="S3" t="s">
        <v>24</v>
      </c>
      <c r="T3" t="s">
        <v>24</v>
      </c>
      <c r="U3" t="s">
        <v>24</v>
      </c>
      <c r="V3" t="s">
        <v>29</v>
      </c>
      <c r="W3" t="s">
        <v>29</v>
      </c>
      <c r="X3" t="s">
        <v>29</v>
      </c>
      <c r="Y3" t="s">
        <v>29</v>
      </c>
    </row>
    <row r="4" spans="1:25">
      <c r="A4" t="s">
        <v>30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8.9031038284301758</v>
      </c>
      <c r="H4">
        <v>9.0282325744628906</v>
      </c>
      <c r="I4">
        <v>0.17695809900760651</v>
      </c>
      <c r="J4">
        <v>50000000</v>
      </c>
      <c r="K4" t="s">
        <v>24</v>
      </c>
      <c r="L4" t="s">
        <v>24</v>
      </c>
      <c r="M4" t="b">
        <v>1</v>
      </c>
      <c r="N4">
        <v>1.1674169177275437</v>
      </c>
      <c r="O4" t="b">
        <v>1</v>
      </c>
      <c r="P4">
        <v>1</v>
      </c>
      <c r="Q4">
        <v>3</v>
      </c>
      <c r="R4">
        <v>84.480484008789062</v>
      </c>
      <c r="S4" t="s">
        <v>24</v>
      </c>
      <c r="T4" t="s">
        <v>24</v>
      </c>
      <c r="U4" t="s">
        <v>24</v>
      </c>
      <c r="V4" t="s">
        <v>29</v>
      </c>
      <c r="W4" t="s">
        <v>29</v>
      </c>
      <c r="X4" t="s">
        <v>29</v>
      </c>
      <c r="Y4" t="s">
        <v>29</v>
      </c>
    </row>
    <row r="5" spans="1:25">
      <c r="A5" t="s">
        <v>31</v>
      </c>
      <c r="B5" t="s">
        <v>32</v>
      </c>
      <c r="C5" t="s">
        <v>25</v>
      </c>
      <c r="D5" t="s">
        <v>33</v>
      </c>
      <c r="E5" t="s">
        <v>27</v>
      </c>
      <c r="F5" t="s">
        <v>28</v>
      </c>
      <c r="G5">
        <v>17.740283966064453</v>
      </c>
      <c r="H5">
        <v>17.573116302490234</v>
      </c>
      <c r="I5">
        <v>0.23641212284564972</v>
      </c>
      <c r="J5">
        <v>355436.28125</v>
      </c>
      <c r="K5">
        <v>393719.0625</v>
      </c>
      <c r="L5">
        <v>54140.02734375</v>
      </c>
      <c r="M5" t="b">
        <v>1</v>
      </c>
      <c r="N5">
        <v>1.1674169177275437</v>
      </c>
      <c r="O5" t="b">
        <v>1</v>
      </c>
      <c r="P5">
        <v>3</v>
      </c>
      <c r="Q5">
        <v>10</v>
      </c>
      <c r="R5">
        <v>84.480484008789062</v>
      </c>
      <c r="S5" t="s">
        <v>24</v>
      </c>
      <c r="T5" t="s">
        <v>24</v>
      </c>
      <c r="U5" t="s">
        <v>24</v>
      </c>
      <c r="V5" t="s">
        <v>29</v>
      </c>
      <c r="W5" t="s">
        <v>29</v>
      </c>
      <c r="X5" t="s">
        <v>29</v>
      </c>
      <c r="Y5" t="s">
        <v>29</v>
      </c>
    </row>
    <row r="6" spans="1:25">
      <c r="A6" t="s">
        <v>34</v>
      </c>
      <c r="B6" t="s">
        <v>32</v>
      </c>
      <c r="C6" t="s">
        <v>25</v>
      </c>
      <c r="D6" t="s">
        <v>33</v>
      </c>
      <c r="E6" t="s">
        <v>27</v>
      </c>
      <c r="F6" t="s">
        <v>28</v>
      </c>
      <c r="G6">
        <v>17.405946731567383</v>
      </c>
      <c r="H6">
        <v>17.573116302490234</v>
      </c>
      <c r="I6">
        <v>0.23641212284564972</v>
      </c>
      <c r="J6">
        <v>432001.84375</v>
      </c>
      <c r="K6">
        <v>393719.0625</v>
      </c>
      <c r="L6">
        <v>54140.02734375</v>
      </c>
      <c r="M6" t="b">
        <v>1</v>
      </c>
      <c r="N6">
        <v>1.1674169177275437</v>
      </c>
      <c r="O6" t="b">
        <v>1</v>
      </c>
      <c r="P6">
        <v>3</v>
      </c>
      <c r="Q6">
        <v>11</v>
      </c>
      <c r="R6">
        <v>84.480484008789062</v>
      </c>
      <c r="S6" t="s">
        <v>24</v>
      </c>
      <c r="T6" t="s">
        <v>24</v>
      </c>
      <c r="U6" t="s">
        <v>24</v>
      </c>
      <c r="V6" t="s">
        <v>29</v>
      </c>
      <c r="W6" t="s">
        <v>29</v>
      </c>
      <c r="X6" t="s">
        <v>29</v>
      </c>
      <c r="Y6" t="s">
        <v>29</v>
      </c>
    </row>
    <row r="7" spans="1:25">
      <c r="A7" t="s">
        <v>35</v>
      </c>
      <c r="B7" t="s">
        <v>36</v>
      </c>
      <c r="C7" t="s">
        <v>25</v>
      </c>
      <c r="D7" t="s">
        <v>33</v>
      </c>
      <c r="E7" t="s">
        <v>27</v>
      </c>
      <c r="F7" t="s">
        <v>28</v>
      </c>
      <c r="G7">
        <v>14.560166358947754</v>
      </c>
      <c r="H7">
        <v>14.561489105224609</v>
      </c>
      <c r="I7">
        <v>1.8713200697675347E-3</v>
      </c>
      <c r="J7">
        <v>2273160.5</v>
      </c>
      <c r="K7">
        <v>2271406.75</v>
      </c>
      <c r="L7">
        <v>2480.177001953125</v>
      </c>
      <c r="M7" t="b">
        <v>1</v>
      </c>
      <c r="N7">
        <v>1.1674169177275437</v>
      </c>
      <c r="O7" t="b">
        <v>1</v>
      </c>
      <c r="P7">
        <v>3</v>
      </c>
      <c r="Q7">
        <v>7</v>
      </c>
      <c r="R7">
        <v>84.664871215820312</v>
      </c>
      <c r="S7" t="s">
        <v>24</v>
      </c>
      <c r="T7" t="s">
        <v>24</v>
      </c>
      <c r="U7" t="s">
        <v>24</v>
      </c>
      <c r="V7" t="s">
        <v>29</v>
      </c>
      <c r="W7" t="s">
        <v>29</v>
      </c>
      <c r="X7" t="s">
        <v>29</v>
      </c>
      <c r="Y7" t="s">
        <v>29</v>
      </c>
    </row>
    <row r="8" spans="1:25">
      <c r="A8" t="s">
        <v>37</v>
      </c>
      <c r="B8" t="s">
        <v>36</v>
      </c>
      <c r="C8" t="s">
        <v>25</v>
      </c>
      <c r="D8" t="s">
        <v>33</v>
      </c>
      <c r="E8" t="s">
        <v>27</v>
      </c>
      <c r="F8" t="s">
        <v>28</v>
      </c>
      <c r="G8">
        <v>14.562812805175781</v>
      </c>
      <c r="H8">
        <v>14.561489105224609</v>
      </c>
      <c r="I8">
        <v>1.8713200697675347E-3</v>
      </c>
      <c r="J8">
        <v>2269653</v>
      </c>
      <c r="K8">
        <v>2271406.75</v>
      </c>
      <c r="L8">
        <v>2480.177001953125</v>
      </c>
      <c r="M8" t="b">
        <v>1</v>
      </c>
      <c r="N8">
        <v>1.1674169177275437</v>
      </c>
      <c r="O8" t="b">
        <v>1</v>
      </c>
      <c r="P8">
        <v>3</v>
      </c>
      <c r="Q8">
        <v>8</v>
      </c>
      <c r="R8">
        <v>84.480484008789062</v>
      </c>
      <c r="S8" t="s">
        <v>24</v>
      </c>
      <c r="T8" t="s">
        <v>24</v>
      </c>
      <c r="U8" t="s">
        <v>24</v>
      </c>
      <c r="V8" t="s">
        <v>29</v>
      </c>
      <c r="W8" t="s">
        <v>29</v>
      </c>
      <c r="X8" t="s">
        <v>29</v>
      </c>
      <c r="Y8" t="s">
        <v>29</v>
      </c>
    </row>
    <row r="9" spans="1:25">
      <c r="A9" t="s">
        <v>38</v>
      </c>
      <c r="B9" t="s">
        <v>142</v>
      </c>
      <c r="C9" t="s">
        <v>25</v>
      </c>
      <c r="D9" t="s">
        <v>33</v>
      </c>
      <c r="E9" t="s">
        <v>27</v>
      </c>
      <c r="F9" t="s">
        <v>28</v>
      </c>
      <c r="G9">
        <v>15.733530044555664</v>
      </c>
      <c r="H9">
        <v>15.684238433837891</v>
      </c>
      <c r="I9">
        <v>6.9708861410617828E-2</v>
      </c>
      <c r="J9">
        <v>1146278</v>
      </c>
      <c r="K9">
        <v>1180213.25</v>
      </c>
      <c r="L9">
        <v>47991.6015625</v>
      </c>
      <c r="M9" t="b">
        <v>1</v>
      </c>
      <c r="N9">
        <v>1.1674169177275437</v>
      </c>
      <c r="O9" t="b">
        <v>1</v>
      </c>
      <c r="P9">
        <v>3</v>
      </c>
      <c r="Q9">
        <v>7</v>
      </c>
      <c r="R9">
        <v>84.480484008789062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  <c r="X9" t="s">
        <v>29</v>
      </c>
      <c r="Y9" t="s">
        <v>29</v>
      </c>
    </row>
    <row r="10" spans="1:25">
      <c r="A10" t="s">
        <v>40</v>
      </c>
      <c r="B10" t="s">
        <v>142</v>
      </c>
      <c r="C10" t="s">
        <v>25</v>
      </c>
      <c r="D10" t="s">
        <v>33</v>
      </c>
      <c r="E10" t="s">
        <v>27</v>
      </c>
      <c r="F10" t="s">
        <v>28</v>
      </c>
      <c r="G10">
        <v>15.634946823120117</v>
      </c>
      <c r="H10">
        <v>15.684238433837891</v>
      </c>
      <c r="I10">
        <v>6.9708861410617828E-2</v>
      </c>
      <c r="J10">
        <v>1214148.375</v>
      </c>
      <c r="K10">
        <v>1180213.25</v>
      </c>
      <c r="L10">
        <v>47991.6015625</v>
      </c>
      <c r="M10" t="b">
        <v>1</v>
      </c>
      <c r="N10">
        <v>1.1674169177275437</v>
      </c>
      <c r="O10" t="b">
        <v>1</v>
      </c>
      <c r="P10">
        <v>3</v>
      </c>
      <c r="Q10">
        <v>7</v>
      </c>
      <c r="R10">
        <v>84.296096801757812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  <c r="X10" t="s">
        <v>29</v>
      </c>
      <c r="Y10" t="s">
        <v>29</v>
      </c>
    </row>
    <row r="11" spans="1:25">
      <c r="A11" t="s">
        <v>41</v>
      </c>
      <c r="B11" t="s">
        <v>107</v>
      </c>
      <c r="C11" t="s">
        <v>25</v>
      </c>
      <c r="D11" t="s">
        <v>33</v>
      </c>
      <c r="E11" t="s">
        <v>27</v>
      </c>
      <c r="F11" t="s">
        <v>28</v>
      </c>
      <c r="G11">
        <v>18.052642822265625</v>
      </c>
      <c r="H11">
        <v>18.052642822265625</v>
      </c>
      <c r="I11" t="s">
        <v>24</v>
      </c>
      <c r="J11">
        <v>296215.25</v>
      </c>
      <c r="K11">
        <v>296215.25</v>
      </c>
      <c r="L11" t="s">
        <v>24</v>
      </c>
      <c r="M11" t="b">
        <v>1</v>
      </c>
      <c r="N11">
        <v>1.1674169177275437</v>
      </c>
      <c r="O11" t="b">
        <v>1</v>
      </c>
      <c r="P11">
        <v>3</v>
      </c>
      <c r="Q11">
        <v>11</v>
      </c>
      <c r="R11">
        <v>84.296096801757812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  <c r="X11" t="s">
        <v>29</v>
      </c>
      <c r="Y11" t="s">
        <v>29</v>
      </c>
    </row>
    <row r="12" spans="1:25">
      <c r="A12" t="s">
        <v>43</v>
      </c>
      <c r="B12" t="s">
        <v>107</v>
      </c>
      <c r="C12" t="s">
        <v>25</v>
      </c>
      <c r="D12" t="s">
        <v>33</v>
      </c>
      <c r="E12" t="s">
        <v>27</v>
      </c>
      <c r="F12" t="s">
        <v>28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b">
        <v>1</v>
      </c>
      <c r="N12">
        <v>1.1674169177275437</v>
      </c>
      <c r="O12" t="b">
        <v>1</v>
      </c>
      <c r="P12">
        <v>3</v>
      </c>
      <c r="Q12">
        <v>31</v>
      </c>
      <c r="R12" t="s">
        <v>24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  <c r="X12" t="s">
        <v>29</v>
      </c>
      <c r="Y12" t="s">
        <v>29</v>
      </c>
    </row>
    <row r="13" spans="1:25">
      <c r="A13" t="s">
        <v>44</v>
      </c>
      <c r="B13" t="s">
        <v>45</v>
      </c>
      <c r="C13" t="s">
        <v>25</v>
      </c>
      <c r="D13" t="s">
        <v>33</v>
      </c>
      <c r="E13" t="s">
        <v>27</v>
      </c>
      <c r="F13" t="s">
        <v>28</v>
      </c>
      <c r="G13">
        <v>15.661433219909668</v>
      </c>
      <c r="H13">
        <v>15.793384552001953</v>
      </c>
      <c r="I13">
        <v>0.18660736083984375</v>
      </c>
      <c r="J13">
        <v>1195528.375</v>
      </c>
      <c r="K13">
        <v>1110218</v>
      </c>
      <c r="L13">
        <v>120647.046875</v>
      </c>
      <c r="M13" t="b">
        <v>1</v>
      </c>
      <c r="N13">
        <v>1.1674169177275437</v>
      </c>
      <c r="O13" t="b">
        <v>1</v>
      </c>
      <c r="P13">
        <v>3</v>
      </c>
      <c r="Q13">
        <v>7</v>
      </c>
      <c r="R13">
        <v>83.927314758300781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  <c r="X13" t="s">
        <v>29</v>
      </c>
      <c r="Y13" t="s">
        <v>29</v>
      </c>
    </row>
    <row r="14" spans="1:25">
      <c r="A14" t="s">
        <v>46</v>
      </c>
      <c r="B14" t="s">
        <v>45</v>
      </c>
      <c r="C14" t="s">
        <v>25</v>
      </c>
      <c r="D14" t="s">
        <v>33</v>
      </c>
      <c r="E14" t="s">
        <v>27</v>
      </c>
      <c r="F14" t="s">
        <v>28</v>
      </c>
      <c r="G14">
        <v>15.925335884094238</v>
      </c>
      <c r="H14">
        <v>15.793384552001953</v>
      </c>
      <c r="I14">
        <v>0.18660736083984375</v>
      </c>
      <c r="J14">
        <v>1024907.6875</v>
      </c>
      <c r="K14">
        <v>1110218</v>
      </c>
      <c r="L14">
        <v>120647.046875</v>
      </c>
      <c r="M14" t="b">
        <v>1</v>
      </c>
      <c r="N14">
        <v>1.1674169177275437</v>
      </c>
      <c r="O14" t="b">
        <v>1</v>
      </c>
      <c r="P14">
        <v>3</v>
      </c>
      <c r="Q14">
        <v>8</v>
      </c>
      <c r="R14">
        <v>83.927314758300781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  <c r="X14" t="s">
        <v>29</v>
      </c>
      <c r="Y14" t="s">
        <v>29</v>
      </c>
    </row>
    <row r="15" spans="1:25">
      <c r="A15" t="s">
        <v>47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13.655331611633301</v>
      </c>
      <c r="H15">
        <v>13.655331611633301</v>
      </c>
      <c r="I15" t="s">
        <v>24</v>
      </c>
      <c r="J15">
        <v>5000000</v>
      </c>
      <c r="K15" t="s">
        <v>24</v>
      </c>
      <c r="L15" t="s">
        <v>24</v>
      </c>
      <c r="M15" t="b">
        <v>1</v>
      </c>
      <c r="N15">
        <v>1.1674169177275437</v>
      </c>
      <c r="O15" t="b">
        <v>1</v>
      </c>
      <c r="P15">
        <v>3</v>
      </c>
      <c r="Q15">
        <v>5</v>
      </c>
      <c r="R15">
        <v>84.296096801757812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  <c r="X15" t="s">
        <v>29</v>
      </c>
      <c r="Y15" t="s">
        <v>29</v>
      </c>
    </row>
    <row r="16" spans="1:25">
      <c r="A16" t="s">
        <v>48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b">
        <v>1</v>
      </c>
      <c r="N16">
        <v>1.1674169177275437</v>
      </c>
      <c r="O16" t="b">
        <v>1</v>
      </c>
      <c r="P16">
        <v>3</v>
      </c>
      <c r="Q16">
        <v>5</v>
      </c>
      <c r="R16" t="s">
        <v>24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  <c r="X16" t="s">
        <v>29</v>
      </c>
      <c r="Y16" t="s">
        <v>29</v>
      </c>
    </row>
    <row r="17" spans="1:25">
      <c r="A17" t="s">
        <v>49</v>
      </c>
      <c r="B17" t="s">
        <v>50</v>
      </c>
      <c r="C17" t="s">
        <v>25</v>
      </c>
      <c r="D17" t="s">
        <v>33</v>
      </c>
      <c r="E17" t="s">
        <v>27</v>
      </c>
      <c r="F17" t="s">
        <v>28</v>
      </c>
      <c r="G17">
        <v>17.939737319946289</v>
      </c>
      <c r="H17">
        <v>17.985420227050781</v>
      </c>
      <c r="I17">
        <v>6.4606733620166779E-2</v>
      </c>
      <c r="J17">
        <v>316387</v>
      </c>
      <c r="K17">
        <v>308174.15625</v>
      </c>
      <c r="L17">
        <v>11614.71484375</v>
      </c>
      <c r="M17" t="b">
        <v>1</v>
      </c>
      <c r="N17">
        <v>1.1674169177275437</v>
      </c>
      <c r="O17" t="b">
        <v>1</v>
      </c>
      <c r="P17">
        <v>3</v>
      </c>
      <c r="Q17">
        <v>9</v>
      </c>
      <c r="R17">
        <v>84.664871215820312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  <c r="X17" t="s">
        <v>29</v>
      </c>
      <c r="Y17" t="s">
        <v>29</v>
      </c>
    </row>
    <row r="18" spans="1:25">
      <c r="A18" t="s">
        <v>51</v>
      </c>
      <c r="B18" t="s">
        <v>50</v>
      </c>
      <c r="C18" t="s">
        <v>25</v>
      </c>
      <c r="D18" t="s">
        <v>33</v>
      </c>
      <c r="E18" t="s">
        <v>27</v>
      </c>
      <c r="F18" t="s">
        <v>28</v>
      </c>
      <c r="G18">
        <v>18.031105041503906</v>
      </c>
      <c r="H18">
        <v>17.985420227050781</v>
      </c>
      <c r="I18">
        <v>6.4606733620166779E-2</v>
      </c>
      <c r="J18">
        <v>299961.3125</v>
      </c>
      <c r="K18">
        <v>308174.15625</v>
      </c>
      <c r="L18">
        <v>11614.71484375</v>
      </c>
      <c r="M18" t="b">
        <v>1</v>
      </c>
      <c r="N18">
        <v>1.1674169177275437</v>
      </c>
      <c r="O18" t="b">
        <v>1</v>
      </c>
      <c r="P18">
        <v>3</v>
      </c>
      <c r="Q18">
        <v>10</v>
      </c>
      <c r="R18">
        <v>84.664871215820312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  <c r="X18" t="s">
        <v>29</v>
      </c>
      <c r="Y18" t="s">
        <v>29</v>
      </c>
    </row>
    <row r="19" spans="1:25">
      <c r="A19" t="s">
        <v>52</v>
      </c>
      <c r="B19" t="s">
        <v>53</v>
      </c>
      <c r="C19" t="s">
        <v>25</v>
      </c>
      <c r="D19" t="s">
        <v>33</v>
      </c>
      <c r="E19" t="s">
        <v>27</v>
      </c>
      <c r="F19" t="s">
        <v>28</v>
      </c>
      <c r="G19">
        <v>13.861906051635742</v>
      </c>
      <c r="H19">
        <v>16.731517791748047</v>
      </c>
      <c r="I19">
        <v>4.0582451820373535</v>
      </c>
      <c r="J19">
        <v>3416450</v>
      </c>
      <c r="K19">
        <v>1768228.625</v>
      </c>
      <c r="L19">
        <v>2330937</v>
      </c>
      <c r="M19" t="b">
        <v>1</v>
      </c>
      <c r="N19">
        <v>1.1674169177275437</v>
      </c>
      <c r="O19" t="b">
        <v>1</v>
      </c>
      <c r="P19">
        <v>3</v>
      </c>
      <c r="Q19">
        <v>7</v>
      </c>
      <c r="R19">
        <v>84.849266052246094</v>
      </c>
      <c r="S19" t="s">
        <v>24</v>
      </c>
      <c r="T19" t="s">
        <v>24</v>
      </c>
      <c r="U19" t="s">
        <v>24</v>
      </c>
      <c r="V19" t="s">
        <v>29</v>
      </c>
      <c r="W19" t="s">
        <v>114</v>
      </c>
      <c r="X19" t="s">
        <v>29</v>
      </c>
      <c r="Y19" t="s">
        <v>29</v>
      </c>
    </row>
    <row r="20" spans="1:25">
      <c r="A20" t="s">
        <v>54</v>
      </c>
      <c r="B20" t="s">
        <v>53</v>
      </c>
      <c r="C20" t="s">
        <v>25</v>
      </c>
      <c r="D20" t="s">
        <v>33</v>
      </c>
      <c r="E20" t="s">
        <v>27</v>
      </c>
      <c r="F20" t="s">
        <v>28</v>
      </c>
      <c r="G20">
        <v>19.601131439208984</v>
      </c>
      <c r="H20">
        <v>16.731517791748047</v>
      </c>
      <c r="I20">
        <v>4.0582451820373535</v>
      </c>
      <c r="J20">
        <v>120007.25</v>
      </c>
      <c r="K20">
        <v>1768228.625</v>
      </c>
      <c r="L20">
        <v>2330937</v>
      </c>
      <c r="M20" t="b">
        <v>1</v>
      </c>
      <c r="N20">
        <v>1.1674169177275437</v>
      </c>
      <c r="O20" t="b">
        <v>1</v>
      </c>
      <c r="P20">
        <v>3</v>
      </c>
      <c r="Q20">
        <v>9</v>
      </c>
      <c r="R20">
        <v>85.033653259277344</v>
      </c>
      <c r="S20" t="s">
        <v>24</v>
      </c>
      <c r="T20" t="s">
        <v>24</v>
      </c>
      <c r="U20" t="s">
        <v>24</v>
      </c>
      <c r="V20" t="s">
        <v>29</v>
      </c>
      <c r="W20" t="s">
        <v>114</v>
      </c>
      <c r="X20" t="s">
        <v>29</v>
      </c>
      <c r="Y20" t="s">
        <v>29</v>
      </c>
    </row>
    <row r="21" spans="1:25">
      <c r="A21" t="s">
        <v>55</v>
      </c>
      <c r="B21" t="s">
        <v>160</v>
      </c>
      <c r="C21" t="s">
        <v>25</v>
      </c>
      <c r="D21" t="s">
        <v>33</v>
      </c>
      <c r="E21" t="s">
        <v>27</v>
      </c>
      <c r="F21" t="s">
        <v>28</v>
      </c>
      <c r="G21">
        <v>16.941537857055664</v>
      </c>
      <c r="H21">
        <v>17.038171768188477</v>
      </c>
      <c r="I21">
        <v>0.13666099309921265</v>
      </c>
      <c r="J21">
        <v>566461.875</v>
      </c>
      <c r="K21">
        <v>536256.875</v>
      </c>
      <c r="L21">
        <v>42716.34375</v>
      </c>
      <c r="M21" t="b">
        <v>1</v>
      </c>
      <c r="N21">
        <v>1.1674169177275437</v>
      </c>
      <c r="O21" t="b">
        <v>1</v>
      </c>
      <c r="P21">
        <v>3</v>
      </c>
      <c r="Q21">
        <v>11</v>
      </c>
      <c r="R21">
        <v>84.480484008789062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  <c r="X21" t="s">
        <v>29</v>
      </c>
      <c r="Y21" t="s">
        <v>29</v>
      </c>
    </row>
    <row r="22" spans="1:25">
      <c r="A22" t="s">
        <v>57</v>
      </c>
      <c r="B22" t="s">
        <v>160</v>
      </c>
      <c r="C22" t="s">
        <v>25</v>
      </c>
      <c r="D22" t="s">
        <v>33</v>
      </c>
      <c r="E22" t="s">
        <v>27</v>
      </c>
      <c r="F22" t="s">
        <v>28</v>
      </c>
      <c r="G22">
        <v>17.134805679321289</v>
      </c>
      <c r="H22">
        <v>17.038171768188477</v>
      </c>
      <c r="I22">
        <v>0.13666099309921265</v>
      </c>
      <c r="J22">
        <v>506051.84375</v>
      </c>
      <c r="K22">
        <v>536256.875</v>
      </c>
      <c r="L22">
        <v>42716.34375</v>
      </c>
      <c r="M22" t="b">
        <v>1</v>
      </c>
      <c r="N22">
        <v>1.1674169177275437</v>
      </c>
      <c r="O22" t="b">
        <v>1</v>
      </c>
      <c r="P22">
        <v>3</v>
      </c>
      <c r="Q22">
        <v>10</v>
      </c>
      <c r="R22">
        <v>84.296096801757812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  <c r="X22" t="s">
        <v>29</v>
      </c>
      <c r="Y22" t="s">
        <v>29</v>
      </c>
    </row>
    <row r="23" spans="1:25">
      <c r="A23" t="s">
        <v>58</v>
      </c>
      <c r="B23" t="s">
        <v>125</v>
      </c>
      <c r="C23" t="s">
        <v>25</v>
      </c>
      <c r="D23" t="s">
        <v>33</v>
      </c>
      <c r="E23" t="s">
        <v>27</v>
      </c>
      <c r="F23" t="s">
        <v>28</v>
      </c>
      <c r="G23">
        <v>15.271261215209961</v>
      </c>
      <c r="H23">
        <v>15.237157821655273</v>
      </c>
      <c r="I23">
        <v>4.8230156302452087E-2</v>
      </c>
      <c r="J23">
        <v>1501179.875</v>
      </c>
      <c r="K23">
        <v>1531654.875</v>
      </c>
      <c r="L23">
        <v>43098.16015625</v>
      </c>
      <c r="M23" t="b">
        <v>1</v>
      </c>
      <c r="N23">
        <v>1.1674169177275437</v>
      </c>
      <c r="O23" t="b">
        <v>1</v>
      </c>
      <c r="P23">
        <v>3</v>
      </c>
      <c r="Q23">
        <v>9</v>
      </c>
      <c r="R23">
        <v>84.111701965332031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  <c r="X23" t="s">
        <v>29</v>
      </c>
      <c r="Y23" t="s">
        <v>29</v>
      </c>
    </row>
    <row r="24" spans="1:25">
      <c r="A24" t="s">
        <v>60</v>
      </c>
      <c r="B24" t="s">
        <v>125</v>
      </c>
      <c r="C24" t="s">
        <v>25</v>
      </c>
      <c r="D24" t="s">
        <v>33</v>
      </c>
      <c r="E24" t="s">
        <v>27</v>
      </c>
      <c r="F24" t="s">
        <v>28</v>
      </c>
      <c r="G24">
        <v>15.20305347442627</v>
      </c>
      <c r="H24">
        <v>15.237157821655273</v>
      </c>
      <c r="I24">
        <v>4.8230156302452087E-2</v>
      </c>
      <c r="J24">
        <v>1562129.875</v>
      </c>
      <c r="K24">
        <v>1531654.875</v>
      </c>
      <c r="L24">
        <v>43098.16015625</v>
      </c>
      <c r="M24" t="b">
        <v>1</v>
      </c>
      <c r="N24">
        <v>1.1674169177275437</v>
      </c>
      <c r="O24" t="b">
        <v>1</v>
      </c>
      <c r="P24">
        <v>1</v>
      </c>
      <c r="Q24">
        <v>3</v>
      </c>
      <c r="R24">
        <v>84.111701965332031</v>
      </c>
      <c r="S24" t="s">
        <v>24</v>
      </c>
      <c r="T24" t="s">
        <v>24</v>
      </c>
      <c r="U24" t="s">
        <v>24</v>
      </c>
      <c r="V24" t="s">
        <v>29</v>
      </c>
      <c r="W24" t="s">
        <v>29</v>
      </c>
      <c r="X24" t="s">
        <v>29</v>
      </c>
      <c r="Y24" t="s">
        <v>29</v>
      </c>
    </row>
    <row r="25" spans="1:25">
      <c r="A25" t="s">
        <v>61</v>
      </c>
      <c r="B25" t="s">
        <v>62</v>
      </c>
      <c r="C25" t="s">
        <v>25</v>
      </c>
      <c r="D25" t="s">
        <v>33</v>
      </c>
      <c r="E25" t="s">
        <v>27</v>
      </c>
      <c r="F25" t="s">
        <v>28</v>
      </c>
      <c r="G25">
        <v>15.073140144348145</v>
      </c>
      <c r="H25">
        <v>15.114944458007812</v>
      </c>
      <c r="I25">
        <v>5.9119552373886108E-2</v>
      </c>
      <c r="J25">
        <v>1685148.75</v>
      </c>
      <c r="K25">
        <v>1645030.625</v>
      </c>
      <c r="L25">
        <v>56735.59765625</v>
      </c>
      <c r="M25" t="b">
        <v>1</v>
      </c>
      <c r="N25">
        <v>1.1674169177275437</v>
      </c>
      <c r="O25" t="b">
        <v>1</v>
      </c>
      <c r="P25">
        <v>3</v>
      </c>
      <c r="Q25">
        <v>6</v>
      </c>
      <c r="R25">
        <v>83.927314758300781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  <c r="X25" t="s">
        <v>29</v>
      </c>
      <c r="Y25" t="s">
        <v>29</v>
      </c>
    </row>
    <row r="26" spans="1:25">
      <c r="A26" t="s">
        <v>63</v>
      </c>
      <c r="B26" t="s">
        <v>62</v>
      </c>
      <c r="C26" t="s">
        <v>25</v>
      </c>
      <c r="D26" t="s">
        <v>33</v>
      </c>
      <c r="E26" t="s">
        <v>27</v>
      </c>
      <c r="F26" t="s">
        <v>28</v>
      </c>
      <c r="G26">
        <v>15.156747817993164</v>
      </c>
      <c r="H26">
        <v>15.114944458007812</v>
      </c>
      <c r="I26">
        <v>5.9119552373886108E-2</v>
      </c>
      <c r="J26">
        <v>1604912.5</v>
      </c>
      <c r="K26">
        <v>1645030.625</v>
      </c>
      <c r="L26">
        <v>56735.59765625</v>
      </c>
      <c r="M26" t="b">
        <v>1</v>
      </c>
      <c r="N26">
        <v>1.1674169177275437</v>
      </c>
      <c r="O26" t="b">
        <v>1</v>
      </c>
      <c r="P26">
        <v>3</v>
      </c>
      <c r="Q26">
        <v>7</v>
      </c>
      <c r="R26">
        <v>83.927314758300781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  <c r="X26" t="s">
        <v>29</v>
      </c>
      <c r="Y26" t="s">
        <v>29</v>
      </c>
    </row>
    <row r="27" spans="1:25">
      <c r="A27" t="s">
        <v>64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>
        <v>17.591512680053711</v>
      </c>
      <c r="H27">
        <v>17.333549499511719</v>
      </c>
      <c r="I27">
        <v>0.36481636762619019</v>
      </c>
      <c r="J27">
        <v>500000</v>
      </c>
      <c r="K27" t="s">
        <v>24</v>
      </c>
      <c r="L27" t="s">
        <v>24</v>
      </c>
      <c r="M27" t="b">
        <v>1</v>
      </c>
      <c r="N27">
        <v>1.1674169177275437</v>
      </c>
      <c r="O27" t="b">
        <v>1</v>
      </c>
      <c r="P27">
        <v>3</v>
      </c>
      <c r="Q27">
        <v>11</v>
      </c>
      <c r="R27">
        <v>84.480484008789062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  <c r="X27" t="s">
        <v>29</v>
      </c>
      <c r="Y27" t="s">
        <v>29</v>
      </c>
    </row>
    <row r="28" spans="1:25">
      <c r="A28" t="s">
        <v>65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>
        <v>17.075584411621094</v>
      </c>
      <c r="H28">
        <v>17.333549499511719</v>
      </c>
      <c r="I28">
        <v>0.36481636762619019</v>
      </c>
      <c r="J28">
        <v>500000</v>
      </c>
      <c r="K28" t="s">
        <v>24</v>
      </c>
      <c r="L28" t="s">
        <v>24</v>
      </c>
      <c r="M28" t="b">
        <v>1</v>
      </c>
      <c r="N28">
        <v>1.1674169177275437</v>
      </c>
      <c r="O28" t="b">
        <v>1</v>
      </c>
      <c r="P28">
        <v>3</v>
      </c>
      <c r="Q28">
        <v>8</v>
      </c>
      <c r="R28">
        <v>84.664871215820312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  <c r="X28" t="s">
        <v>29</v>
      </c>
      <c r="Y28" t="s">
        <v>29</v>
      </c>
    </row>
    <row r="29" spans="1:25">
      <c r="A29" t="s">
        <v>66</v>
      </c>
      <c r="B29" t="s">
        <v>67</v>
      </c>
      <c r="C29" t="s">
        <v>25</v>
      </c>
      <c r="D29" t="s">
        <v>33</v>
      </c>
      <c r="E29" t="s">
        <v>27</v>
      </c>
      <c r="F29" t="s">
        <v>28</v>
      </c>
      <c r="G29">
        <v>16.303083419799805</v>
      </c>
      <c r="H29">
        <v>16.303083419799805</v>
      </c>
      <c r="I29" t="s">
        <v>24</v>
      </c>
      <c r="J29">
        <v>822167.625</v>
      </c>
      <c r="K29">
        <v>822167.625</v>
      </c>
      <c r="L29" t="s">
        <v>24</v>
      </c>
      <c r="M29" t="b">
        <v>1</v>
      </c>
      <c r="N29">
        <v>1.1674169177275437</v>
      </c>
      <c r="O29" t="b">
        <v>1</v>
      </c>
      <c r="P29">
        <v>3</v>
      </c>
      <c r="Q29">
        <v>9</v>
      </c>
      <c r="R29">
        <v>84.849266052246094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  <c r="X29" t="s">
        <v>29</v>
      </c>
      <c r="Y29" t="s">
        <v>29</v>
      </c>
    </row>
    <row r="30" spans="1:25">
      <c r="A30" t="s">
        <v>68</v>
      </c>
      <c r="B30" t="s">
        <v>67</v>
      </c>
      <c r="C30" t="s">
        <v>25</v>
      </c>
      <c r="D30" t="s">
        <v>33</v>
      </c>
      <c r="E30" t="s">
        <v>27</v>
      </c>
      <c r="F30" t="s">
        <v>28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b">
        <v>1</v>
      </c>
      <c r="N30">
        <v>1.1674169177275437</v>
      </c>
      <c r="O30" t="b">
        <v>1</v>
      </c>
      <c r="P30">
        <v>3</v>
      </c>
      <c r="Q30">
        <v>17</v>
      </c>
      <c r="R30" t="s">
        <v>24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  <c r="X30" t="s">
        <v>29</v>
      </c>
      <c r="Y30" t="s">
        <v>29</v>
      </c>
    </row>
    <row r="31" spans="1:25">
      <c r="A31" t="s">
        <v>69</v>
      </c>
      <c r="B31" t="s">
        <v>70</v>
      </c>
      <c r="C31" t="s">
        <v>25</v>
      </c>
      <c r="D31" t="s">
        <v>33</v>
      </c>
      <c r="E31" t="s">
        <v>27</v>
      </c>
      <c r="F31" t="s">
        <v>28</v>
      </c>
      <c r="G31">
        <v>15.439709663391113</v>
      </c>
      <c r="H31">
        <v>15.500003814697266</v>
      </c>
      <c r="I31">
        <v>8.526880294084549E-2</v>
      </c>
      <c r="J31">
        <v>1360650.125</v>
      </c>
      <c r="K31">
        <v>1314426</v>
      </c>
      <c r="L31">
        <v>65370.78515625</v>
      </c>
      <c r="M31" t="b">
        <v>1</v>
      </c>
      <c r="N31">
        <v>1.1674169177275437</v>
      </c>
      <c r="O31" t="b">
        <v>1</v>
      </c>
      <c r="P31">
        <v>3</v>
      </c>
      <c r="Q31">
        <v>8</v>
      </c>
      <c r="R31">
        <v>84.480484008789062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  <c r="X31" t="s">
        <v>29</v>
      </c>
      <c r="Y31" t="s">
        <v>29</v>
      </c>
    </row>
    <row r="32" spans="1:25">
      <c r="A32" t="s">
        <v>71</v>
      </c>
      <c r="B32" t="s">
        <v>70</v>
      </c>
      <c r="C32" t="s">
        <v>25</v>
      </c>
      <c r="D32" t="s">
        <v>33</v>
      </c>
      <c r="E32" t="s">
        <v>27</v>
      </c>
      <c r="F32" t="s">
        <v>28</v>
      </c>
      <c r="G32">
        <v>15.560297966003418</v>
      </c>
      <c r="H32">
        <v>15.500003814697266</v>
      </c>
      <c r="I32">
        <v>8.526880294084549E-2</v>
      </c>
      <c r="J32">
        <v>1268201.875</v>
      </c>
      <c r="K32">
        <v>1314426</v>
      </c>
      <c r="L32">
        <v>65370.78515625</v>
      </c>
      <c r="M32" t="b">
        <v>1</v>
      </c>
      <c r="N32">
        <v>1.1674169177275437</v>
      </c>
      <c r="O32" t="b">
        <v>1</v>
      </c>
      <c r="P32">
        <v>3</v>
      </c>
      <c r="Q32">
        <v>7</v>
      </c>
      <c r="R32">
        <v>84.480484008789062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  <c r="X32" t="s">
        <v>29</v>
      </c>
      <c r="Y32" t="s">
        <v>29</v>
      </c>
    </row>
    <row r="33" spans="1:25">
      <c r="A33" t="s">
        <v>72</v>
      </c>
      <c r="B33" t="s">
        <v>42</v>
      </c>
      <c r="C33" t="s">
        <v>25</v>
      </c>
      <c r="D33" t="s">
        <v>33</v>
      </c>
      <c r="E33" t="s">
        <v>27</v>
      </c>
      <c r="F33" t="s">
        <v>28</v>
      </c>
      <c r="G33">
        <v>16.422399520874023</v>
      </c>
      <c r="H33">
        <v>16.450298309326172</v>
      </c>
      <c r="I33">
        <v>3.9456192404031754E-2</v>
      </c>
      <c r="J33">
        <v>766875.125</v>
      </c>
      <c r="K33">
        <v>754592</v>
      </c>
      <c r="L33">
        <v>17371.005859375</v>
      </c>
      <c r="M33" t="b">
        <v>1</v>
      </c>
      <c r="N33">
        <v>1.1674169177275437</v>
      </c>
      <c r="O33" t="b">
        <v>1</v>
      </c>
      <c r="P33">
        <v>3</v>
      </c>
      <c r="Q33">
        <v>7</v>
      </c>
      <c r="R33">
        <v>84.664871215820312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  <c r="X33" t="s">
        <v>29</v>
      </c>
      <c r="Y33" t="s">
        <v>29</v>
      </c>
    </row>
    <row r="34" spans="1:25">
      <c r="A34" t="s">
        <v>74</v>
      </c>
      <c r="B34" t="s">
        <v>42</v>
      </c>
      <c r="C34" t="s">
        <v>25</v>
      </c>
      <c r="D34" t="s">
        <v>33</v>
      </c>
      <c r="E34" t="s">
        <v>27</v>
      </c>
      <c r="F34" t="s">
        <v>28</v>
      </c>
      <c r="G34">
        <v>16.478199005126953</v>
      </c>
      <c r="H34">
        <v>16.450298309326172</v>
      </c>
      <c r="I34">
        <v>3.9456192404031754E-2</v>
      </c>
      <c r="J34">
        <v>742308.8125</v>
      </c>
      <c r="K34">
        <v>754592</v>
      </c>
      <c r="L34">
        <v>17371.005859375</v>
      </c>
      <c r="M34" t="b">
        <v>1</v>
      </c>
      <c r="N34">
        <v>1.1674169177275437</v>
      </c>
      <c r="O34" t="b">
        <v>1</v>
      </c>
      <c r="P34">
        <v>3</v>
      </c>
      <c r="Q34">
        <v>9</v>
      </c>
      <c r="R34">
        <v>84.296096801757812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  <c r="X34" t="s">
        <v>29</v>
      </c>
      <c r="Y34" t="s">
        <v>29</v>
      </c>
    </row>
    <row r="35" spans="1:25">
      <c r="A35" t="s">
        <v>75</v>
      </c>
      <c r="B35" t="s">
        <v>76</v>
      </c>
      <c r="C35" t="s">
        <v>25</v>
      </c>
      <c r="D35" t="s">
        <v>33</v>
      </c>
      <c r="E35" t="s">
        <v>27</v>
      </c>
      <c r="F35" t="s">
        <v>28</v>
      </c>
      <c r="G35">
        <v>18.046266555786133</v>
      </c>
      <c r="H35">
        <v>18.115531921386719</v>
      </c>
      <c r="I35">
        <v>9.795466810464859E-2</v>
      </c>
      <c r="J35">
        <v>297319.375</v>
      </c>
      <c r="K35">
        <v>285775.9375</v>
      </c>
      <c r="L35">
        <v>16324.908203125</v>
      </c>
      <c r="M35" t="b">
        <v>1</v>
      </c>
      <c r="N35">
        <v>1.1674169177275437</v>
      </c>
      <c r="O35" t="b">
        <v>1</v>
      </c>
      <c r="P35">
        <v>3</v>
      </c>
      <c r="Q35">
        <v>10</v>
      </c>
      <c r="R35">
        <v>83.927314758300781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  <c r="X35" t="s">
        <v>29</v>
      </c>
      <c r="Y35" t="s">
        <v>29</v>
      </c>
    </row>
    <row r="36" spans="1:25">
      <c r="A36" t="s">
        <v>77</v>
      </c>
      <c r="B36" t="s">
        <v>76</v>
      </c>
      <c r="C36" t="s">
        <v>25</v>
      </c>
      <c r="D36" t="s">
        <v>33</v>
      </c>
      <c r="E36" t="s">
        <v>27</v>
      </c>
      <c r="F36" t="s">
        <v>28</v>
      </c>
      <c r="G36">
        <v>18.184795379638672</v>
      </c>
      <c r="H36">
        <v>18.115531921386719</v>
      </c>
      <c r="I36">
        <v>9.795466810464859E-2</v>
      </c>
      <c r="J36">
        <v>274232.46875</v>
      </c>
      <c r="K36">
        <v>285775.9375</v>
      </c>
      <c r="L36">
        <v>16324.908203125</v>
      </c>
      <c r="M36" t="b">
        <v>1</v>
      </c>
      <c r="N36">
        <v>1.1674169177275437</v>
      </c>
      <c r="O36" t="b">
        <v>1</v>
      </c>
      <c r="P36">
        <v>3</v>
      </c>
      <c r="Q36">
        <v>11</v>
      </c>
      <c r="R36">
        <v>84.111701965332031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  <c r="X36" t="s">
        <v>29</v>
      </c>
      <c r="Y36" t="s">
        <v>29</v>
      </c>
    </row>
    <row r="37" spans="1:25">
      <c r="A37" t="s">
        <v>78</v>
      </c>
      <c r="B37" t="s">
        <v>79</v>
      </c>
      <c r="C37" t="s">
        <v>25</v>
      </c>
      <c r="D37" t="s">
        <v>33</v>
      </c>
      <c r="E37" t="s">
        <v>27</v>
      </c>
      <c r="F37" t="s">
        <v>28</v>
      </c>
      <c r="G37">
        <v>14.429502487182617</v>
      </c>
      <c r="H37">
        <v>14.716730117797852</v>
      </c>
      <c r="I37">
        <v>0.40620189905166626</v>
      </c>
      <c r="J37">
        <v>2453247.75</v>
      </c>
      <c r="K37">
        <v>2103906.25</v>
      </c>
      <c r="L37">
        <v>494043.5</v>
      </c>
      <c r="M37" t="b">
        <v>1</v>
      </c>
      <c r="N37">
        <v>1.1674169177275437</v>
      </c>
      <c r="O37" t="b">
        <v>1</v>
      </c>
      <c r="P37">
        <v>3</v>
      </c>
      <c r="Q37">
        <v>5</v>
      </c>
      <c r="R37">
        <v>84.111701965332031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  <c r="X37" t="s">
        <v>29</v>
      </c>
      <c r="Y37" t="s">
        <v>29</v>
      </c>
    </row>
    <row r="38" spans="1:25">
      <c r="A38" t="s">
        <v>80</v>
      </c>
      <c r="B38" t="s">
        <v>79</v>
      </c>
      <c r="C38" t="s">
        <v>25</v>
      </c>
      <c r="D38" t="s">
        <v>33</v>
      </c>
      <c r="E38" t="s">
        <v>27</v>
      </c>
      <c r="F38" t="s">
        <v>28</v>
      </c>
      <c r="G38">
        <v>15.003958702087402</v>
      </c>
      <c r="H38">
        <v>14.716730117797852</v>
      </c>
      <c r="I38">
        <v>0.40620189905166626</v>
      </c>
      <c r="J38">
        <v>1754564.75</v>
      </c>
      <c r="K38">
        <v>2103906.25</v>
      </c>
      <c r="L38">
        <v>494043.5</v>
      </c>
      <c r="M38" t="b">
        <v>1</v>
      </c>
      <c r="N38">
        <v>1.1674169177275437</v>
      </c>
      <c r="O38" t="b">
        <v>1</v>
      </c>
      <c r="P38">
        <v>3</v>
      </c>
      <c r="Q38">
        <v>6</v>
      </c>
      <c r="R38">
        <v>83.927314758300781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  <c r="X38" t="s">
        <v>29</v>
      </c>
      <c r="Y38" t="s">
        <v>29</v>
      </c>
    </row>
    <row r="39" spans="1:25">
      <c r="A39" t="s">
        <v>81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>
        <v>21.381143569946289</v>
      </c>
      <c r="H39">
        <v>21.055095672607422</v>
      </c>
      <c r="I39">
        <v>0.46110135316848755</v>
      </c>
      <c r="J39">
        <v>50000</v>
      </c>
      <c r="K39" t="s">
        <v>24</v>
      </c>
      <c r="L39" t="s">
        <v>24</v>
      </c>
      <c r="M39" t="b">
        <v>1</v>
      </c>
      <c r="N39">
        <v>1.1674169177275437</v>
      </c>
      <c r="O39" t="b">
        <v>1</v>
      </c>
      <c r="P39">
        <v>3</v>
      </c>
      <c r="Q39">
        <v>14</v>
      </c>
      <c r="R39">
        <v>84.664871215820312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  <c r="X39" t="s">
        <v>29</v>
      </c>
      <c r="Y39" t="s">
        <v>29</v>
      </c>
    </row>
    <row r="40" spans="1:25">
      <c r="A40" t="s">
        <v>82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>
        <v>20.729047775268555</v>
      </c>
      <c r="H40">
        <v>21.055095672607422</v>
      </c>
      <c r="I40">
        <v>0.46110135316848755</v>
      </c>
      <c r="J40">
        <v>50000</v>
      </c>
      <c r="K40" t="s">
        <v>24</v>
      </c>
      <c r="L40" t="s">
        <v>24</v>
      </c>
      <c r="M40" t="b">
        <v>1</v>
      </c>
      <c r="N40">
        <v>1.1674169177275437</v>
      </c>
      <c r="O40" t="b">
        <v>1</v>
      </c>
      <c r="P40">
        <v>3</v>
      </c>
      <c r="Q40">
        <v>13</v>
      </c>
      <c r="R40">
        <v>84.849266052246094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  <c r="X40" t="s">
        <v>29</v>
      </c>
      <c r="Y40" t="s">
        <v>29</v>
      </c>
    </row>
    <row r="41" spans="1:25">
      <c r="A41" t="s">
        <v>83</v>
      </c>
      <c r="B41" t="s">
        <v>84</v>
      </c>
      <c r="C41" t="s">
        <v>25</v>
      </c>
      <c r="D41" t="s">
        <v>33</v>
      </c>
      <c r="E41" t="s">
        <v>27</v>
      </c>
      <c r="F41" t="s">
        <v>28</v>
      </c>
      <c r="G41">
        <v>15.121017456054688</v>
      </c>
      <c r="H41">
        <v>15.273721694946289</v>
      </c>
      <c r="I41">
        <v>0.21595573425292969</v>
      </c>
      <c r="J41">
        <v>1638723.75</v>
      </c>
      <c r="K41">
        <v>1504981</v>
      </c>
      <c r="L41">
        <v>189140.8125</v>
      </c>
      <c r="M41" t="b">
        <v>1</v>
      </c>
      <c r="N41">
        <v>1.1674169177275437</v>
      </c>
      <c r="O41" t="b">
        <v>1</v>
      </c>
      <c r="P41">
        <v>3</v>
      </c>
      <c r="Q41">
        <v>4</v>
      </c>
      <c r="R41">
        <v>84.849266052246094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  <c r="X41" t="s">
        <v>29</v>
      </c>
      <c r="Y41" t="s">
        <v>29</v>
      </c>
    </row>
    <row r="42" spans="1:25">
      <c r="A42" t="s">
        <v>85</v>
      </c>
      <c r="B42" t="s">
        <v>84</v>
      </c>
      <c r="C42" t="s">
        <v>25</v>
      </c>
      <c r="D42" t="s">
        <v>33</v>
      </c>
      <c r="E42" t="s">
        <v>27</v>
      </c>
      <c r="F42" t="s">
        <v>28</v>
      </c>
      <c r="G42">
        <v>15.426424980163574</v>
      </c>
      <c r="H42">
        <v>15.273721694946289</v>
      </c>
      <c r="I42">
        <v>0.21595573425292969</v>
      </c>
      <c r="J42">
        <v>1371238.25</v>
      </c>
      <c r="K42">
        <v>1504981</v>
      </c>
      <c r="L42">
        <v>189140.8125</v>
      </c>
      <c r="M42" t="b">
        <v>1</v>
      </c>
      <c r="N42">
        <v>1.1674169177275437</v>
      </c>
      <c r="O42" t="b">
        <v>1</v>
      </c>
      <c r="P42">
        <v>3</v>
      </c>
      <c r="Q42">
        <v>8</v>
      </c>
      <c r="R42">
        <v>84.849266052246094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  <c r="X42" t="s">
        <v>29</v>
      </c>
      <c r="Y42" t="s">
        <v>29</v>
      </c>
    </row>
    <row r="43" spans="1:25">
      <c r="A43" t="s">
        <v>86</v>
      </c>
      <c r="B43" t="s">
        <v>87</v>
      </c>
      <c r="C43" t="s">
        <v>25</v>
      </c>
      <c r="D43" t="s">
        <v>33</v>
      </c>
      <c r="E43" t="s">
        <v>27</v>
      </c>
      <c r="F43" t="s">
        <v>28</v>
      </c>
      <c r="G43">
        <v>14.38221263885498</v>
      </c>
      <c r="H43">
        <v>14.21424674987793</v>
      </c>
      <c r="I43">
        <v>0.23754031956195831</v>
      </c>
      <c r="J43">
        <v>2521883.75</v>
      </c>
      <c r="K43">
        <v>2794934.25</v>
      </c>
      <c r="L43">
        <v>386151.71875</v>
      </c>
      <c r="M43" t="b">
        <v>1</v>
      </c>
      <c r="N43">
        <v>1.1674169177275437</v>
      </c>
      <c r="O43" t="b">
        <v>1</v>
      </c>
      <c r="P43">
        <v>3</v>
      </c>
      <c r="Q43">
        <v>7</v>
      </c>
      <c r="R43">
        <v>84.849266052246094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  <c r="X43" t="s">
        <v>29</v>
      </c>
      <c r="Y43" t="s">
        <v>29</v>
      </c>
    </row>
    <row r="44" spans="1:25">
      <c r="A44" t="s">
        <v>88</v>
      </c>
      <c r="B44" t="s">
        <v>87</v>
      </c>
      <c r="C44" t="s">
        <v>25</v>
      </c>
      <c r="D44" t="s">
        <v>33</v>
      </c>
      <c r="E44" t="s">
        <v>27</v>
      </c>
      <c r="F44" t="s">
        <v>28</v>
      </c>
      <c r="G44">
        <v>14.046279907226562</v>
      </c>
      <c r="H44">
        <v>14.21424674987793</v>
      </c>
      <c r="I44">
        <v>0.23754031956195831</v>
      </c>
      <c r="J44">
        <v>3067984.75</v>
      </c>
      <c r="K44">
        <v>2794934.25</v>
      </c>
      <c r="L44">
        <v>386151.71875</v>
      </c>
      <c r="M44" t="b">
        <v>1</v>
      </c>
      <c r="N44">
        <v>1.1674169177275437</v>
      </c>
      <c r="O44" t="b">
        <v>1</v>
      </c>
      <c r="P44">
        <v>3</v>
      </c>
      <c r="Q44">
        <v>6</v>
      </c>
      <c r="R44">
        <v>84.664871215820312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  <c r="X44" t="s">
        <v>29</v>
      </c>
      <c r="Y44" t="s">
        <v>29</v>
      </c>
    </row>
    <row r="45" spans="1:25">
      <c r="A45" t="s">
        <v>89</v>
      </c>
      <c r="B45" t="s">
        <v>59</v>
      </c>
      <c r="C45" t="s">
        <v>25</v>
      </c>
      <c r="D45" t="s">
        <v>33</v>
      </c>
      <c r="E45" t="s">
        <v>27</v>
      </c>
      <c r="F45" t="s">
        <v>28</v>
      </c>
      <c r="G45">
        <v>16.110034942626953</v>
      </c>
      <c r="H45">
        <v>16.15106201171875</v>
      </c>
      <c r="I45">
        <v>5.8022387325763702E-2</v>
      </c>
      <c r="J45">
        <v>920196.25</v>
      </c>
      <c r="K45">
        <v>898686.125</v>
      </c>
      <c r="L45">
        <v>30419.8671875</v>
      </c>
      <c r="M45" t="b">
        <v>1</v>
      </c>
      <c r="N45">
        <v>1.1674169177275437</v>
      </c>
      <c r="O45" t="b">
        <v>1</v>
      </c>
      <c r="P45">
        <v>3</v>
      </c>
      <c r="Q45">
        <v>9</v>
      </c>
      <c r="R45">
        <v>84.664871215820312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  <c r="X45" t="s">
        <v>29</v>
      </c>
      <c r="Y45" t="s">
        <v>29</v>
      </c>
    </row>
    <row r="46" spans="1:25">
      <c r="A46" t="s">
        <v>91</v>
      </c>
      <c r="B46" t="s">
        <v>59</v>
      </c>
      <c r="C46" t="s">
        <v>25</v>
      </c>
      <c r="D46" t="s">
        <v>33</v>
      </c>
      <c r="E46" t="s">
        <v>27</v>
      </c>
      <c r="F46" t="s">
        <v>28</v>
      </c>
      <c r="G46">
        <v>16.19209098815918</v>
      </c>
      <c r="H46">
        <v>16.15106201171875</v>
      </c>
      <c r="I46">
        <v>5.8022387325763702E-2</v>
      </c>
      <c r="J46">
        <v>877176.0625</v>
      </c>
      <c r="K46">
        <v>898686.125</v>
      </c>
      <c r="L46">
        <v>30419.8671875</v>
      </c>
      <c r="M46" t="b">
        <v>1</v>
      </c>
      <c r="N46">
        <v>1.1674169177275437</v>
      </c>
      <c r="O46" t="b">
        <v>1</v>
      </c>
      <c r="P46">
        <v>1</v>
      </c>
      <c r="Q46">
        <v>2</v>
      </c>
      <c r="R46">
        <v>84.111701965332031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  <c r="X46" t="s">
        <v>29</v>
      </c>
      <c r="Y46" t="s">
        <v>29</v>
      </c>
    </row>
    <row r="47" spans="1:25">
      <c r="A47" t="s">
        <v>92</v>
      </c>
      <c r="B47" t="s">
        <v>93</v>
      </c>
      <c r="C47" t="s">
        <v>25</v>
      </c>
      <c r="D47" t="s">
        <v>33</v>
      </c>
      <c r="E47" t="s">
        <v>27</v>
      </c>
      <c r="F47" t="s">
        <v>28</v>
      </c>
      <c r="G47">
        <v>14.769052505493164</v>
      </c>
      <c r="H47">
        <v>16.921772003173828</v>
      </c>
      <c r="I47">
        <v>3.0444037914276123</v>
      </c>
      <c r="J47">
        <v>2012317.875</v>
      </c>
      <c r="K47">
        <v>1087748.25</v>
      </c>
      <c r="L47">
        <v>1307539</v>
      </c>
      <c r="M47" t="b">
        <v>1</v>
      </c>
      <c r="N47">
        <v>1.1674169177275437</v>
      </c>
      <c r="O47" t="b">
        <v>1</v>
      </c>
      <c r="P47">
        <v>3</v>
      </c>
      <c r="Q47">
        <v>6</v>
      </c>
      <c r="R47">
        <v>84.296096801757812</v>
      </c>
      <c r="S47" t="s">
        <v>24</v>
      </c>
      <c r="T47" t="s">
        <v>24</v>
      </c>
      <c r="U47" t="s">
        <v>24</v>
      </c>
      <c r="V47" t="s">
        <v>29</v>
      </c>
      <c r="W47" t="s">
        <v>114</v>
      </c>
      <c r="X47" t="s">
        <v>29</v>
      </c>
      <c r="Y47" t="s">
        <v>29</v>
      </c>
    </row>
    <row r="48" spans="1:25">
      <c r="A48" t="s">
        <v>94</v>
      </c>
      <c r="B48" t="s">
        <v>93</v>
      </c>
      <c r="C48" t="s">
        <v>25</v>
      </c>
      <c r="D48" t="s">
        <v>33</v>
      </c>
      <c r="E48" t="s">
        <v>27</v>
      </c>
      <c r="F48" t="s">
        <v>28</v>
      </c>
      <c r="G48">
        <v>19.074489593505859</v>
      </c>
      <c r="H48">
        <v>16.921772003173828</v>
      </c>
      <c r="I48">
        <v>3.0444037914276123</v>
      </c>
      <c r="J48">
        <v>163178.5</v>
      </c>
      <c r="K48">
        <v>1087748.25</v>
      </c>
      <c r="L48">
        <v>1307539</v>
      </c>
      <c r="M48" t="b">
        <v>1</v>
      </c>
      <c r="N48">
        <v>1.1674169177275437</v>
      </c>
      <c r="O48" t="b">
        <v>1</v>
      </c>
      <c r="P48">
        <v>3</v>
      </c>
      <c r="Q48">
        <v>7</v>
      </c>
      <c r="R48">
        <v>84.296096801757812</v>
      </c>
      <c r="S48" t="s">
        <v>24</v>
      </c>
      <c r="T48" t="s">
        <v>24</v>
      </c>
      <c r="U48" t="s">
        <v>24</v>
      </c>
      <c r="V48" t="s">
        <v>29</v>
      </c>
      <c r="W48" t="s">
        <v>114</v>
      </c>
      <c r="X48" t="s">
        <v>29</v>
      </c>
      <c r="Y48" t="s">
        <v>29</v>
      </c>
    </row>
    <row r="49" spans="1:25">
      <c r="A49" t="s">
        <v>95</v>
      </c>
      <c r="B49" t="s">
        <v>96</v>
      </c>
      <c r="C49" t="s">
        <v>25</v>
      </c>
      <c r="D49" t="s">
        <v>33</v>
      </c>
      <c r="E49" t="s">
        <v>27</v>
      </c>
      <c r="F49" t="s">
        <v>28</v>
      </c>
      <c r="G49">
        <v>13.774394035339355</v>
      </c>
      <c r="H49">
        <v>13.65480899810791</v>
      </c>
      <c r="I49">
        <v>0.16911877691745758</v>
      </c>
      <c r="J49">
        <v>3595434.25</v>
      </c>
      <c r="K49">
        <v>3864662.75</v>
      </c>
      <c r="L49">
        <v>380746.59375</v>
      </c>
      <c r="M49" t="b">
        <v>1</v>
      </c>
      <c r="N49">
        <v>1.1674169177275437</v>
      </c>
      <c r="O49" t="b">
        <v>1</v>
      </c>
      <c r="P49">
        <v>3</v>
      </c>
      <c r="Q49">
        <v>6</v>
      </c>
      <c r="R49">
        <v>83.927314758300781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  <c r="X49" t="s">
        <v>29</v>
      </c>
      <c r="Y49" t="s">
        <v>29</v>
      </c>
    </row>
    <row r="50" spans="1:25">
      <c r="A50" t="s">
        <v>97</v>
      </c>
      <c r="B50" t="s">
        <v>96</v>
      </c>
      <c r="C50" t="s">
        <v>25</v>
      </c>
      <c r="D50" t="s">
        <v>33</v>
      </c>
      <c r="E50" t="s">
        <v>27</v>
      </c>
      <c r="F50" t="s">
        <v>28</v>
      </c>
      <c r="G50">
        <v>13.535223960876465</v>
      </c>
      <c r="H50">
        <v>13.65480899810791</v>
      </c>
      <c r="I50">
        <v>0.16911877691745758</v>
      </c>
      <c r="J50">
        <v>4133891.25</v>
      </c>
      <c r="K50">
        <v>3864662.75</v>
      </c>
      <c r="L50">
        <v>380746.59375</v>
      </c>
      <c r="M50" t="b">
        <v>1</v>
      </c>
      <c r="N50">
        <v>1.1674169177275437</v>
      </c>
      <c r="O50" t="b">
        <v>1</v>
      </c>
      <c r="P50">
        <v>3</v>
      </c>
      <c r="Q50">
        <v>5</v>
      </c>
      <c r="R50">
        <v>83.927314758300781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  <c r="X50" t="s">
        <v>29</v>
      </c>
      <c r="Y50" t="s">
        <v>29</v>
      </c>
    </row>
    <row r="51" spans="1:25">
      <c r="A51" t="s">
        <v>98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179</v>
      </c>
      <c r="H51">
        <v>24.723503112792969</v>
      </c>
      <c r="I51" t="s">
        <v>24</v>
      </c>
      <c r="J51">
        <v>5000</v>
      </c>
      <c r="K51" t="s">
        <v>24</v>
      </c>
      <c r="L51" t="s">
        <v>24</v>
      </c>
      <c r="M51" t="b">
        <v>1</v>
      </c>
      <c r="N51">
        <v>1.1674169177275437</v>
      </c>
      <c r="O51" t="b">
        <v>1</v>
      </c>
      <c r="P51">
        <v>3</v>
      </c>
      <c r="Q51">
        <v>14</v>
      </c>
      <c r="R51">
        <v>58.297073364257812</v>
      </c>
      <c r="S51" t="s">
        <v>24</v>
      </c>
      <c r="T51" t="s">
        <v>24</v>
      </c>
      <c r="U51" t="s">
        <v>24</v>
      </c>
      <c r="V51" t="s">
        <v>29</v>
      </c>
      <c r="W51" t="s">
        <v>29</v>
      </c>
      <c r="X51" t="s">
        <v>29</v>
      </c>
      <c r="Y51" t="s">
        <v>29</v>
      </c>
    </row>
    <row r="52" spans="1:25">
      <c r="A52" t="s">
        <v>99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>
        <v>24.723503112792969</v>
      </c>
      <c r="H52">
        <v>24.723503112792969</v>
      </c>
      <c r="I52" t="s">
        <v>24</v>
      </c>
      <c r="J52">
        <v>5000</v>
      </c>
      <c r="K52" t="s">
        <v>24</v>
      </c>
      <c r="L52" t="s">
        <v>24</v>
      </c>
      <c r="M52" t="b">
        <v>1</v>
      </c>
      <c r="N52">
        <v>1.1674169177275437</v>
      </c>
      <c r="O52" t="b">
        <v>1</v>
      </c>
      <c r="P52">
        <v>3</v>
      </c>
      <c r="Q52">
        <v>18</v>
      </c>
      <c r="R52">
        <v>84.849266052246094</v>
      </c>
      <c r="S52" t="s">
        <v>24</v>
      </c>
      <c r="T52" t="s">
        <v>24</v>
      </c>
      <c r="U52" t="s">
        <v>24</v>
      </c>
      <c r="V52" t="s">
        <v>29</v>
      </c>
      <c r="W52" t="s">
        <v>29</v>
      </c>
      <c r="X52" t="s">
        <v>29</v>
      </c>
      <c r="Y52" t="s">
        <v>29</v>
      </c>
    </row>
    <row r="53" spans="1:25">
      <c r="A53" t="s">
        <v>100</v>
      </c>
      <c r="B53" t="s">
        <v>101</v>
      </c>
      <c r="C53" t="s">
        <v>25</v>
      </c>
      <c r="D53" t="s">
        <v>33</v>
      </c>
      <c r="E53" t="s">
        <v>27</v>
      </c>
      <c r="F53" t="s">
        <v>28</v>
      </c>
      <c r="G53">
        <v>14.554903030395508</v>
      </c>
      <c r="H53">
        <v>14.526309967041016</v>
      </c>
      <c r="I53">
        <v>4.0436021983623505E-2</v>
      </c>
      <c r="J53">
        <v>2280152.25</v>
      </c>
      <c r="K53">
        <v>2318835.25</v>
      </c>
      <c r="L53">
        <v>54706.0234375</v>
      </c>
      <c r="M53" t="b">
        <v>1</v>
      </c>
      <c r="N53">
        <v>1.1674169177275437</v>
      </c>
      <c r="O53" t="b">
        <v>1</v>
      </c>
      <c r="P53">
        <v>3</v>
      </c>
      <c r="Q53">
        <v>7</v>
      </c>
      <c r="R53">
        <v>84.664871215820312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  <c r="X53" t="s">
        <v>29</v>
      </c>
      <c r="Y53" t="s">
        <v>29</v>
      </c>
    </row>
    <row r="54" spans="1:25">
      <c r="A54" t="s">
        <v>102</v>
      </c>
      <c r="B54" t="s">
        <v>101</v>
      </c>
      <c r="C54" t="s">
        <v>25</v>
      </c>
      <c r="D54" t="s">
        <v>33</v>
      </c>
      <c r="E54" t="s">
        <v>27</v>
      </c>
      <c r="F54" t="s">
        <v>28</v>
      </c>
      <c r="G54">
        <v>14.49771785736084</v>
      </c>
      <c r="H54">
        <v>14.526309967041016</v>
      </c>
      <c r="I54">
        <v>4.0436021983623505E-2</v>
      </c>
      <c r="J54">
        <v>2357518.25</v>
      </c>
      <c r="K54">
        <v>2318835.25</v>
      </c>
      <c r="L54">
        <v>54706.0234375</v>
      </c>
      <c r="M54" t="b">
        <v>1</v>
      </c>
      <c r="N54">
        <v>1.1674169177275437</v>
      </c>
      <c r="O54" t="b">
        <v>1</v>
      </c>
      <c r="P54">
        <v>3</v>
      </c>
      <c r="Q54">
        <v>7</v>
      </c>
      <c r="R54">
        <v>84.664871215820312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  <c r="X54" t="s">
        <v>29</v>
      </c>
      <c r="Y54" t="s">
        <v>29</v>
      </c>
    </row>
    <row r="55" spans="1:25">
      <c r="A55" t="s">
        <v>103</v>
      </c>
      <c r="B55" t="s">
        <v>104</v>
      </c>
      <c r="C55" t="s">
        <v>25</v>
      </c>
      <c r="D55" t="s">
        <v>33</v>
      </c>
      <c r="E55" t="s">
        <v>27</v>
      </c>
      <c r="F55" t="s">
        <v>28</v>
      </c>
      <c r="G55">
        <v>13.66829776763916</v>
      </c>
      <c r="H55">
        <v>13.732765197753906</v>
      </c>
      <c r="I55">
        <v>9.1170042753219604E-2</v>
      </c>
      <c r="J55">
        <v>3825049.25</v>
      </c>
      <c r="K55">
        <v>3686445</v>
      </c>
      <c r="L55">
        <v>196016.1875</v>
      </c>
      <c r="M55" t="b">
        <v>1</v>
      </c>
      <c r="N55">
        <v>1.1674169177275437</v>
      </c>
      <c r="O55" t="b">
        <v>1</v>
      </c>
      <c r="P55">
        <v>3</v>
      </c>
      <c r="Q55">
        <v>5</v>
      </c>
      <c r="R55">
        <v>84.664871215820312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  <c r="X55" t="s">
        <v>29</v>
      </c>
      <c r="Y55" t="s">
        <v>29</v>
      </c>
    </row>
    <row r="56" spans="1:25">
      <c r="A56" t="s">
        <v>105</v>
      </c>
      <c r="B56" t="s">
        <v>104</v>
      </c>
      <c r="C56" t="s">
        <v>25</v>
      </c>
      <c r="D56" t="s">
        <v>33</v>
      </c>
      <c r="E56" t="s">
        <v>27</v>
      </c>
      <c r="F56" t="s">
        <v>28</v>
      </c>
      <c r="G56">
        <v>13.797231674194336</v>
      </c>
      <c r="H56">
        <v>13.732765197753906</v>
      </c>
      <c r="I56">
        <v>9.1170042753219604E-2</v>
      </c>
      <c r="J56">
        <v>3547840.5</v>
      </c>
      <c r="K56">
        <v>3686445</v>
      </c>
      <c r="L56">
        <v>196016.1875</v>
      </c>
      <c r="M56" t="b">
        <v>1</v>
      </c>
      <c r="N56">
        <v>1.1674169177275437</v>
      </c>
      <c r="O56" t="b">
        <v>1</v>
      </c>
      <c r="P56">
        <v>3</v>
      </c>
      <c r="Q56">
        <v>6</v>
      </c>
      <c r="R56">
        <v>84.664871215820312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  <c r="X56" t="s">
        <v>29</v>
      </c>
      <c r="Y56" t="s">
        <v>29</v>
      </c>
    </row>
    <row r="57" spans="1:25">
      <c r="A57" t="s">
        <v>106</v>
      </c>
      <c r="B57" t="s">
        <v>39</v>
      </c>
      <c r="C57" t="s">
        <v>25</v>
      </c>
      <c r="D57" t="s">
        <v>33</v>
      </c>
      <c r="E57" t="s">
        <v>27</v>
      </c>
      <c r="F57" t="s">
        <v>28</v>
      </c>
      <c r="G57">
        <v>16.101657867431641</v>
      </c>
      <c r="H57">
        <v>16.072578430175781</v>
      </c>
      <c r="I57">
        <v>4.1124533861875534E-2</v>
      </c>
      <c r="J57">
        <v>924705.125</v>
      </c>
      <c r="K57">
        <v>940664.5</v>
      </c>
      <c r="L57">
        <v>22569.96484375</v>
      </c>
      <c r="M57" t="b">
        <v>1</v>
      </c>
      <c r="N57">
        <v>1.1674169177275437</v>
      </c>
      <c r="O57" t="b">
        <v>1</v>
      </c>
      <c r="P57">
        <v>3</v>
      </c>
      <c r="Q57">
        <v>9</v>
      </c>
      <c r="R57">
        <v>84.849266052246094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  <c r="X57" t="s">
        <v>29</v>
      </c>
      <c r="Y57" t="s">
        <v>29</v>
      </c>
    </row>
    <row r="58" spans="1:25">
      <c r="A58" t="s">
        <v>108</v>
      </c>
      <c r="B58" t="s">
        <v>39</v>
      </c>
      <c r="C58" t="s">
        <v>25</v>
      </c>
      <c r="D58" t="s">
        <v>33</v>
      </c>
      <c r="E58" t="s">
        <v>27</v>
      </c>
      <c r="F58" t="s">
        <v>28</v>
      </c>
      <c r="G58">
        <v>16.043498992919922</v>
      </c>
      <c r="H58">
        <v>16.072578430175781</v>
      </c>
      <c r="I58">
        <v>4.1124533861875534E-2</v>
      </c>
      <c r="J58">
        <v>956623.875</v>
      </c>
      <c r="K58">
        <v>940664.5</v>
      </c>
      <c r="L58">
        <v>22569.96484375</v>
      </c>
      <c r="M58" t="b">
        <v>1</v>
      </c>
      <c r="N58">
        <v>1.1674169177275437</v>
      </c>
      <c r="O58" t="b">
        <v>1</v>
      </c>
      <c r="P58">
        <v>3</v>
      </c>
      <c r="Q58">
        <v>8</v>
      </c>
      <c r="R58">
        <v>84.664871215820312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  <c r="X58" t="s">
        <v>29</v>
      </c>
      <c r="Y58" t="s">
        <v>29</v>
      </c>
    </row>
    <row r="59" spans="1:25">
      <c r="A59" t="s">
        <v>109</v>
      </c>
      <c r="B59" t="s">
        <v>110</v>
      </c>
      <c r="C59" t="s">
        <v>25</v>
      </c>
      <c r="D59" t="s">
        <v>33</v>
      </c>
      <c r="E59" t="s">
        <v>27</v>
      </c>
      <c r="F59" t="s">
        <v>28</v>
      </c>
      <c r="G59">
        <v>16.779062271118164</v>
      </c>
      <c r="H59">
        <v>16.876945495605469</v>
      </c>
      <c r="I59">
        <v>0.13842777907848358</v>
      </c>
      <c r="J59">
        <v>622792.4375</v>
      </c>
      <c r="K59">
        <v>589178.5</v>
      </c>
      <c r="L59">
        <v>47537.33203125</v>
      </c>
      <c r="M59" t="b">
        <v>1</v>
      </c>
      <c r="N59">
        <v>1.1674169177275437</v>
      </c>
      <c r="O59" t="b">
        <v>1</v>
      </c>
      <c r="P59">
        <v>3</v>
      </c>
      <c r="Q59">
        <v>8</v>
      </c>
      <c r="R59">
        <v>84.664871215820312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  <c r="X59" t="s">
        <v>29</v>
      </c>
      <c r="Y59" t="s">
        <v>29</v>
      </c>
    </row>
    <row r="60" spans="1:25">
      <c r="A60" t="s">
        <v>111</v>
      </c>
      <c r="B60" t="s">
        <v>110</v>
      </c>
      <c r="C60" t="s">
        <v>25</v>
      </c>
      <c r="D60" t="s">
        <v>33</v>
      </c>
      <c r="E60" t="s">
        <v>27</v>
      </c>
      <c r="F60" t="s">
        <v>28</v>
      </c>
      <c r="G60">
        <v>16.974828720092773</v>
      </c>
      <c r="H60">
        <v>16.876945495605469</v>
      </c>
      <c r="I60">
        <v>0.13842777907848358</v>
      </c>
      <c r="J60">
        <v>555564.5</v>
      </c>
      <c r="K60">
        <v>589178.5</v>
      </c>
      <c r="L60">
        <v>47537.33203125</v>
      </c>
      <c r="M60" t="b">
        <v>1</v>
      </c>
      <c r="N60">
        <v>1.1674169177275437</v>
      </c>
      <c r="O60" t="b">
        <v>1</v>
      </c>
      <c r="P60">
        <v>3</v>
      </c>
      <c r="Q60">
        <v>9</v>
      </c>
      <c r="R60">
        <v>84.664871215820312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  <c r="X60" t="s">
        <v>29</v>
      </c>
      <c r="Y60" t="s">
        <v>29</v>
      </c>
    </row>
    <row r="61" spans="1:25">
      <c r="A61" t="s">
        <v>112</v>
      </c>
      <c r="B61" t="s">
        <v>113</v>
      </c>
      <c r="C61" t="s">
        <v>25</v>
      </c>
      <c r="D61" t="s">
        <v>33</v>
      </c>
      <c r="E61" t="s">
        <v>27</v>
      </c>
      <c r="F61" t="s">
        <v>28</v>
      </c>
      <c r="G61">
        <v>20.375577926635742</v>
      </c>
      <c r="H61">
        <v>20.576416015625</v>
      </c>
      <c r="I61">
        <v>0.28402796387672424</v>
      </c>
      <c r="J61">
        <v>76375.890625</v>
      </c>
      <c r="K61">
        <v>68397.078125</v>
      </c>
      <c r="L61">
        <v>11283.75</v>
      </c>
      <c r="M61" t="b">
        <v>1</v>
      </c>
      <c r="N61">
        <v>1.1674169177275437</v>
      </c>
      <c r="O61" t="b">
        <v>1</v>
      </c>
      <c r="P61">
        <v>3</v>
      </c>
      <c r="Q61">
        <v>12</v>
      </c>
      <c r="R61">
        <v>84.296096801757812</v>
      </c>
      <c r="S61" t="s">
        <v>24</v>
      </c>
      <c r="T61" t="s">
        <v>24</v>
      </c>
      <c r="U61" t="s">
        <v>24</v>
      </c>
      <c r="V61" t="s">
        <v>29</v>
      </c>
      <c r="W61" t="s">
        <v>29</v>
      </c>
      <c r="X61" t="s">
        <v>29</v>
      </c>
      <c r="Y61" t="s">
        <v>29</v>
      </c>
    </row>
    <row r="62" spans="1:25">
      <c r="A62" t="s">
        <v>115</v>
      </c>
      <c r="B62" t="s">
        <v>113</v>
      </c>
      <c r="C62" t="s">
        <v>25</v>
      </c>
      <c r="D62" t="s">
        <v>33</v>
      </c>
      <c r="E62" t="s">
        <v>27</v>
      </c>
      <c r="F62" t="s">
        <v>28</v>
      </c>
      <c r="G62">
        <v>20.777254104614258</v>
      </c>
      <c r="H62">
        <v>20.576416015625</v>
      </c>
      <c r="I62">
        <v>0.28402796387672424</v>
      </c>
      <c r="J62">
        <v>60418.2578125</v>
      </c>
      <c r="K62">
        <v>68397.078125</v>
      </c>
      <c r="L62">
        <v>11283.75</v>
      </c>
      <c r="M62" t="b">
        <v>1</v>
      </c>
      <c r="N62">
        <v>1.1674169177275437</v>
      </c>
      <c r="O62" t="b">
        <v>1</v>
      </c>
      <c r="P62">
        <v>3</v>
      </c>
      <c r="Q62">
        <v>14</v>
      </c>
      <c r="R62">
        <v>84.480484008789062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  <c r="X62" t="s">
        <v>114</v>
      </c>
      <c r="Y62" t="s">
        <v>29</v>
      </c>
    </row>
    <row r="63" spans="1:25">
      <c r="A63" t="s">
        <v>116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>
        <v>29.665266036987305</v>
      </c>
      <c r="H63">
        <v>29.035552978515625</v>
      </c>
      <c r="I63">
        <v>0.89055007696151733</v>
      </c>
      <c r="J63">
        <v>500</v>
      </c>
      <c r="K63" t="s">
        <v>24</v>
      </c>
      <c r="L63" t="s">
        <v>24</v>
      </c>
      <c r="M63" t="b">
        <v>1</v>
      </c>
      <c r="N63">
        <v>1.1674169177275437</v>
      </c>
      <c r="O63" t="b">
        <v>1</v>
      </c>
      <c r="P63">
        <v>3</v>
      </c>
      <c r="Q63">
        <v>22</v>
      </c>
      <c r="R63">
        <v>84.480484008789062</v>
      </c>
      <c r="S63" t="s">
        <v>24</v>
      </c>
      <c r="T63" t="s">
        <v>24</v>
      </c>
      <c r="U63" t="s">
        <v>24</v>
      </c>
      <c r="V63" t="s">
        <v>29</v>
      </c>
      <c r="W63" t="s">
        <v>114</v>
      </c>
      <c r="X63" t="s">
        <v>29</v>
      </c>
      <c r="Y63" t="s">
        <v>29</v>
      </c>
    </row>
    <row r="64" spans="1:25">
      <c r="A64" t="s">
        <v>117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>
        <v>28.405838012695312</v>
      </c>
      <c r="H64">
        <v>29.035552978515625</v>
      </c>
      <c r="I64">
        <v>0.89055007696151733</v>
      </c>
      <c r="J64">
        <v>500</v>
      </c>
      <c r="K64" t="s">
        <v>24</v>
      </c>
      <c r="L64" t="s">
        <v>24</v>
      </c>
      <c r="M64" t="b">
        <v>1</v>
      </c>
      <c r="N64">
        <v>1.1674169177275437</v>
      </c>
      <c r="O64" t="b">
        <v>1</v>
      </c>
      <c r="P64">
        <v>3</v>
      </c>
      <c r="Q64">
        <v>20</v>
      </c>
      <c r="R64">
        <v>84.664871215820312</v>
      </c>
      <c r="S64" t="s">
        <v>24</v>
      </c>
      <c r="T64" t="s">
        <v>24</v>
      </c>
      <c r="U64" t="s">
        <v>24</v>
      </c>
      <c r="V64" t="s">
        <v>29</v>
      </c>
      <c r="W64" t="s">
        <v>114</v>
      </c>
      <c r="X64" t="s">
        <v>29</v>
      </c>
      <c r="Y64" t="s">
        <v>29</v>
      </c>
    </row>
    <row r="65" spans="1:25">
      <c r="A65" t="s">
        <v>118</v>
      </c>
      <c r="B65" t="s">
        <v>119</v>
      </c>
      <c r="C65" t="s">
        <v>25</v>
      </c>
      <c r="D65" t="s">
        <v>33</v>
      </c>
      <c r="E65" t="s">
        <v>27</v>
      </c>
      <c r="F65" t="s">
        <v>28</v>
      </c>
      <c r="G65">
        <v>17.408607482910156</v>
      </c>
      <c r="H65">
        <v>17.350421905517578</v>
      </c>
      <c r="I65">
        <v>8.2288183271884918E-2</v>
      </c>
      <c r="J65">
        <v>431331.65625</v>
      </c>
      <c r="K65">
        <v>446484.6875</v>
      </c>
      <c r="L65">
        <v>21429.599609375</v>
      </c>
      <c r="M65" t="b">
        <v>1</v>
      </c>
      <c r="N65">
        <v>1.1674169177275437</v>
      </c>
      <c r="O65" t="b">
        <v>1</v>
      </c>
      <c r="P65">
        <v>3</v>
      </c>
      <c r="Q65">
        <v>9</v>
      </c>
      <c r="R65">
        <v>84.664871215820312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  <c r="X65" t="s">
        <v>29</v>
      </c>
      <c r="Y65" t="s">
        <v>29</v>
      </c>
    </row>
    <row r="66" spans="1:25">
      <c r="A66" t="s">
        <v>120</v>
      </c>
      <c r="B66" t="s">
        <v>119</v>
      </c>
      <c r="C66" t="s">
        <v>25</v>
      </c>
      <c r="D66" t="s">
        <v>33</v>
      </c>
      <c r="E66" t="s">
        <v>27</v>
      </c>
      <c r="F66" t="s">
        <v>28</v>
      </c>
      <c r="G66">
        <v>17.292234420776367</v>
      </c>
      <c r="H66">
        <v>17.350421905517578</v>
      </c>
      <c r="I66">
        <v>8.2288183271884918E-2</v>
      </c>
      <c r="J66">
        <v>461637.6875</v>
      </c>
      <c r="K66">
        <v>446484.6875</v>
      </c>
      <c r="L66">
        <v>21429.599609375</v>
      </c>
      <c r="M66" t="b">
        <v>1</v>
      </c>
      <c r="N66">
        <v>1.1674169177275437</v>
      </c>
      <c r="O66" t="b">
        <v>1</v>
      </c>
      <c r="P66">
        <v>3</v>
      </c>
      <c r="Q66">
        <v>11</v>
      </c>
      <c r="R66">
        <v>84.480484008789062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  <c r="X66" t="s">
        <v>29</v>
      </c>
      <c r="Y66" t="s">
        <v>29</v>
      </c>
    </row>
    <row r="67" spans="1:25">
      <c r="A67" t="s">
        <v>121</v>
      </c>
      <c r="B67" t="s">
        <v>122</v>
      </c>
      <c r="C67" t="s">
        <v>25</v>
      </c>
      <c r="D67" t="s">
        <v>33</v>
      </c>
      <c r="E67" t="s">
        <v>27</v>
      </c>
      <c r="F67" t="s">
        <v>28</v>
      </c>
      <c r="G67">
        <v>16.938491821289062</v>
      </c>
      <c r="H67">
        <v>16.961627960205078</v>
      </c>
      <c r="I67">
        <v>3.2718092203140259E-2</v>
      </c>
      <c r="J67">
        <v>567469.5625</v>
      </c>
      <c r="K67">
        <v>559911.625</v>
      </c>
      <c r="L67">
        <v>10688.5380859375</v>
      </c>
      <c r="M67" t="b">
        <v>1</v>
      </c>
      <c r="N67">
        <v>1.1674169177275437</v>
      </c>
      <c r="O67" t="b">
        <v>1</v>
      </c>
      <c r="P67">
        <v>3</v>
      </c>
      <c r="Q67">
        <v>8</v>
      </c>
      <c r="R67">
        <v>84.849266052246094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  <c r="X67" t="s">
        <v>29</v>
      </c>
      <c r="Y67" t="s">
        <v>29</v>
      </c>
    </row>
    <row r="68" spans="1:25">
      <c r="A68" t="s">
        <v>123</v>
      </c>
      <c r="B68" t="s">
        <v>122</v>
      </c>
      <c r="C68" t="s">
        <v>25</v>
      </c>
      <c r="D68" t="s">
        <v>33</v>
      </c>
      <c r="E68" t="s">
        <v>27</v>
      </c>
      <c r="F68" t="s">
        <v>28</v>
      </c>
      <c r="G68">
        <v>16.984762191772461</v>
      </c>
      <c r="H68">
        <v>16.961627960205078</v>
      </c>
      <c r="I68">
        <v>3.2718092203140259E-2</v>
      </c>
      <c r="J68">
        <v>552353.6875</v>
      </c>
      <c r="K68">
        <v>559911.625</v>
      </c>
      <c r="L68">
        <v>10688.5380859375</v>
      </c>
      <c r="M68" t="b">
        <v>1</v>
      </c>
      <c r="N68">
        <v>1.1674169177275437</v>
      </c>
      <c r="O68" t="b">
        <v>1</v>
      </c>
      <c r="P68">
        <v>3</v>
      </c>
      <c r="Q68">
        <v>9</v>
      </c>
      <c r="R68">
        <v>84.849266052246094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  <c r="X68" t="s">
        <v>29</v>
      </c>
      <c r="Y68" t="s">
        <v>29</v>
      </c>
    </row>
    <row r="69" spans="1:25">
      <c r="A69" t="s">
        <v>124</v>
      </c>
      <c r="B69" t="s">
        <v>56</v>
      </c>
      <c r="C69" t="s">
        <v>25</v>
      </c>
      <c r="D69" t="s">
        <v>33</v>
      </c>
      <c r="E69" t="s">
        <v>27</v>
      </c>
      <c r="F69" t="s">
        <v>28</v>
      </c>
      <c r="G69">
        <v>13.434893608093262</v>
      </c>
      <c r="H69">
        <v>13.546324729919434</v>
      </c>
      <c r="I69">
        <v>0.15758740901947021</v>
      </c>
      <c r="J69">
        <v>4383122.5</v>
      </c>
      <c r="K69">
        <v>4115886.5</v>
      </c>
      <c r="L69">
        <v>377928.9375</v>
      </c>
      <c r="M69" t="b">
        <v>1</v>
      </c>
      <c r="N69">
        <v>1.1674169177275437</v>
      </c>
      <c r="O69" t="b">
        <v>1</v>
      </c>
      <c r="P69">
        <v>3</v>
      </c>
      <c r="Q69">
        <v>4</v>
      </c>
      <c r="R69">
        <v>84.849266052246094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  <c r="X69" t="s">
        <v>29</v>
      </c>
      <c r="Y69" t="s">
        <v>29</v>
      </c>
    </row>
    <row r="70" spans="1:25">
      <c r="A70" t="s">
        <v>126</v>
      </c>
      <c r="B70" t="s">
        <v>56</v>
      </c>
      <c r="C70" t="s">
        <v>25</v>
      </c>
      <c r="D70" t="s">
        <v>33</v>
      </c>
      <c r="E70" t="s">
        <v>27</v>
      </c>
      <c r="F70" t="s">
        <v>28</v>
      </c>
      <c r="G70">
        <v>13.657755851745605</v>
      </c>
      <c r="H70">
        <v>13.546324729919434</v>
      </c>
      <c r="I70">
        <v>0.15758740901947021</v>
      </c>
      <c r="J70">
        <v>3848650.25</v>
      </c>
      <c r="K70">
        <v>4115886.5</v>
      </c>
      <c r="L70">
        <v>377928.9375</v>
      </c>
      <c r="M70" t="b">
        <v>1</v>
      </c>
      <c r="N70">
        <v>1.1674169177275437</v>
      </c>
      <c r="O70" t="b">
        <v>1</v>
      </c>
      <c r="P70">
        <v>3</v>
      </c>
      <c r="Q70">
        <v>7</v>
      </c>
      <c r="R70">
        <v>84.849266052246094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  <c r="X70" t="s">
        <v>29</v>
      </c>
      <c r="Y70" t="s">
        <v>29</v>
      </c>
    </row>
    <row r="71" spans="1:25">
      <c r="A71" t="s">
        <v>127</v>
      </c>
      <c r="B71" t="s">
        <v>128</v>
      </c>
      <c r="C71" t="s">
        <v>25</v>
      </c>
      <c r="D71" t="s">
        <v>33</v>
      </c>
      <c r="E71" t="s">
        <v>27</v>
      </c>
      <c r="F71" t="s">
        <v>28</v>
      </c>
      <c r="G71">
        <v>16.222972869873047</v>
      </c>
      <c r="H71">
        <v>16.258705139160156</v>
      </c>
      <c r="I71">
        <v>5.0534408539533615E-2</v>
      </c>
      <c r="J71">
        <v>861511.4375</v>
      </c>
      <c r="K71">
        <v>843918.1875</v>
      </c>
      <c r="L71">
        <v>24880.61328125</v>
      </c>
      <c r="M71" t="b">
        <v>1</v>
      </c>
      <c r="N71">
        <v>1.1674169177275437</v>
      </c>
      <c r="O71" t="b">
        <v>1</v>
      </c>
      <c r="P71">
        <v>3</v>
      </c>
      <c r="Q71">
        <v>8</v>
      </c>
      <c r="R71">
        <v>85.033653259277344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  <c r="X71" t="s">
        <v>29</v>
      </c>
      <c r="Y71" t="s">
        <v>29</v>
      </c>
    </row>
    <row r="72" spans="1:25">
      <c r="A72" t="s">
        <v>129</v>
      </c>
      <c r="B72" t="s">
        <v>128</v>
      </c>
      <c r="C72" t="s">
        <v>25</v>
      </c>
      <c r="D72" t="s">
        <v>33</v>
      </c>
      <c r="E72" t="s">
        <v>27</v>
      </c>
      <c r="F72" t="s">
        <v>28</v>
      </c>
      <c r="G72">
        <v>16.294439315795898</v>
      </c>
      <c r="H72">
        <v>16.258705139160156</v>
      </c>
      <c r="I72">
        <v>5.0534408539533615E-2</v>
      </c>
      <c r="J72">
        <v>826324.9375</v>
      </c>
      <c r="K72">
        <v>843918.1875</v>
      </c>
      <c r="L72">
        <v>24880.61328125</v>
      </c>
      <c r="M72" t="b">
        <v>1</v>
      </c>
      <c r="N72">
        <v>1.1674169177275437</v>
      </c>
      <c r="O72" t="b">
        <v>1</v>
      </c>
      <c r="P72">
        <v>3</v>
      </c>
      <c r="Q72">
        <v>10</v>
      </c>
      <c r="R72">
        <v>84.849266052246094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  <c r="X72" t="s">
        <v>29</v>
      </c>
      <c r="Y72" t="s">
        <v>114</v>
      </c>
    </row>
    <row r="73" spans="1:25">
      <c r="A73" t="s">
        <v>130</v>
      </c>
      <c r="B73" t="s">
        <v>131</v>
      </c>
      <c r="C73" t="s">
        <v>25</v>
      </c>
      <c r="D73" t="s">
        <v>33</v>
      </c>
      <c r="E73" t="s">
        <v>27</v>
      </c>
      <c r="F73" t="s">
        <v>28</v>
      </c>
      <c r="G73">
        <v>16.26176643371582</v>
      </c>
      <c r="H73">
        <v>16.147558212280273</v>
      </c>
      <c r="I73">
        <v>0.16151481866836548</v>
      </c>
      <c r="J73">
        <v>842229.4375</v>
      </c>
      <c r="K73">
        <v>902267.5625</v>
      </c>
      <c r="L73">
        <v>84906.734375</v>
      </c>
      <c r="M73" t="b">
        <v>1</v>
      </c>
      <c r="N73">
        <v>1.1674169177275437</v>
      </c>
      <c r="O73" t="b">
        <v>1</v>
      </c>
      <c r="P73">
        <v>3</v>
      </c>
      <c r="Q73">
        <v>8</v>
      </c>
      <c r="R73">
        <v>84.664871215820312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  <c r="X73" t="s">
        <v>29</v>
      </c>
      <c r="Y73" t="s">
        <v>29</v>
      </c>
    </row>
    <row r="74" spans="1:25">
      <c r="A74" t="s">
        <v>132</v>
      </c>
      <c r="B74" t="s">
        <v>131</v>
      </c>
      <c r="C74" t="s">
        <v>25</v>
      </c>
      <c r="D74" t="s">
        <v>33</v>
      </c>
      <c r="E74" t="s">
        <v>27</v>
      </c>
      <c r="F74" t="s">
        <v>28</v>
      </c>
      <c r="G74">
        <v>16.033349990844727</v>
      </c>
      <c r="H74">
        <v>16.147558212280273</v>
      </c>
      <c r="I74">
        <v>0.16151481866836548</v>
      </c>
      <c r="J74">
        <v>962305.6875</v>
      </c>
      <c r="K74">
        <v>902267.5625</v>
      </c>
      <c r="L74">
        <v>84906.734375</v>
      </c>
      <c r="M74" t="b">
        <v>1</v>
      </c>
      <c r="N74">
        <v>1.1674169177275437</v>
      </c>
      <c r="O74" t="b">
        <v>1</v>
      </c>
      <c r="P74">
        <v>3</v>
      </c>
      <c r="Q74">
        <v>7</v>
      </c>
      <c r="R74">
        <v>84.480484008789062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  <c r="X74" t="s">
        <v>29</v>
      </c>
      <c r="Y74" t="s">
        <v>29</v>
      </c>
    </row>
    <row r="75" spans="1:25">
      <c r="A75" t="s">
        <v>133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b">
        <v>1</v>
      </c>
      <c r="N75">
        <v>1.1674169177275437</v>
      </c>
      <c r="O75" t="b">
        <v>1</v>
      </c>
      <c r="P75">
        <v>3</v>
      </c>
      <c r="Q75">
        <v>22</v>
      </c>
      <c r="R75" t="s">
        <v>24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  <c r="X75" t="s">
        <v>29</v>
      </c>
      <c r="Y75" t="s">
        <v>29</v>
      </c>
    </row>
    <row r="76" spans="1:25">
      <c r="A76" t="s">
        <v>134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b">
        <v>1</v>
      </c>
      <c r="N76">
        <v>1.1674169177275437</v>
      </c>
      <c r="O76" t="b">
        <v>1</v>
      </c>
      <c r="P76">
        <v>3</v>
      </c>
      <c r="Q76">
        <v>22</v>
      </c>
      <c r="R76" t="s">
        <v>24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  <c r="X76" t="s">
        <v>29</v>
      </c>
      <c r="Y76" t="s">
        <v>29</v>
      </c>
    </row>
    <row r="77" spans="1:25">
      <c r="A77" t="s">
        <v>135</v>
      </c>
      <c r="B77" t="s">
        <v>136</v>
      </c>
      <c r="C77" t="s">
        <v>25</v>
      </c>
      <c r="D77" t="s">
        <v>33</v>
      </c>
      <c r="E77" t="s">
        <v>27</v>
      </c>
      <c r="F77" t="s">
        <v>28</v>
      </c>
      <c r="G77">
        <v>14.62220287322998</v>
      </c>
      <c r="H77">
        <v>14.516940116882324</v>
      </c>
      <c r="I77">
        <v>0.1488640159368515</v>
      </c>
      <c r="J77">
        <v>2192348</v>
      </c>
      <c r="K77">
        <v>2335622.5</v>
      </c>
      <c r="L77">
        <v>202620.5625</v>
      </c>
      <c r="M77" t="b">
        <v>1</v>
      </c>
      <c r="N77">
        <v>1.1674169177275437</v>
      </c>
      <c r="O77" t="b">
        <v>1</v>
      </c>
      <c r="P77">
        <v>3</v>
      </c>
      <c r="Q77">
        <v>8</v>
      </c>
      <c r="R77">
        <v>84.664871215820312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  <c r="X77" t="s">
        <v>29</v>
      </c>
      <c r="Y77" t="s">
        <v>29</v>
      </c>
    </row>
    <row r="78" spans="1:25">
      <c r="A78" t="s">
        <v>137</v>
      </c>
      <c r="B78" t="s">
        <v>136</v>
      </c>
      <c r="C78" t="s">
        <v>25</v>
      </c>
      <c r="D78" t="s">
        <v>33</v>
      </c>
      <c r="E78" t="s">
        <v>27</v>
      </c>
      <c r="F78" t="s">
        <v>28</v>
      </c>
      <c r="G78">
        <v>14.411677360534668</v>
      </c>
      <c r="H78">
        <v>14.516940116882324</v>
      </c>
      <c r="I78">
        <v>0.1488640159368515</v>
      </c>
      <c r="J78">
        <v>2478896.75</v>
      </c>
      <c r="K78">
        <v>2335622.5</v>
      </c>
      <c r="L78">
        <v>202620.5625</v>
      </c>
      <c r="M78" t="b">
        <v>1</v>
      </c>
      <c r="N78">
        <v>1.1674169177275437</v>
      </c>
      <c r="O78" t="b">
        <v>1</v>
      </c>
      <c r="P78">
        <v>3</v>
      </c>
      <c r="Q78">
        <v>6</v>
      </c>
      <c r="R78">
        <v>84.664871215820312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  <c r="X78" t="s">
        <v>29</v>
      </c>
      <c r="Y78" t="s">
        <v>29</v>
      </c>
    </row>
    <row r="79" spans="1:25">
      <c r="A79" t="s">
        <v>138</v>
      </c>
      <c r="B79" t="s">
        <v>139</v>
      </c>
      <c r="C79" t="s">
        <v>25</v>
      </c>
      <c r="D79" t="s">
        <v>33</v>
      </c>
      <c r="E79" t="s">
        <v>27</v>
      </c>
      <c r="F79" t="s">
        <v>28</v>
      </c>
      <c r="G79">
        <v>15.141992568969727</v>
      </c>
      <c r="H79">
        <v>15.116941452026367</v>
      </c>
      <c r="I79">
        <v>3.5427629947662354E-2</v>
      </c>
      <c r="J79">
        <v>1618789.875</v>
      </c>
      <c r="K79">
        <v>1642801.25</v>
      </c>
      <c r="L79">
        <v>33957.2109375</v>
      </c>
      <c r="M79" t="b">
        <v>1</v>
      </c>
      <c r="N79">
        <v>1.1674169177275437</v>
      </c>
      <c r="O79" t="b">
        <v>1</v>
      </c>
      <c r="P79">
        <v>3</v>
      </c>
      <c r="Q79">
        <v>7</v>
      </c>
      <c r="R79">
        <v>84.849266052246094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  <c r="X79" t="s">
        <v>29</v>
      </c>
      <c r="Y79" t="s">
        <v>29</v>
      </c>
    </row>
    <row r="80" spans="1:25">
      <c r="A80" t="s">
        <v>140</v>
      </c>
      <c r="B80" t="s">
        <v>139</v>
      </c>
      <c r="C80" t="s">
        <v>25</v>
      </c>
      <c r="D80" t="s">
        <v>33</v>
      </c>
      <c r="E80" t="s">
        <v>27</v>
      </c>
      <c r="F80" t="s">
        <v>28</v>
      </c>
      <c r="G80">
        <v>15.091890335083008</v>
      </c>
      <c r="H80">
        <v>15.116941452026367</v>
      </c>
      <c r="I80">
        <v>3.5427629947662354E-2</v>
      </c>
      <c r="J80">
        <v>1666812.625</v>
      </c>
      <c r="K80">
        <v>1642801.25</v>
      </c>
      <c r="L80">
        <v>33957.2109375</v>
      </c>
      <c r="M80" t="b">
        <v>1</v>
      </c>
      <c r="N80">
        <v>1.1674169177275437</v>
      </c>
      <c r="O80" t="b">
        <v>1</v>
      </c>
      <c r="P80">
        <v>3</v>
      </c>
      <c r="Q80">
        <v>8</v>
      </c>
      <c r="R80">
        <v>84.849266052246094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  <c r="X80" t="s">
        <v>29</v>
      </c>
      <c r="Y80" t="s">
        <v>29</v>
      </c>
    </row>
    <row r="81" spans="1:25">
      <c r="A81" t="s">
        <v>141</v>
      </c>
      <c r="B81" t="s">
        <v>73</v>
      </c>
      <c r="C81" t="s">
        <v>25</v>
      </c>
      <c r="D81" t="s">
        <v>33</v>
      </c>
      <c r="E81" t="s">
        <v>27</v>
      </c>
      <c r="F81" t="s">
        <v>28</v>
      </c>
      <c r="G81">
        <v>14.89274787902832</v>
      </c>
      <c r="H81">
        <v>14.868571281433105</v>
      </c>
      <c r="I81">
        <v>3.4190870821475983E-2</v>
      </c>
      <c r="J81">
        <v>1872195.25</v>
      </c>
      <c r="K81">
        <v>1898982.25</v>
      </c>
      <c r="L81">
        <v>37882.5390625</v>
      </c>
      <c r="M81" t="b">
        <v>1</v>
      </c>
      <c r="N81">
        <v>1.1674169177275437</v>
      </c>
      <c r="O81" t="b">
        <v>1</v>
      </c>
      <c r="P81">
        <v>3</v>
      </c>
      <c r="Q81">
        <v>7</v>
      </c>
      <c r="R81">
        <v>84.664871215820312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  <c r="X81" t="s">
        <v>29</v>
      </c>
      <c r="Y81" t="s">
        <v>29</v>
      </c>
    </row>
    <row r="82" spans="1:25">
      <c r="A82" t="s">
        <v>143</v>
      </c>
      <c r="B82" t="s">
        <v>73</v>
      </c>
      <c r="C82" t="s">
        <v>25</v>
      </c>
      <c r="D82" t="s">
        <v>33</v>
      </c>
      <c r="E82" t="s">
        <v>27</v>
      </c>
      <c r="F82" t="s">
        <v>28</v>
      </c>
      <c r="G82">
        <v>14.844394683837891</v>
      </c>
      <c r="H82">
        <v>14.868571281433105</v>
      </c>
      <c r="I82">
        <v>3.4190870821475983E-2</v>
      </c>
      <c r="J82">
        <v>1925769.25</v>
      </c>
      <c r="K82">
        <v>1898982.25</v>
      </c>
      <c r="L82">
        <v>37882.5390625</v>
      </c>
      <c r="M82" t="b">
        <v>1</v>
      </c>
      <c r="N82">
        <v>1.1674169177275437</v>
      </c>
      <c r="O82" t="b">
        <v>1</v>
      </c>
      <c r="P82">
        <v>3</v>
      </c>
      <c r="Q82">
        <v>7</v>
      </c>
      <c r="R82">
        <v>84.480484008789062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  <c r="X82" t="s">
        <v>29</v>
      </c>
      <c r="Y82" t="s">
        <v>29</v>
      </c>
    </row>
    <row r="83" spans="1:25">
      <c r="A83" t="s">
        <v>144</v>
      </c>
      <c r="B83" t="s">
        <v>145</v>
      </c>
      <c r="C83" t="s">
        <v>25</v>
      </c>
      <c r="D83" t="s">
        <v>33</v>
      </c>
      <c r="E83" t="s">
        <v>27</v>
      </c>
      <c r="F83" t="s">
        <v>28</v>
      </c>
      <c r="G83">
        <v>15.949601173400879</v>
      </c>
      <c r="H83">
        <v>15.952693939208984</v>
      </c>
      <c r="I83">
        <v>4.3738312087953091E-3</v>
      </c>
      <c r="J83">
        <v>1010498.5625</v>
      </c>
      <c r="K83">
        <v>1008678.3125</v>
      </c>
      <c r="L83">
        <v>2574.22216796875</v>
      </c>
      <c r="M83" t="b">
        <v>1</v>
      </c>
      <c r="N83">
        <v>1.1674169177275437</v>
      </c>
      <c r="O83" t="b">
        <v>1</v>
      </c>
      <c r="P83">
        <v>3</v>
      </c>
      <c r="Q83">
        <v>8</v>
      </c>
      <c r="R83">
        <v>84.664871215820312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  <c r="X83" t="s">
        <v>29</v>
      </c>
      <c r="Y83" t="s">
        <v>29</v>
      </c>
    </row>
    <row r="84" spans="1:25">
      <c r="A84" t="s">
        <v>146</v>
      </c>
      <c r="B84" t="s">
        <v>145</v>
      </c>
      <c r="C84" t="s">
        <v>25</v>
      </c>
      <c r="D84" t="s">
        <v>33</v>
      </c>
      <c r="E84" t="s">
        <v>27</v>
      </c>
      <c r="F84" t="s">
        <v>28</v>
      </c>
      <c r="G84">
        <v>15.95578670501709</v>
      </c>
      <c r="H84">
        <v>15.952693939208984</v>
      </c>
      <c r="I84">
        <v>4.3738312087953091E-3</v>
      </c>
      <c r="J84">
        <v>1006858.0625</v>
      </c>
      <c r="K84">
        <v>1008678.3125</v>
      </c>
      <c r="L84">
        <v>2574.22216796875</v>
      </c>
      <c r="M84" t="b">
        <v>1</v>
      </c>
      <c r="N84">
        <v>1.1674169177275437</v>
      </c>
      <c r="O84" t="b">
        <v>1</v>
      </c>
      <c r="P84">
        <v>3</v>
      </c>
      <c r="Q84">
        <v>9</v>
      </c>
      <c r="R84">
        <v>84.664871215820312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  <c r="X84" t="s">
        <v>29</v>
      </c>
      <c r="Y84" t="s">
        <v>29</v>
      </c>
    </row>
    <row r="85" spans="1:25">
      <c r="A85" t="s">
        <v>147</v>
      </c>
      <c r="B85" t="s">
        <v>148</v>
      </c>
      <c r="C85" t="s">
        <v>25</v>
      </c>
      <c r="D85" t="s">
        <v>33</v>
      </c>
      <c r="E85" t="s">
        <v>27</v>
      </c>
      <c r="F85" t="s">
        <v>28</v>
      </c>
      <c r="G85">
        <v>18.306865692138672</v>
      </c>
      <c r="H85">
        <v>18.340164184570312</v>
      </c>
      <c r="I85">
        <v>4.7091178596019745E-2</v>
      </c>
      <c r="J85">
        <v>255379.015625</v>
      </c>
      <c r="K85">
        <v>250512.3125</v>
      </c>
      <c r="L85">
        <v>6882.56884765625</v>
      </c>
      <c r="M85" t="b">
        <v>1</v>
      </c>
      <c r="N85">
        <v>1.1674169177275437</v>
      </c>
      <c r="O85" t="b">
        <v>1</v>
      </c>
      <c r="P85">
        <v>3</v>
      </c>
      <c r="Q85">
        <v>10</v>
      </c>
      <c r="R85">
        <v>84.664871215820312</v>
      </c>
      <c r="S85" t="s">
        <v>24</v>
      </c>
      <c r="T85" t="s">
        <v>24</v>
      </c>
      <c r="U85" t="s">
        <v>24</v>
      </c>
      <c r="V85" t="s">
        <v>29</v>
      </c>
      <c r="W85" t="s">
        <v>29</v>
      </c>
      <c r="X85" t="s">
        <v>29</v>
      </c>
      <c r="Y85" t="s">
        <v>29</v>
      </c>
    </row>
    <row r="86" spans="1:25">
      <c r="A86" t="s">
        <v>149</v>
      </c>
      <c r="B86" t="s">
        <v>148</v>
      </c>
      <c r="C86" t="s">
        <v>25</v>
      </c>
      <c r="D86" t="s">
        <v>33</v>
      </c>
      <c r="E86" t="s">
        <v>27</v>
      </c>
      <c r="F86" t="s">
        <v>28</v>
      </c>
      <c r="G86">
        <v>18.373462677001953</v>
      </c>
      <c r="H86">
        <v>18.340164184570312</v>
      </c>
      <c r="I86">
        <v>4.7091178596019745E-2</v>
      </c>
      <c r="J86">
        <v>245645.59375</v>
      </c>
      <c r="K86">
        <v>250512.3125</v>
      </c>
      <c r="L86">
        <v>6882.56884765625</v>
      </c>
      <c r="M86" t="b">
        <v>1</v>
      </c>
      <c r="N86">
        <v>1.1674169177275437</v>
      </c>
      <c r="O86" t="b">
        <v>1</v>
      </c>
      <c r="P86">
        <v>3</v>
      </c>
      <c r="Q86">
        <v>12</v>
      </c>
      <c r="R86">
        <v>84.480484008789062</v>
      </c>
      <c r="S86" t="s">
        <v>24</v>
      </c>
      <c r="T86" t="s">
        <v>24</v>
      </c>
      <c r="U86" t="s">
        <v>24</v>
      </c>
      <c r="V86" t="s">
        <v>29</v>
      </c>
      <c r="W86" t="s">
        <v>29</v>
      </c>
      <c r="X86" t="s">
        <v>29</v>
      </c>
      <c r="Y86" t="s">
        <v>29</v>
      </c>
    </row>
    <row r="87" spans="1:25">
      <c r="A87" t="s">
        <v>150</v>
      </c>
      <c r="B87" t="s">
        <v>24</v>
      </c>
      <c r="C87" t="s">
        <v>25</v>
      </c>
      <c r="D87" t="s">
        <v>151</v>
      </c>
      <c r="E87" t="s">
        <v>27</v>
      </c>
      <c r="F87" t="s">
        <v>28</v>
      </c>
      <c r="G87">
        <v>35.892242431640625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b">
        <v>1</v>
      </c>
      <c r="N87">
        <v>1.1674169177275437</v>
      </c>
      <c r="O87" t="b">
        <v>1</v>
      </c>
      <c r="P87">
        <v>3</v>
      </c>
      <c r="Q87">
        <v>27</v>
      </c>
      <c r="R87">
        <v>78.579994201660156</v>
      </c>
      <c r="S87" t="s">
        <v>24</v>
      </c>
      <c r="T87" t="s">
        <v>24</v>
      </c>
      <c r="U87" t="s">
        <v>24</v>
      </c>
      <c r="V87" t="s">
        <v>29</v>
      </c>
      <c r="W87" t="s">
        <v>29</v>
      </c>
      <c r="X87" t="s">
        <v>29</v>
      </c>
      <c r="Y87" t="s">
        <v>29</v>
      </c>
    </row>
    <row r="88" spans="1:25">
      <c r="A88" t="s">
        <v>152</v>
      </c>
      <c r="B88" t="s">
        <v>24</v>
      </c>
      <c r="C88" t="s">
        <v>25</v>
      </c>
      <c r="D88" t="s">
        <v>151</v>
      </c>
      <c r="E88" t="s">
        <v>27</v>
      </c>
      <c r="F88" t="s">
        <v>28</v>
      </c>
      <c r="G88">
        <v>34.949825286865234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b">
        <v>1</v>
      </c>
      <c r="N88">
        <v>1.1674169177275437</v>
      </c>
      <c r="O88" t="b">
        <v>1</v>
      </c>
      <c r="P88">
        <v>3</v>
      </c>
      <c r="Q88">
        <v>28</v>
      </c>
      <c r="R88">
        <v>79.501945495605469</v>
      </c>
      <c r="S88" t="s">
        <v>24</v>
      </c>
      <c r="T88" t="s">
        <v>24</v>
      </c>
      <c r="U88" t="s">
        <v>24</v>
      </c>
      <c r="V88" t="s">
        <v>114</v>
      </c>
      <c r="W88" t="s">
        <v>29</v>
      </c>
      <c r="X88" t="s">
        <v>29</v>
      </c>
      <c r="Y88" t="s">
        <v>29</v>
      </c>
    </row>
    <row r="89" spans="1:25">
      <c r="A89" t="s">
        <v>153</v>
      </c>
      <c r="B89" t="s">
        <v>154</v>
      </c>
      <c r="C89" t="s">
        <v>25</v>
      </c>
      <c r="D89" t="s">
        <v>33</v>
      </c>
      <c r="E89" t="s">
        <v>27</v>
      </c>
      <c r="F89" t="s">
        <v>28</v>
      </c>
      <c r="G89">
        <v>15.805647850036621</v>
      </c>
      <c r="H89">
        <v>15.711299896240234</v>
      </c>
      <c r="I89">
        <v>0.13342748582363129</v>
      </c>
      <c r="J89">
        <v>1099043</v>
      </c>
      <c r="K89">
        <v>1163003.125</v>
      </c>
      <c r="L89">
        <v>90453.2734375</v>
      </c>
      <c r="M89" t="b">
        <v>1</v>
      </c>
      <c r="N89">
        <v>1.1674169177275437</v>
      </c>
      <c r="O89" t="b">
        <v>1</v>
      </c>
      <c r="P89">
        <v>3</v>
      </c>
      <c r="Q89">
        <v>9</v>
      </c>
      <c r="R89">
        <v>84.480484008789062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  <c r="X89" t="s">
        <v>29</v>
      </c>
      <c r="Y89" t="s">
        <v>29</v>
      </c>
    </row>
    <row r="90" spans="1:25">
      <c r="A90" t="s">
        <v>155</v>
      </c>
      <c r="B90" t="s">
        <v>154</v>
      </c>
      <c r="C90" t="s">
        <v>25</v>
      </c>
      <c r="D90" t="s">
        <v>33</v>
      </c>
      <c r="E90" t="s">
        <v>27</v>
      </c>
      <c r="F90" t="s">
        <v>28</v>
      </c>
      <c r="G90">
        <v>15.616952896118164</v>
      </c>
      <c r="H90">
        <v>15.711299896240234</v>
      </c>
      <c r="I90">
        <v>0.13342748582363129</v>
      </c>
      <c r="J90">
        <v>1226963.25</v>
      </c>
      <c r="K90">
        <v>1163003.125</v>
      </c>
      <c r="L90">
        <v>90453.2734375</v>
      </c>
      <c r="M90" t="b">
        <v>1</v>
      </c>
      <c r="N90">
        <v>1.1674169177275437</v>
      </c>
      <c r="O90" t="b">
        <v>1</v>
      </c>
      <c r="P90">
        <v>3</v>
      </c>
      <c r="Q90">
        <v>6</v>
      </c>
      <c r="R90">
        <v>84.480484008789062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  <c r="X90" t="s">
        <v>29</v>
      </c>
      <c r="Y90" t="s">
        <v>29</v>
      </c>
    </row>
    <row r="91" spans="1:25">
      <c r="A91" t="s">
        <v>156</v>
      </c>
      <c r="B91" t="s">
        <v>157</v>
      </c>
      <c r="C91" t="s">
        <v>25</v>
      </c>
      <c r="D91" t="s">
        <v>33</v>
      </c>
      <c r="E91" t="s">
        <v>27</v>
      </c>
      <c r="F91" t="s">
        <v>28</v>
      </c>
      <c r="G91">
        <v>15.575680732727051</v>
      </c>
      <c r="H91">
        <v>15.568646430969238</v>
      </c>
      <c r="I91">
        <v>9.9480049684643745E-3</v>
      </c>
      <c r="J91">
        <v>1256869.75</v>
      </c>
      <c r="K91">
        <v>1262049.75</v>
      </c>
      <c r="L91">
        <v>7325.62646484375</v>
      </c>
      <c r="M91" t="b">
        <v>1</v>
      </c>
      <c r="N91">
        <v>1.1674169177275437</v>
      </c>
      <c r="O91" t="b">
        <v>1</v>
      </c>
      <c r="P91">
        <v>3</v>
      </c>
      <c r="Q91">
        <v>7</v>
      </c>
      <c r="R91">
        <v>84.480484008789062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  <c r="X91" t="s">
        <v>29</v>
      </c>
      <c r="Y91" t="s">
        <v>29</v>
      </c>
    </row>
    <row r="92" spans="1:25">
      <c r="A92" t="s">
        <v>158</v>
      </c>
      <c r="B92" t="s">
        <v>157</v>
      </c>
      <c r="C92" t="s">
        <v>25</v>
      </c>
      <c r="D92" t="s">
        <v>33</v>
      </c>
      <c r="E92" t="s">
        <v>27</v>
      </c>
      <c r="F92" t="s">
        <v>28</v>
      </c>
      <c r="G92">
        <v>15.561612129211426</v>
      </c>
      <c r="H92">
        <v>15.568646430969238</v>
      </c>
      <c r="I92">
        <v>9.9480049684643745E-3</v>
      </c>
      <c r="J92">
        <v>1267229.75</v>
      </c>
      <c r="K92">
        <v>1262049.75</v>
      </c>
      <c r="L92">
        <v>7325.62646484375</v>
      </c>
      <c r="M92" t="b">
        <v>1</v>
      </c>
      <c r="N92">
        <v>1.1674169177275437</v>
      </c>
      <c r="O92" t="b">
        <v>1</v>
      </c>
      <c r="P92">
        <v>3</v>
      </c>
      <c r="Q92">
        <v>7</v>
      </c>
      <c r="R92">
        <v>84.480484008789062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  <c r="X92" t="s">
        <v>29</v>
      </c>
      <c r="Y92" t="s">
        <v>29</v>
      </c>
    </row>
    <row r="93" spans="1:25">
      <c r="A93" t="s">
        <v>159</v>
      </c>
      <c r="B93" t="s">
        <v>90</v>
      </c>
      <c r="C93" t="s">
        <v>25</v>
      </c>
      <c r="D93" t="s">
        <v>33</v>
      </c>
      <c r="E93" t="s">
        <v>27</v>
      </c>
      <c r="F93" t="s">
        <v>28</v>
      </c>
      <c r="G93">
        <v>15.31586742401123</v>
      </c>
      <c r="H93">
        <v>15.298687934875488</v>
      </c>
      <c r="I93">
        <v>2.4295466020703316E-2</v>
      </c>
      <c r="J93">
        <v>1462612</v>
      </c>
      <c r="K93">
        <v>1477421.375</v>
      </c>
      <c r="L93">
        <v>20943.619140625</v>
      </c>
      <c r="M93" t="b">
        <v>1</v>
      </c>
      <c r="N93">
        <v>1.1674169177275437</v>
      </c>
      <c r="O93" t="b">
        <v>1</v>
      </c>
      <c r="P93">
        <v>3</v>
      </c>
      <c r="Q93">
        <v>8</v>
      </c>
      <c r="R93">
        <v>84.849266052246094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  <c r="X93" t="s">
        <v>29</v>
      </c>
      <c r="Y93" t="s">
        <v>29</v>
      </c>
    </row>
    <row r="94" spans="1:25">
      <c r="A94" t="s">
        <v>161</v>
      </c>
      <c r="B94" t="s">
        <v>90</v>
      </c>
      <c r="C94" t="s">
        <v>25</v>
      </c>
      <c r="D94" t="s">
        <v>33</v>
      </c>
      <c r="E94" t="s">
        <v>27</v>
      </c>
      <c r="F94" t="s">
        <v>28</v>
      </c>
      <c r="G94">
        <v>15.281508445739746</v>
      </c>
      <c r="H94">
        <v>15.298687934875488</v>
      </c>
      <c r="I94">
        <v>2.4295466020703316E-2</v>
      </c>
      <c r="J94">
        <v>1492230.75</v>
      </c>
      <c r="K94">
        <v>1477421.375</v>
      </c>
      <c r="L94">
        <v>20943.619140625</v>
      </c>
      <c r="M94" t="b">
        <v>1</v>
      </c>
      <c r="N94">
        <v>1.1674169177275437</v>
      </c>
      <c r="O94" t="b">
        <v>1</v>
      </c>
      <c r="P94">
        <v>3</v>
      </c>
      <c r="Q94">
        <v>8</v>
      </c>
      <c r="R94">
        <v>84.849266052246094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  <c r="X94" t="s">
        <v>29</v>
      </c>
      <c r="Y94" t="s">
        <v>29</v>
      </c>
    </row>
    <row r="95" spans="1:25">
      <c r="A95" t="s">
        <v>162</v>
      </c>
      <c r="B95" t="s">
        <v>163</v>
      </c>
      <c r="C95" t="s">
        <v>25</v>
      </c>
      <c r="D95" t="s">
        <v>33</v>
      </c>
      <c r="E95" t="s">
        <v>27</v>
      </c>
      <c r="F95" t="s">
        <v>28</v>
      </c>
      <c r="G95">
        <v>15.4246826171875</v>
      </c>
      <c r="H95">
        <v>15.202754974365234</v>
      </c>
      <c r="I95">
        <v>0.31385239958763123</v>
      </c>
      <c r="J95">
        <v>1372633</v>
      </c>
      <c r="K95">
        <v>1575519.375</v>
      </c>
      <c r="L95">
        <v>286924.65625</v>
      </c>
      <c r="M95" t="b">
        <v>1</v>
      </c>
      <c r="N95">
        <v>1.1674169177275437</v>
      </c>
      <c r="O95" t="b">
        <v>1</v>
      </c>
      <c r="P95">
        <v>3</v>
      </c>
      <c r="Q95">
        <v>9</v>
      </c>
      <c r="R95">
        <v>84.664871215820312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  <c r="X95" t="s">
        <v>29</v>
      </c>
      <c r="Y95" t="s">
        <v>29</v>
      </c>
    </row>
    <row r="96" spans="1:25">
      <c r="A96" t="s">
        <v>164</v>
      </c>
      <c r="B96" t="s">
        <v>163</v>
      </c>
      <c r="C96" t="s">
        <v>25</v>
      </c>
      <c r="D96" t="s">
        <v>33</v>
      </c>
      <c r="E96" t="s">
        <v>27</v>
      </c>
      <c r="F96" t="s">
        <v>28</v>
      </c>
      <c r="G96">
        <v>14.980828285217285</v>
      </c>
      <c r="H96">
        <v>15.202754974365234</v>
      </c>
      <c r="I96">
        <v>0.31385239958763123</v>
      </c>
      <c r="J96">
        <v>1778405.75</v>
      </c>
      <c r="K96">
        <v>1575519.375</v>
      </c>
      <c r="L96">
        <v>286924.65625</v>
      </c>
      <c r="M96" t="b">
        <v>1</v>
      </c>
      <c r="N96">
        <v>1.1674169177275437</v>
      </c>
      <c r="O96" t="b">
        <v>1</v>
      </c>
      <c r="P96">
        <v>3</v>
      </c>
      <c r="Q96">
        <v>7</v>
      </c>
      <c r="R96">
        <v>84.664871215820312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  <c r="X96" t="s">
        <v>29</v>
      </c>
      <c r="Y96" t="s">
        <v>29</v>
      </c>
    </row>
    <row r="97" spans="1:25">
      <c r="A97" t="s">
        <v>165</v>
      </c>
      <c r="B97" t="s">
        <v>166</v>
      </c>
      <c r="C97" t="s">
        <v>25</v>
      </c>
      <c r="D97" t="s">
        <v>33</v>
      </c>
      <c r="E97" t="s">
        <v>27</v>
      </c>
      <c r="F97" t="s">
        <v>28</v>
      </c>
      <c r="G97">
        <v>18.960411071777344</v>
      </c>
      <c r="H97">
        <v>18.864719390869141</v>
      </c>
      <c r="I97">
        <v>0.13532713055610657</v>
      </c>
      <c r="J97">
        <v>174410</v>
      </c>
      <c r="K97">
        <v>184712.71875</v>
      </c>
      <c r="L97">
        <v>14570.255859375</v>
      </c>
      <c r="M97" t="b">
        <v>1</v>
      </c>
      <c r="N97">
        <v>1.1674169177275437</v>
      </c>
      <c r="O97" t="b">
        <v>1</v>
      </c>
      <c r="P97">
        <v>3</v>
      </c>
      <c r="Q97">
        <v>11</v>
      </c>
      <c r="R97">
        <v>84.480484008789062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  <c r="X97" t="s">
        <v>29</v>
      </c>
      <c r="Y97" t="s">
        <v>29</v>
      </c>
    </row>
    <row r="98" spans="1:25">
      <c r="A98" t="s">
        <v>167</v>
      </c>
      <c r="B98" t="s">
        <v>166</v>
      </c>
      <c r="C98" t="s">
        <v>25</v>
      </c>
      <c r="D98" t="s">
        <v>33</v>
      </c>
      <c r="E98" t="s">
        <v>27</v>
      </c>
      <c r="F98" t="s">
        <v>28</v>
      </c>
      <c r="G98">
        <v>18.76902961730957</v>
      </c>
      <c r="H98">
        <v>18.864719390869141</v>
      </c>
      <c r="I98">
        <v>0.13532713055610657</v>
      </c>
      <c r="J98">
        <v>195015.453125</v>
      </c>
      <c r="K98">
        <v>184712.71875</v>
      </c>
      <c r="L98">
        <v>14570.255859375</v>
      </c>
      <c r="M98" t="b">
        <v>1</v>
      </c>
      <c r="N98">
        <v>1.1674169177275437</v>
      </c>
      <c r="O98" t="b">
        <v>1</v>
      </c>
      <c r="P98">
        <v>3</v>
      </c>
      <c r="Q98">
        <v>11</v>
      </c>
      <c r="R98">
        <v>84.480484008789062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  <c r="X98" t="s">
        <v>29</v>
      </c>
      <c r="Y98" t="s">
        <v>29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8"/>
  <sheetViews>
    <sheetView workbookViewId="0">
      <selection activeCell="A3" sqref="A3:K98"/>
    </sheetView>
  </sheetViews>
  <sheetFormatPr baseColWidth="10" defaultRowHeight="15"/>
  <sheetData>
    <row r="1" spans="1:23">
      <c r="A1" t="s">
        <v>222</v>
      </c>
      <c r="B1" t="s">
        <v>224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169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9.3497400283813477</v>
      </c>
      <c r="H3">
        <v>9.2795124053955078</v>
      </c>
      <c r="I3">
        <v>9.9316857755184174E-2</v>
      </c>
      <c r="J3">
        <v>50000000</v>
      </c>
      <c r="K3" t="s">
        <v>24</v>
      </c>
      <c r="L3" t="s">
        <v>24</v>
      </c>
      <c r="M3" t="b">
        <v>1</v>
      </c>
      <c r="N3">
        <v>1.6266642841925987</v>
      </c>
      <c r="O3" t="b">
        <v>1</v>
      </c>
      <c r="P3">
        <v>1</v>
      </c>
      <c r="Q3">
        <v>2</v>
      </c>
      <c r="R3">
        <v>84.701972961425781</v>
      </c>
      <c r="S3" t="s">
        <v>24</v>
      </c>
      <c r="T3" t="s">
        <v>24</v>
      </c>
      <c r="U3" t="s">
        <v>24</v>
      </c>
      <c r="V3" t="s">
        <v>29</v>
      </c>
      <c r="W3" t="s">
        <v>29</v>
      </c>
    </row>
    <row r="4" spans="1:23">
      <c r="A4" t="s">
        <v>30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9.209284782409668</v>
      </c>
      <c r="H4">
        <v>9.2795124053955078</v>
      </c>
      <c r="I4">
        <v>9.9316857755184174E-2</v>
      </c>
      <c r="J4">
        <v>50000000</v>
      </c>
      <c r="K4" t="s">
        <v>24</v>
      </c>
      <c r="L4" t="s">
        <v>24</v>
      </c>
      <c r="M4" t="b">
        <v>1</v>
      </c>
      <c r="N4">
        <v>1.6266642841925987</v>
      </c>
      <c r="O4" t="b">
        <v>1</v>
      </c>
      <c r="P4">
        <v>1</v>
      </c>
      <c r="Q4">
        <v>2</v>
      </c>
      <c r="R4">
        <v>84.893600463867188</v>
      </c>
      <c r="S4" t="s">
        <v>24</v>
      </c>
      <c r="T4" t="s">
        <v>24</v>
      </c>
      <c r="U4" t="s">
        <v>24</v>
      </c>
      <c r="V4" t="s">
        <v>29</v>
      </c>
      <c r="W4" t="s">
        <v>29</v>
      </c>
    </row>
    <row r="5" spans="1:23">
      <c r="A5" t="s">
        <v>31</v>
      </c>
      <c r="B5" t="s">
        <v>32</v>
      </c>
      <c r="C5" t="s">
        <v>25</v>
      </c>
      <c r="D5" t="s">
        <v>33</v>
      </c>
      <c r="E5" t="s">
        <v>27</v>
      </c>
      <c r="F5" t="s">
        <v>28</v>
      </c>
      <c r="G5">
        <v>15.355157852172852</v>
      </c>
      <c r="H5">
        <v>15.351474761962891</v>
      </c>
      <c r="I5">
        <v>5.2080019377171993E-3</v>
      </c>
      <c r="J5">
        <v>1838274.25</v>
      </c>
      <c r="K5">
        <v>1842212</v>
      </c>
      <c r="L5">
        <v>5568.73095703125</v>
      </c>
      <c r="M5" t="b">
        <v>1</v>
      </c>
      <c r="N5">
        <v>1.6266642841925987</v>
      </c>
      <c r="O5" t="b">
        <v>1</v>
      </c>
      <c r="P5">
        <v>3</v>
      </c>
      <c r="Q5">
        <v>8</v>
      </c>
      <c r="R5">
        <v>85.085220336914062</v>
      </c>
      <c r="S5" t="s">
        <v>24</v>
      </c>
      <c r="T5" t="s">
        <v>24</v>
      </c>
      <c r="U5" t="s">
        <v>24</v>
      </c>
      <c r="V5" t="s">
        <v>29</v>
      </c>
      <c r="W5" t="s">
        <v>29</v>
      </c>
    </row>
    <row r="6" spans="1:23">
      <c r="A6" t="s">
        <v>34</v>
      </c>
      <c r="B6" t="s">
        <v>32</v>
      </c>
      <c r="C6" t="s">
        <v>25</v>
      </c>
      <c r="D6" t="s">
        <v>33</v>
      </c>
      <c r="E6" t="s">
        <v>27</v>
      </c>
      <c r="F6" t="s">
        <v>28</v>
      </c>
      <c r="G6">
        <v>15.347792625427246</v>
      </c>
      <c r="H6">
        <v>15.351474761962891</v>
      </c>
      <c r="I6">
        <v>5.2080019377171993E-3</v>
      </c>
      <c r="J6">
        <v>1846149.625</v>
      </c>
      <c r="K6">
        <v>1842212</v>
      </c>
      <c r="L6">
        <v>5568.73095703125</v>
      </c>
      <c r="M6" t="b">
        <v>1</v>
      </c>
      <c r="N6">
        <v>1.6266642841925987</v>
      </c>
      <c r="O6" t="b">
        <v>1</v>
      </c>
      <c r="P6">
        <v>3</v>
      </c>
      <c r="Q6">
        <v>8</v>
      </c>
      <c r="R6">
        <v>84.893600463867188</v>
      </c>
      <c r="S6" t="s">
        <v>24</v>
      </c>
      <c r="T6" t="s">
        <v>24</v>
      </c>
      <c r="U6" t="s">
        <v>24</v>
      </c>
      <c r="V6" t="s">
        <v>29</v>
      </c>
      <c r="W6" t="s">
        <v>29</v>
      </c>
    </row>
    <row r="7" spans="1:23">
      <c r="A7" t="s">
        <v>35</v>
      </c>
      <c r="B7" t="s">
        <v>36</v>
      </c>
      <c r="C7" t="s">
        <v>25</v>
      </c>
      <c r="D7" t="s">
        <v>33</v>
      </c>
      <c r="E7" t="s">
        <v>27</v>
      </c>
      <c r="F7" t="s">
        <v>28</v>
      </c>
      <c r="G7">
        <v>35.238773345947266</v>
      </c>
      <c r="H7">
        <v>34.151191711425781</v>
      </c>
      <c r="I7">
        <v>1.5380699634552002</v>
      </c>
      <c r="J7">
        <v>17.876466751098633</v>
      </c>
      <c r="K7">
        <v>40.528354644775391</v>
      </c>
      <c r="L7">
        <v>32.03460693359375</v>
      </c>
      <c r="M7" t="b">
        <v>1</v>
      </c>
      <c r="N7">
        <v>1.6266642841925987</v>
      </c>
      <c r="O7" t="b">
        <v>1</v>
      </c>
      <c r="P7">
        <v>3</v>
      </c>
      <c r="Q7">
        <v>29</v>
      </c>
      <c r="R7">
        <v>79.911331176757812</v>
      </c>
      <c r="S7" t="s">
        <v>24</v>
      </c>
      <c r="T7" t="s">
        <v>24</v>
      </c>
      <c r="U7" t="s">
        <v>24</v>
      </c>
      <c r="V7" t="s">
        <v>29</v>
      </c>
      <c r="W7" t="s">
        <v>114</v>
      </c>
    </row>
    <row r="8" spans="1:23">
      <c r="A8" t="s">
        <v>37</v>
      </c>
      <c r="B8" t="s">
        <v>36</v>
      </c>
      <c r="C8" t="s">
        <v>25</v>
      </c>
      <c r="D8" t="s">
        <v>33</v>
      </c>
      <c r="E8" t="s">
        <v>27</v>
      </c>
      <c r="F8" t="s">
        <v>28</v>
      </c>
      <c r="G8">
        <v>33.063613891601562</v>
      </c>
      <c r="H8">
        <v>34.151191711425781</v>
      </c>
      <c r="I8">
        <v>1.5380699634552002</v>
      </c>
      <c r="J8">
        <v>63.180244445800781</v>
      </c>
      <c r="K8">
        <v>40.528354644775391</v>
      </c>
      <c r="L8">
        <v>32.03460693359375</v>
      </c>
      <c r="M8" t="b">
        <v>1</v>
      </c>
      <c r="N8">
        <v>1.6266642841925987</v>
      </c>
      <c r="O8" t="b">
        <v>1</v>
      </c>
      <c r="P8">
        <v>3</v>
      </c>
      <c r="Q8">
        <v>23</v>
      </c>
      <c r="R8">
        <v>84.3187255859375</v>
      </c>
      <c r="S8" t="s">
        <v>24</v>
      </c>
      <c r="T8" t="s">
        <v>24</v>
      </c>
      <c r="U8" t="s">
        <v>24</v>
      </c>
      <c r="V8" t="s">
        <v>29</v>
      </c>
      <c r="W8" t="s">
        <v>114</v>
      </c>
    </row>
    <row r="9" spans="1:23">
      <c r="A9" t="s">
        <v>38</v>
      </c>
      <c r="B9" t="s">
        <v>39</v>
      </c>
      <c r="C9" t="s">
        <v>25</v>
      </c>
      <c r="D9" t="s">
        <v>33</v>
      </c>
      <c r="E9" t="s">
        <v>27</v>
      </c>
      <c r="F9" t="s">
        <v>28</v>
      </c>
      <c r="G9">
        <v>17.709386825561523</v>
      </c>
      <c r="H9">
        <v>17.901359558105469</v>
      </c>
      <c r="I9">
        <v>0.27148908376693726</v>
      </c>
      <c r="J9">
        <v>468783.1875</v>
      </c>
      <c r="K9">
        <v>421960.1875</v>
      </c>
      <c r="L9">
        <v>66217.71875</v>
      </c>
      <c r="M9" t="b">
        <v>1</v>
      </c>
      <c r="N9">
        <v>1.6266642841925987</v>
      </c>
      <c r="O9" t="b">
        <v>1</v>
      </c>
      <c r="P9">
        <v>3</v>
      </c>
      <c r="Q9">
        <v>10</v>
      </c>
      <c r="R9">
        <v>84.893600463867188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</row>
    <row r="10" spans="1:23">
      <c r="A10" t="s">
        <v>40</v>
      </c>
      <c r="B10" t="s">
        <v>39</v>
      </c>
      <c r="C10" t="s">
        <v>25</v>
      </c>
      <c r="D10" t="s">
        <v>33</v>
      </c>
      <c r="E10" t="s">
        <v>27</v>
      </c>
      <c r="F10" t="s">
        <v>28</v>
      </c>
      <c r="G10">
        <v>18.093330383300781</v>
      </c>
      <c r="H10">
        <v>17.901359558105469</v>
      </c>
      <c r="I10">
        <v>0.27148908376693726</v>
      </c>
      <c r="J10">
        <v>375137.1875</v>
      </c>
      <c r="K10">
        <v>421960.1875</v>
      </c>
      <c r="L10">
        <v>66217.71875</v>
      </c>
      <c r="M10" t="b">
        <v>1</v>
      </c>
      <c r="N10">
        <v>1.6266642841925987</v>
      </c>
      <c r="O10" t="b">
        <v>1</v>
      </c>
      <c r="P10">
        <v>3</v>
      </c>
      <c r="Q10">
        <v>9</v>
      </c>
      <c r="R10">
        <v>84.701972961425781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</row>
    <row r="11" spans="1:23">
      <c r="A11" t="s">
        <v>41</v>
      </c>
      <c r="B11" t="s">
        <v>42</v>
      </c>
      <c r="C11" t="s">
        <v>25</v>
      </c>
      <c r="D11" t="s">
        <v>33</v>
      </c>
      <c r="E11" t="s">
        <v>27</v>
      </c>
      <c r="F11" t="s">
        <v>28</v>
      </c>
      <c r="G11">
        <v>19.870803833007812</v>
      </c>
      <c r="H11">
        <v>20.260494232177734</v>
      </c>
      <c r="I11">
        <v>0.55110681056976318</v>
      </c>
      <c r="J11">
        <v>133701.578125</v>
      </c>
      <c r="K11">
        <v>109375.8515625</v>
      </c>
      <c r="L11">
        <v>34401.7734375</v>
      </c>
      <c r="M11" t="b">
        <v>1</v>
      </c>
      <c r="N11">
        <v>1.6266642841925987</v>
      </c>
      <c r="O11" t="b">
        <v>1</v>
      </c>
      <c r="P11">
        <v>3</v>
      </c>
      <c r="Q11">
        <v>10</v>
      </c>
      <c r="R11">
        <v>83.935470581054688</v>
      </c>
      <c r="S11" t="s">
        <v>24</v>
      </c>
      <c r="T11" t="s">
        <v>24</v>
      </c>
      <c r="U11" t="s">
        <v>24</v>
      </c>
      <c r="V11" t="s">
        <v>29</v>
      </c>
      <c r="W11" t="s">
        <v>114</v>
      </c>
    </row>
    <row r="12" spans="1:23">
      <c r="A12" t="s">
        <v>43</v>
      </c>
      <c r="B12" t="s">
        <v>42</v>
      </c>
      <c r="C12" t="s">
        <v>25</v>
      </c>
      <c r="D12" t="s">
        <v>33</v>
      </c>
      <c r="E12" t="s">
        <v>27</v>
      </c>
      <c r="F12" t="s">
        <v>28</v>
      </c>
      <c r="G12">
        <v>20.650186538696289</v>
      </c>
      <c r="H12">
        <v>20.260494232177734</v>
      </c>
      <c r="I12">
        <v>0.55110681056976318</v>
      </c>
      <c r="J12">
        <v>85050.125</v>
      </c>
      <c r="K12">
        <v>109375.8515625</v>
      </c>
      <c r="L12">
        <v>34401.7734375</v>
      </c>
      <c r="M12" t="b">
        <v>1</v>
      </c>
      <c r="N12">
        <v>1.6266642841925987</v>
      </c>
      <c r="O12" t="b">
        <v>1</v>
      </c>
      <c r="P12">
        <v>3</v>
      </c>
      <c r="Q12">
        <v>12</v>
      </c>
      <c r="R12">
        <v>83.743843078613281</v>
      </c>
      <c r="S12" t="s">
        <v>24</v>
      </c>
      <c r="T12" t="s">
        <v>24</v>
      </c>
      <c r="U12" t="s">
        <v>24</v>
      </c>
      <c r="V12" t="s">
        <v>29</v>
      </c>
      <c r="W12" t="s">
        <v>114</v>
      </c>
    </row>
    <row r="13" spans="1:23">
      <c r="A13" t="s">
        <v>44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</row>
    <row r="14" spans="1:23">
      <c r="A14" t="s">
        <v>46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</row>
    <row r="15" spans="1:23">
      <c r="A15" t="s">
        <v>47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13.959650993347168</v>
      </c>
      <c r="H15">
        <v>13.941020965576172</v>
      </c>
      <c r="I15">
        <v>2.6346838101744652E-2</v>
      </c>
      <c r="J15">
        <v>5000000</v>
      </c>
      <c r="K15" t="s">
        <v>24</v>
      </c>
      <c r="L15" t="s">
        <v>24</v>
      </c>
      <c r="M15" t="b">
        <v>1</v>
      </c>
      <c r="N15">
        <v>1.6266642841925987</v>
      </c>
      <c r="O15" t="b">
        <v>1</v>
      </c>
      <c r="P15">
        <v>3</v>
      </c>
      <c r="Q15">
        <v>6</v>
      </c>
      <c r="R15">
        <v>84.893600463867188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</row>
    <row r="16" spans="1:23">
      <c r="A16" t="s">
        <v>48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13.922390937805176</v>
      </c>
      <c r="H16">
        <v>13.941020965576172</v>
      </c>
      <c r="I16">
        <v>2.6346838101744652E-2</v>
      </c>
      <c r="J16">
        <v>5000000</v>
      </c>
      <c r="K16" t="s">
        <v>24</v>
      </c>
      <c r="L16" t="s">
        <v>24</v>
      </c>
      <c r="M16" t="b">
        <v>1</v>
      </c>
      <c r="N16">
        <v>1.6266642841925987</v>
      </c>
      <c r="O16" t="b">
        <v>1</v>
      </c>
      <c r="P16">
        <v>3</v>
      </c>
      <c r="Q16">
        <v>6</v>
      </c>
      <c r="R16">
        <v>85.085220336914062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</row>
    <row r="17" spans="1:23">
      <c r="A17" t="s">
        <v>49</v>
      </c>
      <c r="B17" t="s">
        <v>50</v>
      </c>
      <c r="C17" t="s">
        <v>25</v>
      </c>
      <c r="D17" t="s">
        <v>33</v>
      </c>
      <c r="E17" t="s">
        <v>27</v>
      </c>
      <c r="F17" t="s">
        <v>28</v>
      </c>
      <c r="G17">
        <v>16.799016952514648</v>
      </c>
      <c r="H17">
        <v>16.946094512939453</v>
      </c>
      <c r="I17">
        <v>0.20799773931503296</v>
      </c>
      <c r="J17">
        <v>795155.3125</v>
      </c>
      <c r="K17">
        <v>732754.375</v>
      </c>
      <c r="L17">
        <v>88248.296875</v>
      </c>
      <c r="M17" t="b">
        <v>1</v>
      </c>
      <c r="N17">
        <v>1.6266642841925987</v>
      </c>
      <c r="O17" t="b">
        <v>1</v>
      </c>
      <c r="P17">
        <v>3</v>
      </c>
      <c r="Q17">
        <v>9</v>
      </c>
      <c r="R17">
        <v>85.276847839355469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</row>
    <row r="18" spans="1:23">
      <c r="A18" t="s">
        <v>51</v>
      </c>
      <c r="B18" t="s">
        <v>50</v>
      </c>
      <c r="C18" t="s">
        <v>25</v>
      </c>
      <c r="D18" t="s">
        <v>33</v>
      </c>
      <c r="E18" t="s">
        <v>27</v>
      </c>
      <c r="F18" t="s">
        <v>28</v>
      </c>
      <c r="G18">
        <v>17.093170166015625</v>
      </c>
      <c r="H18">
        <v>16.946094512939453</v>
      </c>
      <c r="I18">
        <v>0.20799773931503296</v>
      </c>
      <c r="J18">
        <v>670353.375</v>
      </c>
      <c r="K18">
        <v>732754.375</v>
      </c>
      <c r="L18">
        <v>88248.296875</v>
      </c>
      <c r="M18" t="b">
        <v>1</v>
      </c>
      <c r="N18">
        <v>1.6266642841925987</v>
      </c>
      <c r="O18" t="b">
        <v>1</v>
      </c>
      <c r="P18">
        <v>3</v>
      </c>
      <c r="Q18">
        <v>7</v>
      </c>
      <c r="R18">
        <v>85.276847839355469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</row>
    <row r="19" spans="1:23">
      <c r="A19" t="s">
        <v>52</v>
      </c>
      <c r="B19" t="s">
        <v>53</v>
      </c>
      <c r="C19" t="s">
        <v>25</v>
      </c>
      <c r="D19" t="s">
        <v>33</v>
      </c>
      <c r="E19" t="s">
        <v>27</v>
      </c>
      <c r="F19" t="s">
        <v>28</v>
      </c>
      <c r="G19">
        <v>17.648227691650391</v>
      </c>
      <c r="H19">
        <v>17.568426132202148</v>
      </c>
      <c r="I19">
        <v>0.11285644769668579</v>
      </c>
      <c r="J19">
        <v>485722.9375</v>
      </c>
      <c r="K19">
        <v>509295.875</v>
      </c>
      <c r="L19">
        <v>33337.16796875</v>
      </c>
      <c r="M19" t="b">
        <v>1</v>
      </c>
      <c r="N19">
        <v>1.6266642841925987</v>
      </c>
      <c r="O19" t="b">
        <v>1</v>
      </c>
      <c r="P19">
        <v>3</v>
      </c>
      <c r="Q19">
        <v>8</v>
      </c>
      <c r="R19">
        <v>85.276847839355469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</row>
    <row r="20" spans="1:23">
      <c r="A20" t="s">
        <v>54</v>
      </c>
      <c r="B20" t="s">
        <v>53</v>
      </c>
      <c r="C20" t="s">
        <v>25</v>
      </c>
      <c r="D20" t="s">
        <v>33</v>
      </c>
      <c r="E20" t="s">
        <v>27</v>
      </c>
      <c r="F20" t="s">
        <v>28</v>
      </c>
      <c r="G20">
        <v>17.488624572753906</v>
      </c>
      <c r="H20">
        <v>17.568426132202148</v>
      </c>
      <c r="I20">
        <v>0.11285644769668579</v>
      </c>
      <c r="J20">
        <v>532868.8125</v>
      </c>
      <c r="K20">
        <v>509295.875</v>
      </c>
      <c r="L20">
        <v>33337.16796875</v>
      </c>
      <c r="M20" t="b">
        <v>1</v>
      </c>
      <c r="N20">
        <v>1.6266642841925987</v>
      </c>
      <c r="O20" t="b">
        <v>1</v>
      </c>
      <c r="P20">
        <v>3</v>
      </c>
      <c r="Q20">
        <v>9</v>
      </c>
      <c r="R20">
        <v>85.085220336914062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</row>
    <row r="21" spans="1:23">
      <c r="A21" t="s">
        <v>55</v>
      </c>
      <c r="B21" t="s">
        <v>56</v>
      </c>
      <c r="C21" t="s">
        <v>25</v>
      </c>
      <c r="D21" t="s">
        <v>33</v>
      </c>
      <c r="E21" t="s">
        <v>27</v>
      </c>
      <c r="F21" t="s">
        <v>28</v>
      </c>
      <c r="G21">
        <v>18.286046981811523</v>
      </c>
      <c r="H21">
        <v>18.567291259765625</v>
      </c>
      <c r="I21">
        <v>0.39773812890052795</v>
      </c>
      <c r="J21">
        <v>335437.34375</v>
      </c>
      <c r="K21">
        <v>288720.9375</v>
      </c>
      <c r="L21">
        <v>66066.953125</v>
      </c>
      <c r="M21" t="b">
        <v>1</v>
      </c>
      <c r="N21">
        <v>1.6266642841925987</v>
      </c>
      <c r="O21" t="b">
        <v>1</v>
      </c>
      <c r="P21">
        <v>3</v>
      </c>
      <c r="Q21">
        <v>9</v>
      </c>
      <c r="R21">
        <v>85.085220336914062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</row>
    <row r="22" spans="1:23">
      <c r="A22" t="s">
        <v>57</v>
      </c>
      <c r="B22" t="s">
        <v>56</v>
      </c>
      <c r="C22" t="s">
        <v>25</v>
      </c>
      <c r="D22" t="s">
        <v>33</v>
      </c>
      <c r="E22" t="s">
        <v>27</v>
      </c>
      <c r="F22" t="s">
        <v>28</v>
      </c>
      <c r="G22">
        <v>18.848533630371094</v>
      </c>
      <c r="H22">
        <v>18.567291259765625</v>
      </c>
      <c r="I22">
        <v>0.39773812890052795</v>
      </c>
      <c r="J22">
        <v>242004.5625</v>
      </c>
      <c r="K22">
        <v>288720.9375</v>
      </c>
      <c r="L22">
        <v>66066.953125</v>
      </c>
      <c r="M22" t="b">
        <v>1</v>
      </c>
      <c r="N22">
        <v>1.6266642841925987</v>
      </c>
      <c r="O22" t="b">
        <v>1</v>
      </c>
      <c r="P22">
        <v>3</v>
      </c>
      <c r="Q22">
        <v>8</v>
      </c>
      <c r="R22">
        <v>84.701972961425781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</row>
    <row r="23" spans="1:23">
      <c r="A23" t="s">
        <v>58</v>
      </c>
      <c r="B23" t="s">
        <v>59</v>
      </c>
      <c r="C23" t="s">
        <v>25</v>
      </c>
      <c r="D23" t="s">
        <v>33</v>
      </c>
      <c r="E23" t="s">
        <v>27</v>
      </c>
      <c r="F23" t="s">
        <v>28</v>
      </c>
      <c r="G23">
        <v>19.840950012207031</v>
      </c>
      <c r="H23">
        <v>20.113552093505859</v>
      </c>
      <c r="I23">
        <v>0.38551890850067139</v>
      </c>
      <c r="J23">
        <v>136038.515625</v>
      </c>
      <c r="K23">
        <v>117587.09375</v>
      </c>
      <c r="L23">
        <v>26094.251953125</v>
      </c>
      <c r="M23" t="b">
        <v>1</v>
      </c>
      <c r="N23">
        <v>1.6266642841925987</v>
      </c>
      <c r="O23" t="b">
        <v>1</v>
      </c>
      <c r="P23">
        <v>3</v>
      </c>
      <c r="Q23">
        <v>12</v>
      </c>
      <c r="R23">
        <v>84.127090454101562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</row>
    <row r="24" spans="1:23">
      <c r="A24" t="s">
        <v>60</v>
      </c>
      <c r="B24" t="s">
        <v>59</v>
      </c>
      <c r="C24" t="s">
        <v>25</v>
      </c>
      <c r="D24" t="s">
        <v>33</v>
      </c>
      <c r="E24" t="s">
        <v>27</v>
      </c>
      <c r="F24" t="s">
        <v>28</v>
      </c>
      <c r="G24">
        <v>20.38615608215332</v>
      </c>
      <c r="H24">
        <v>20.113552093505859</v>
      </c>
      <c r="I24">
        <v>0.38551890850067139</v>
      </c>
      <c r="J24">
        <v>99135.671875</v>
      </c>
      <c r="K24">
        <v>117587.09375</v>
      </c>
      <c r="L24">
        <v>26094.251953125</v>
      </c>
      <c r="M24" t="b">
        <v>1</v>
      </c>
      <c r="N24">
        <v>1.6266642841925987</v>
      </c>
      <c r="O24" t="b">
        <v>1</v>
      </c>
      <c r="P24">
        <v>3</v>
      </c>
      <c r="Q24">
        <v>11</v>
      </c>
      <c r="R24">
        <v>83.935470581054688</v>
      </c>
      <c r="S24" t="s">
        <v>24</v>
      </c>
      <c r="T24" t="s">
        <v>24</v>
      </c>
      <c r="U24" t="s">
        <v>24</v>
      </c>
      <c r="V24" t="s">
        <v>29</v>
      </c>
      <c r="W24" t="s">
        <v>29</v>
      </c>
    </row>
    <row r="25" spans="1:23">
      <c r="A25" t="s">
        <v>61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</row>
    <row r="26" spans="1:23">
      <c r="A26" t="s">
        <v>63</v>
      </c>
      <c r="B26" t="s">
        <v>24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</row>
    <row r="27" spans="1:23">
      <c r="A27" t="s">
        <v>64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>
        <v>17.930383682250977</v>
      </c>
      <c r="H27">
        <v>17.830345153808594</v>
      </c>
      <c r="I27">
        <v>0.14147450029850006</v>
      </c>
      <c r="J27">
        <v>500000</v>
      </c>
      <c r="K27" t="s">
        <v>24</v>
      </c>
      <c r="L27" t="s">
        <v>24</v>
      </c>
      <c r="M27" t="b">
        <v>1</v>
      </c>
      <c r="N27">
        <v>1.6266642841925987</v>
      </c>
      <c r="O27" t="b">
        <v>1</v>
      </c>
      <c r="P27">
        <v>3</v>
      </c>
      <c r="Q27">
        <v>12</v>
      </c>
      <c r="R27">
        <v>85.085220336914062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</row>
    <row r="28" spans="1:23">
      <c r="A28" t="s">
        <v>65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>
        <v>17.730308532714844</v>
      </c>
      <c r="H28">
        <v>17.830345153808594</v>
      </c>
      <c r="I28">
        <v>0.14147450029850006</v>
      </c>
      <c r="J28">
        <v>500000</v>
      </c>
      <c r="K28" t="s">
        <v>24</v>
      </c>
      <c r="L28" t="s">
        <v>24</v>
      </c>
      <c r="M28" t="b">
        <v>1</v>
      </c>
      <c r="N28">
        <v>1.6266642841925987</v>
      </c>
      <c r="O28" t="b">
        <v>1</v>
      </c>
      <c r="P28">
        <v>3</v>
      </c>
      <c r="Q28">
        <v>11</v>
      </c>
      <c r="R28">
        <v>85.276847839355469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</row>
    <row r="29" spans="1:23">
      <c r="A29" t="s">
        <v>66</v>
      </c>
      <c r="B29" t="s">
        <v>67</v>
      </c>
      <c r="C29" t="s">
        <v>25</v>
      </c>
      <c r="D29" t="s">
        <v>33</v>
      </c>
      <c r="E29" t="s">
        <v>27</v>
      </c>
      <c r="F29" t="s">
        <v>28</v>
      </c>
      <c r="G29">
        <v>17.045408248901367</v>
      </c>
      <c r="H29">
        <v>17.136283874511719</v>
      </c>
      <c r="I29">
        <v>0.12851753830909729</v>
      </c>
      <c r="J29">
        <v>689196.875</v>
      </c>
      <c r="K29">
        <v>654696.25</v>
      </c>
      <c r="L29">
        <v>48791.296875</v>
      </c>
      <c r="M29" t="b">
        <v>1</v>
      </c>
      <c r="N29">
        <v>1.6266642841925987</v>
      </c>
      <c r="O29" t="b">
        <v>1</v>
      </c>
      <c r="P29">
        <v>3</v>
      </c>
      <c r="Q29">
        <v>8</v>
      </c>
      <c r="R29">
        <v>85.085220336914062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</row>
    <row r="30" spans="1:23">
      <c r="A30" t="s">
        <v>68</v>
      </c>
      <c r="B30" t="s">
        <v>67</v>
      </c>
      <c r="C30" t="s">
        <v>25</v>
      </c>
      <c r="D30" t="s">
        <v>33</v>
      </c>
      <c r="E30" t="s">
        <v>27</v>
      </c>
      <c r="F30" t="s">
        <v>28</v>
      </c>
      <c r="G30">
        <v>17.22715950012207</v>
      </c>
      <c r="H30">
        <v>17.136283874511719</v>
      </c>
      <c r="I30">
        <v>0.12851753830909729</v>
      </c>
      <c r="J30">
        <v>620195.5625</v>
      </c>
      <c r="K30">
        <v>654696.25</v>
      </c>
      <c r="L30">
        <v>48791.296875</v>
      </c>
      <c r="M30" t="b">
        <v>1</v>
      </c>
      <c r="N30">
        <v>1.6266642841925987</v>
      </c>
      <c r="O30" t="b">
        <v>1</v>
      </c>
      <c r="P30">
        <v>3</v>
      </c>
      <c r="Q30">
        <v>8</v>
      </c>
      <c r="R30">
        <v>85.085220336914062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</row>
    <row r="31" spans="1:23">
      <c r="A31" t="s">
        <v>69</v>
      </c>
      <c r="B31" t="s">
        <v>70</v>
      </c>
      <c r="C31" t="s">
        <v>25</v>
      </c>
      <c r="D31" t="s">
        <v>33</v>
      </c>
      <c r="E31" t="s">
        <v>27</v>
      </c>
      <c r="F31" t="s">
        <v>28</v>
      </c>
      <c r="G31">
        <v>13.327284812927246</v>
      </c>
      <c r="H31">
        <v>13.188323974609375</v>
      </c>
      <c r="I31">
        <v>0.19652029871940613</v>
      </c>
      <c r="J31">
        <v>5964622.5</v>
      </c>
      <c r="K31">
        <v>6486678.5</v>
      </c>
      <c r="L31">
        <v>738298.6875</v>
      </c>
      <c r="M31" t="b">
        <v>1</v>
      </c>
      <c r="N31">
        <v>1.6266642841925987</v>
      </c>
      <c r="O31" t="b">
        <v>1</v>
      </c>
      <c r="P31">
        <v>3</v>
      </c>
      <c r="Q31">
        <v>6</v>
      </c>
      <c r="R31">
        <v>85.468475341796875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</row>
    <row r="32" spans="1:23">
      <c r="A32" t="s">
        <v>71</v>
      </c>
      <c r="B32" t="s">
        <v>70</v>
      </c>
      <c r="C32" t="s">
        <v>25</v>
      </c>
      <c r="D32" t="s">
        <v>33</v>
      </c>
      <c r="E32" t="s">
        <v>27</v>
      </c>
      <c r="F32" t="s">
        <v>28</v>
      </c>
      <c r="G32">
        <v>13.049363136291504</v>
      </c>
      <c r="H32">
        <v>13.188323974609375</v>
      </c>
      <c r="I32">
        <v>0.19652029871940613</v>
      </c>
      <c r="J32">
        <v>7008734.5</v>
      </c>
      <c r="K32">
        <v>6486678.5</v>
      </c>
      <c r="L32">
        <v>738298.6875</v>
      </c>
      <c r="M32" t="b">
        <v>1</v>
      </c>
      <c r="N32">
        <v>1.6266642841925987</v>
      </c>
      <c r="O32" t="b">
        <v>1</v>
      </c>
      <c r="P32">
        <v>3</v>
      </c>
      <c r="Q32">
        <v>4</v>
      </c>
      <c r="R32">
        <v>85.276847839355469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</row>
    <row r="33" spans="1:23">
      <c r="A33" t="s">
        <v>72</v>
      </c>
      <c r="B33" t="s">
        <v>73</v>
      </c>
      <c r="C33" t="s">
        <v>25</v>
      </c>
      <c r="D33" t="s">
        <v>33</v>
      </c>
      <c r="E33" t="s">
        <v>27</v>
      </c>
      <c r="F33" t="s">
        <v>28</v>
      </c>
      <c r="G33">
        <v>13.469660758972168</v>
      </c>
      <c r="H33">
        <v>13.731338500976562</v>
      </c>
      <c r="I33">
        <v>0.37006822228431702</v>
      </c>
      <c r="J33">
        <v>5491535.5</v>
      </c>
      <c r="K33">
        <v>4772236</v>
      </c>
      <c r="L33">
        <v>1017242.75</v>
      </c>
      <c r="M33" t="b">
        <v>1</v>
      </c>
      <c r="N33">
        <v>1.6266642841925987</v>
      </c>
      <c r="O33" t="b">
        <v>1</v>
      </c>
      <c r="P33">
        <v>3</v>
      </c>
      <c r="Q33">
        <v>6</v>
      </c>
      <c r="R33">
        <v>84.3187255859375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</row>
    <row r="34" spans="1:23">
      <c r="A34" t="s">
        <v>74</v>
      </c>
      <c r="B34" t="s">
        <v>73</v>
      </c>
      <c r="C34" t="s">
        <v>25</v>
      </c>
      <c r="D34" t="s">
        <v>33</v>
      </c>
      <c r="E34" t="s">
        <v>27</v>
      </c>
      <c r="F34" t="s">
        <v>28</v>
      </c>
      <c r="G34">
        <v>13.993016242980957</v>
      </c>
      <c r="H34">
        <v>13.731338500976562</v>
      </c>
      <c r="I34">
        <v>0.37006822228431702</v>
      </c>
      <c r="J34">
        <v>4052937</v>
      </c>
      <c r="K34">
        <v>4772236</v>
      </c>
      <c r="L34">
        <v>1017242.75</v>
      </c>
      <c r="M34" t="b">
        <v>1</v>
      </c>
      <c r="N34">
        <v>1.6266642841925987</v>
      </c>
      <c r="O34" t="b">
        <v>1</v>
      </c>
      <c r="P34">
        <v>3</v>
      </c>
      <c r="Q34">
        <v>5</v>
      </c>
      <c r="R34">
        <v>84.127090454101562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</row>
    <row r="35" spans="1:23">
      <c r="A35" t="s">
        <v>75</v>
      </c>
      <c r="B35" t="s">
        <v>76</v>
      </c>
      <c r="C35" t="s">
        <v>25</v>
      </c>
      <c r="D35" t="s">
        <v>33</v>
      </c>
      <c r="E35" t="s">
        <v>27</v>
      </c>
      <c r="F35" t="s">
        <v>28</v>
      </c>
      <c r="G35">
        <v>12.638406753540039</v>
      </c>
      <c r="H35">
        <v>12.803543090820312</v>
      </c>
      <c r="I35">
        <v>0.23353804647922516</v>
      </c>
      <c r="J35">
        <v>8896737</v>
      </c>
      <c r="K35">
        <v>8120750</v>
      </c>
      <c r="L35">
        <v>1097411</v>
      </c>
      <c r="M35" t="b">
        <v>1</v>
      </c>
      <c r="N35">
        <v>1.6266642841925987</v>
      </c>
      <c r="O35" t="b">
        <v>1</v>
      </c>
      <c r="P35">
        <v>3</v>
      </c>
      <c r="Q35">
        <v>4</v>
      </c>
      <c r="R35">
        <v>83.935470581054688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</row>
    <row r="36" spans="1:23">
      <c r="A36" t="s">
        <v>77</v>
      </c>
      <c r="B36" t="s">
        <v>76</v>
      </c>
      <c r="C36" t="s">
        <v>25</v>
      </c>
      <c r="D36" t="s">
        <v>33</v>
      </c>
      <c r="E36" t="s">
        <v>27</v>
      </c>
      <c r="F36" t="s">
        <v>28</v>
      </c>
      <c r="G36">
        <v>12.968679428100586</v>
      </c>
      <c r="H36">
        <v>12.803543090820312</v>
      </c>
      <c r="I36">
        <v>0.23353804647922516</v>
      </c>
      <c r="J36">
        <v>7344763.5</v>
      </c>
      <c r="K36">
        <v>8120750</v>
      </c>
      <c r="L36">
        <v>1097411</v>
      </c>
      <c r="M36" t="b">
        <v>1</v>
      </c>
      <c r="N36">
        <v>1.6266642841925987</v>
      </c>
      <c r="O36" t="b">
        <v>1</v>
      </c>
      <c r="P36">
        <v>3</v>
      </c>
      <c r="Q36">
        <v>5</v>
      </c>
      <c r="R36">
        <v>83.743843078613281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</row>
    <row r="37" spans="1:23">
      <c r="A37" t="s">
        <v>78</v>
      </c>
      <c r="B37" t="s">
        <v>24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</row>
    <row r="38" spans="1:23">
      <c r="A38" t="s">
        <v>80</v>
      </c>
      <c r="B38" t="s">
        <v>24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</row>
    <row r="39" spans="1:23">
      <c r="A39" t="s">
        <v>81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>
        <v>21.483226776123047</v>
      </c>
      <c r="H39">
        <v>21.502704620361328</v>
      </c>
      <c r="I39">
        <v>2.7547180652618408E-2</v>
      </c>
      <c r="J39">
        <v>50000</v>
      </c>
      <c r="K39" t="s">
        <v>24</v>
      </c>
      <c r="L39" t="s">
        <v>24</v>
      </c>
      <c r="M39" t="b">
        <v>1</v>
      </c>
      <c r="N39">
        <v>1.6266642841925987</v>
      </c>
      <c r="O39" t="b">
        <v>1</v>
      </c>
      <c r="P39">
        <v>3</v>
      </c>
      <c r="Q39">
        <v>15</v>
      </c>
      <c r="R39">
        <v>85.276847839355469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</row>
    <row r="40" spans="1:23">
      <c r="A40" t="s">
        <v>82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>
        <v>21.522184371948242</v>
      </c>
      <c r="H40">
        <v>21.502704620361328</v>
      </c>
      <c r="I40">
        <v>2.7547180652618408E-2</v>
      </c>
      <c r="J40">
        <v>50000</v>
      </c>
      <c r="K40" t="s">
        <v>24</v>
      </c>
      <c r="L40" t="s">
        <v>24</v>
      </c>
      <c r="M40" t="b">
        <v>1</v>
      </c>
      <c r="N40">
        <v>1.6266642841925987</v>
      </c>
      <c r="O40" t="b">
        <v>1</v>
      </c>
      <c r="P40">
        <v>3</v>
      </c>
      <c r="Q40">
        <v>14</v>
      </c>
      <c r="R40">
        <v>85.468475341796875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</row>
    <row r="41" spans="1:23">
      <c r="A41" t="s">
        <v>83</v>
      </c>
      <c r="B41" t="s">
        <v>84</v>
      </c>
      <c r="C41" t="s">
        <v>25</v>
      </c>
      <c r="D41" t="s">
        <v>33</v>
      </c>
      <c r="E41" t="s">
        <v>27</v>
      </c>
      <c r="F41" t="s">
        <v>28</v>
      </c>
      <c r="G41">
        <v>13.966671943664551</v>
      </c>
      <c r="H41">
        <v>13.964351654052734</v>
      </c>
      <c r="I41">
        <v>3.2820594497025013E-3</v>
      </c>
      <c r="J41">
        <v>4115385.75</v>
      </c>
      <c r="K41">
        <v>4120936.75</v>
      </c>
      <c r="L41">
        <v>7850.29931640625</v>
      </c>
      <c r="M41" t="b">
        <v>1</v>
      </c>
      <c r="N41">
        <v>1.6266642841925987</v>
      </c>
      <c r="O41" t="b">
        <v>1</v>
      </c>
      <c r="P41">
        <v>3</v>
      </c>
      <c r="Q41">
        <v>5</v>
      </c>
      <c r="R41">
        <v>85.276847839355469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</row>
    <row r="42" spans="1:23">
      <c r="A42" t="s">
        <v>85</v>
      </c>
      <c r="B42" t="s">
        <v>84</v>
      </c>
      <c r="C42" t="s">
        <v>25</v>
      </c>
      <c r="D42" t="s">
        <v>33</v>
      </c>
      <c r="E42" t="s">
        <v>27</v>
      </c>
      <c r="F42" t="s">
        <v>28</v>
      </c>
      <c r="G42">
        <v>13.962030410766602</v>
      </c>
      <c r="H42">
        <v>13.964351654052734</v>
      </c>
      <c r="I42">
        <v>3.2820594497025013E-3</v>
      </c>
      <c r="J42">
        <v>4126487.75</v>
      </c>
      <c r="K42">
        <v>4120936.75</v>
      </c>
      <c r="L42">
        <v>7850.29931640625</v>
      </c>
      <c r="M42" t="b">
        <v>1</v>
      </c>
      <c r="N42">
        <v>1.6266642841925987</v>
      </c>
      <c r="O42" t="b">
        <v>1</v>
      </c>
      <c r="P42">
        <v>3</v>
      </c>
      <c r="Q42">
        <v>6</v>
      </c>
      <c r="R42">
        <v>85.276847839355469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</row>
    <row r="43" spans="1:23">
      <c r="A43" t="s">
        <v>86</v>
      </c>
      <c r="B43" t="s">
        <v>87</v>
      </c>
      <c r="C43" t="s">
        <v>25</v>
      </c>
      <c r="D43" t="s">
        <v>33</v>
      </c>
      <c r="E43" t="s">
        <v>27</v>
      </c>
      <c r="F43" t="s">
        <v>28</v>
      </c>
      <c r="G43">
        <v>13.205012321472168</v>
      </c>
      <c r="H43">
        <v>13.262434005737305</v>
      </c>
      <c r="I43">
        <v>8.1205852329730988E-2</v>
      </c>
      <c r="J43">
        <v>6403311</v>
      </c>
      <c r="K43">
        <v>6196856</v>
      </c>
      <c r="L43">
        <v>291971.46875</v>
      </c>
      <c r="M43" t="b">
        <v>1</v>
      </c>
      <c r="N43">
        <v>1.6266642841925987</v>
      </c>
      <c r="O43" t="b">
        <v>1</v>
      </c>
      <c r="P43">
        <v>3</v>
      </c>
      <c r="Q43">
        <v>4</v>
      </c>
      <c r="R43">
        <v>85.468475341796875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</row>
    <row r="44" spans="1:23">
      <c r="A44" t="s">
        <v>88</v>
      </c>
      <c r="B44" t="s">
        <v>87</v>
      </c>
      <c r="C44" t="s">
        <v>25</v>
      </c>
      <c r="D44" t="s">
        <v>33</v>
      </c>
      <c r="E44" t="s">
        <v>27</v>
      </c>
      <c r="F44" t="s">
        <v>28</v>
      </c>
      <c r="G44">
        <v>13.319854736328125</v>
      </c>
      <c r="H44">
        <v>13.262434005737305</v>
      </c>
      <c r="I44">
        <v>8.1205852329730988E-2</v>
      </c>
      <c r="J44">
        <v>5990401</v>
      </c>
      <c r="K44">
        <v>6196856</v>
      </c>
      <c r="L44">
        <v>291971.46875</v>
      </c>
      <c r="M44" t="b">
        <v>1</v>
      </c>
      <c r="N44">
        <v>1.6266642841925987</v>
      </c>
      <c r="O44" t="b">
        <v>1</v>
      </c>
      <c r="P44">
        <v>3</v>
      </c>
      <c r="Q44">
        <v>5</v>
      </c>
      <c r="R44">
        <v>85.276847839355469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</row>
    <row r="45" spans="1:23">
      <c r="A45" t="s">
        <v>89</v>
      </c>
      <c r="B45" t="s">
        <v>90</v>
      </c>
      <c r="C45" t="s">
        <v>25</v>
      </c>
      <c r="D45" t="s">
        <v>33</v>
      </c>
      <c r="E45" t="s">
        <v>27</v>
      </c>
      <c r="F45" t="s">
        <v>28</v>
      </c>
      <c r="G45">
        <v>13.346781730651855</v>
      </c>
      <c r="H45">
        <v>13.685766220092773</v>
      </c>
      <c r="I45">
        <v>0.47939577698707581</v>
      </c>
      <c r="J45">
        <v>5897505</v>
      </c>
      <c r="K45">
        <v>4938237.5</v>
      </c>
      <c r="L45">
        <v>1356609.125</v>
      </c>
      <c r="M45" t="b">
        <v>1</v>
      </c>
      <c r="N45">
        <v>1.6266642841925987</v>
      </c>
      <c r="O45" t="b">
        <v>1</v>
      </c>
      <c r="P45">
        <v>1</v>
      </c>
      <c r="Q45">
        <v>2</v>
      </c>
      <c r="R45">
        <v>84.893600463867188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</row>
    <row r="46" spans="1:23">
      <c r="A46" t="s">
        <v>91</v>
      </c>
      <c r="B46" t="s">
        <v>90</v>
      </c>
      <c r="C46" t="s">
        <v>25</v>
      </c>
      <c r="D46" t="s">
        <v>33</v>
      </c>
      <c r="E46" t="s">
        <v>27</v>
      </c>
      <c r="F46" t="s">
        <v>28</v>
      </c>
      <c r="G46">
        <v>14.024749755859375</v>
      </c>
      <c r="H46">
        <v>13.685766220092773</v>
      </c>
      <c r="I46">
        <v>0.47939577698707581</v>
      </c>
      <c r="J46">
        <v>3978970</v>
      </c>
      <c r="K46">
        <v>4938237.5</v>
      </c>
      <c r="L46">
        <v>1356609.125</v>
      </c>
      <c r="M46" t="b">
        <v>1</v>
      </c>
      <c r="N46">
        <v>1.6266642841925987</v>
      </c>
      <c r="O46" t="b">
        <v>1</v>
      </c>
      <c r="P46">
        <v>1</v>
      </c>
      <c r="Q46">
        <v>2</v>
      </c>
      <c r="R46">
        <v>84.3187255859375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</row>
    <row r="47" spans="1:23">
      <c r="A47" t="s">
        <v>92</v>
      </c>
      <c r="B47" t="s">
        <v>93</v>
      </c>
      <c r="C47" t="s">
        <v>25</v>
      </c>
      <c r="D47" t="s">
        <v>33</v>
      </c>
      <c r="E47" t="s">
        <v>27</v>
      </c>
      <c r="F47" t="s">
        <v>28</v>
      </c>
      <c r="G47">
        <v>14.377800941467285</v>
      </c>
      <c r="H47">
        <v>14.685657501220703</v>
      </c>
      <c r="I47">
        <v>0.43537425994873047</v>
      </c>
      <c r="J47">
        <v>3241723</v>
      </c>
      <c r="K47">
        <v>2754674</v>
      </c>
      <c r="L47">
        <v>688791.125</v>
      </c>
      <c r="M47" t="b">
        <v>1</v>
      </c>
      <c r="N47">
        <v>1.6266642841925987</v>
      </c>
      <c r="O47" t="b">
        <v>1</v>
      </c>
      <c r="P47">
        <v>3</v>
      </c>
      <c r="Q47">
        <v>5</v>
      </c>
      <c r="R47">
        <v>84.127090454101562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</row>
    <row r="48" spans="1:23">
      <c r="A48" t="s">
        <v>94</v>
      </c>
      <c r="B48" t="s">
        <v>93</v>
      </c>
      <c r="C48" t="s">
        <v>25</v>
      </c>
      <c r="D48" t="s">
        <v>33</v>
      </c>
      <c r="E48" t="s">
        <v>27</v>
      </c>
      <c r="F48" t="s">
        <v>28</v>
      </c>
      <c r="G48">
        <v>14.993513107299805</v>
      </c>
      <c r="H48">
        <v>14.685657501220703</v>
      </c>
      <c r="I48">
        <v>0.43537425994873047</v>
      </c>
      <c r="J48">
        <v>2267625.25</v>
      </c>
      <c r="K48">
        <v>2754674</v>
      </c>
      <c r="L48">
        <v>688791.125</v>
      </c>
      <c r="M48" t="b">
        <v>1</v>
      </c>
      <c r="N48">
        <v>1.6266642841925987</v>
      </c>
      <c r="O48" t="b">
        <v>1</v>
      </c>
      <c r="P48">
        <v>3</v>
      </c>
      <c r="Q48">
        <v>4</v>
      </c>
      <c r="R48">
        <v>83.935470581054688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</row>
    <row r="49" spans="1:23">
      <c r="A49" t="s">
        <v>95</v>
      </c>
      <c r="B49" t="s">
        <v>24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</row>
    <row r="50" spans="1:23">
      <c r="A50" t="s">
        <v>97</v>
      </c>
      <c r="B50" t="s">
        <v>24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</row>
    <row r="51" spans="1:23">
      <c r="A51" t="s">
        <v>98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>
        <v>25.811824798583984</v>
      </c>
      <c r="H51">
        <v>25.641958236694336</v>
      </c>
      <c r="I51">
        <v>0.2402275949716568</v>
      </c>
      <c r="J51">
        <v>5000</v>
      </c>
      <c r="K51" t="s">
        <v>24</v>
      </c>
      <c r="L51" t="s">
        <v>24</v>
      </c>
      <c r="M51" t="b">
        <v>1</v>
      </c>
      <c r="N51">
        <v>1.6266642841925987</v>
      </c>
      <c r="O51" t="b">
        <v>1</v>
      </c>
      <c r="P51">
        <v>3</v>
      </c>
      <c r="Q51">
        <v>18</v>
      </c>
      <c r="R51">
        <v>85.276847839355469</v>
      </c>
      <c r="S51" t="s">
        <v>24</v>
      </c>
      <c r="T51" t="s">
        <v>24</v>
      </c>
      <c r="U51" t="s">
        <v>24</v>
      </c>
      <c r="V51" t="s">
        <v>29</v>
      </c>
      <c r="W51" t="s">
        <v>29</v>
      </c>
    </row>
    <row r="52" spans="1:23">
      <c r="A52" t="s">
        <v>99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>
        <v>25.472091674804688</v>
      </c>
      <c r="H52">
        <v>25.641958236694336</v>
      </c>
      <c r="I52">
        <v>0.2402275949716568</v>
      </c>
      <c r="J52">
        <v>5000</v>
      </c>
      <c r="K52" t="s">
        <v>24</v>
      </c>
      <c r="L52" t="s">
        <v>24</v>
      </c>
      <c r="M52" t="b">
        <v>1</v>
      </c>
      <c r="N52">
        <v>1.6266642841925987</v>
      </c>
      <c r="O52" t="b">
        <v>1</v>
      </c>
      <c r="P52">
        <v>3</v>
      </c>
      <c r="Q52">
        <v>18</v>
      </c>
      <c r="R52">
        <v>85.276847839355469</v>
      </c>
      <c r="S52" t="s">
        <v>24</v>
      </c>
      <c r="T52" t="s">
        <v>24</v>
      </c>
      <c r="U52" t="s">
        <v>24</v>
      </c>
      <c r="V52" t="s">
        <v>29</v>
      </c>
      <c r="W52" t="s">
        <v>29</v>
      </c>
    </row>
    <row r="53" spans="1:23">
      <c r="A53" t="s">
        <v>100</v>
      </c>
      <c r="B53" t="s">
        <v>101</v>
      </c>
      <c r="C53" t="s">
        <v>25</v>
      </c>
      <c r="D53" t="s">
        <v>33</v>
      </c>
      <c r="E53" t="s">
        <v>27</v>
      </c>
      <c r="F53" t="s">
        <v>28</v>
      </c>
      <c r="G53">
        <v>11.316020011901855</v>
      </c>
      <c r="H53">
        <v>11.225692749023438</v>
      </c>
      <c r="I53">
        <v>0.12774203717708588</v>
      </c>
      <c r="J53">
        <v>19167662</v>
      </c>
      <c r="K53">
        <v>20227156</v>
      </c>
      <c r="L53">
        <v>1498350.75</v>
      </c>
      <c r="M53" t="b">
        <v>1</v>
      </c>
      <c r="N53">
        <v>1.6266642841925987</v>
      </c>
      <c r="O53" t="b">
        <v>1</v>
      </c>
      <c r="P53">
        <v>3</v>
      </c>
      <c r="Q53">
        <v>4</v>
      </c>
      <c r="R53">
        <v>85.085220336914062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</row>
    <row r="54" spans="1:23">
      <c r="A54" t="s">
        <v>102</v>
      </c>
      <c r="B54" t="s">
        <v>101</v>
      </c>
      <c r="C54" t="s">
        <v>25</v>
      </c>
      <c r="D54" t="s">
        <v>33</v>
      </c>
      <c r="E54" t="s">
        <v>27</v>
      </c>
      <c r="F54" t="s">
        <v>28</v>
      </c>
      <c r="G54">
        <v>11.13536548614502</v>
      </c>
      <c r="H54">
        <v>11.225692749023438</v>
      </c>
      <c r="I54">
        <v>0.12774203717708588</v>
      </c>
      <c r="J54">
        <v>21286650</v>
      </c>
      <c r="K54">
        <v>20227156</v>
      </c>
      <c r="L54">
        <v>1498350.75</v>
      </c>
      <c r="M54" t="b">
        <v>1</v>
      </c>
      <c r="N54">
        <v>1.6266642841925987</v>
      </c>
      <c r="O54" t="b">
        <v>1</v>
      </c>
      <c r="P54">
        <v>1</v>
      </c>
      <c r="Q54">
        <v>2</v>
      </c>
      <c r="R54">
        <v>85.085220336914062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</row>
    <row r="55" spans="1:23">
      <c r="A55" t="s">
        <v>103</v>
      </c>
      <c r="B55" t="s">
        <v>104</v>
      </c>
      <c r="C55" t="s">
        <v>25</v>
      </c>
      <c r="D55" t="s">
        <v>33</v>
      </c>
      <c r="E55" t="s">
        <v>27</v>
      </c>
      <c r="F55" t="s">
        <v>28</v>
      </c>
      <c r="G55">
        <v>16.068992614746094</v>
      </c>
      <c r="H55">
        <v>16.264225006103516</v>
      </c>
      <c r="I55">
        <v>0.27610164880752563</v>
      </c>
      <c r="J55">
        <v>1214707.25</v>
      </c>
      <c r="K55">
        <v>1091543.125</v>
      </c>
      <c r="L55">
        <v>174180.328125</v>
      </c>
      <c r="M55" t="b">
        <v>1</v>
      </c>
      <c r="N55">
        <v>1.6266642841925987</v>
      </c>
      <c r="O55" t="b">
        <v>1</v>
      </c>
      <c r="P55">
        <v>3</v>
      </c>
      <c r="Q55">
        <v>6</v>
      </c>
      <c r="R55">
        <v>85.276847839355469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</row>
    <row r="56" spans="1:23">
      <c r="A56" t="s">
        <v>105</v>
      </c>
      <c r="B56" t="s">
        <v>104</v>
      </c>
      <c r="C56" t="s">
        <v>25</v>
      </c>
      <c r="D56" t="s">
        <v>33</v>
      </c>
      <c r="E56" t="s">
        <v>27</v>
      </c>
      <c r="F56" t="s">
        <v>28</v>
      </c>
      <c r="G56">
        <v>16.45945930480957</v>
      </c>
      <c r="H56">
        <v>16.264225006103516</v>
      </c>
      <c r="I56">
        <v>0.27610164880752563</v>
      </c>
      <c r="J56">
        <v>968379.0625</v>
      </c>
      <c r="K56">
        <v>1091543.125</v>
      </c>
      <c r="L56">
        <v>174180.328125</v>
      </c>
      <c r="M56" t="b">
        <v>1</v>
      </c>
      <c r="N56">
        <v>1.6266642841925987</v>
      </c>
      <c r="O56" t="b">
        <v>1</v>
      </c>
      <c r="P56">
        <v>3</v>
      </c>
      <c r="Q56">
        <v>7</v>
      </c>
      <c r="R56">
        <v>85.276847839355469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</row>
    <row r="57" spans="1:23">
      <c r="A57" t="s">
        <v>106</v>
      </c>
      <c r="B57" t="s">
        <v>107</v>
      </c>
      <c r="C57" t="s">
        <v>25</v>
      </c>
      <c r="D57" t="s">
        <v>33</v>
      </c>
      <c r="E57" t="s">
        <v>27</v>
      </c>
      <c r="F57" t="s">
        <v>28</v>
      </c>
      <c r="G57">
        <v>11.352286338806152</v>
      </c>
      <c r="H57">
        <v>11.433218002319336</v>
      </c>
      <c r="I57">
        <v>0.11445465683937073</v>
      </c>
      <c r="J57">
        <v>18768404</v>
      </c>
      <c r="K57">
        <v>17926916</v>
      </c>
      <c r="L57">
        <v>1190042.375</v>
      </c>
      <c r="M57" t="b">
        <v>1</v>
      </c>
      <c r="N57">
        <v>1.6266642841925987</v>
      </c>
      <c r="O57" t="b">
        <v>1</v>
      </c>
      <c r="P57">
        <v>1</v>
      </c>
      <c r="Q57">
        <v>3</v>
      </c>
      <c r="R57">
        <v>84.893600463867188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</row>
    <row r="58" spans="1:23">
      <c r="A58" t="s">
        <v>108</v>
      </c>
      <c r="B58" t="s">
        <v>107</v>
      </c>
      <c r="C58" t="s">
        <v>25</v>
      </c>
      <c r="D58" t="s">
        <v>33</v>
      </c>
      <c r="E58" t="s">
        <v>27</v>
      </c>
      <c r="F58" t="s">
        <v>28</v>
      </c>
      <c r="G58">
        <v>11.51414966583252</v>
      </c>
      <c r="H58">
        <v>11.433218002319336</v>
      </c>
      <c r="I58">
        <v>0.11445465683937073</v>
      </c>
      <c r="J58">
        <v>17085430</v>
      </c>
      <c r="K58">
        <v>17926916</v>
      </c>
      <c r="L58">
        <v>1190042.375</v>
      </c>
      <c r="M58" t="b">
        <v>1</v>
      </c>
      <c r="N58">
        <v>1.6266642841925987</v>
      </c>
      <c r="O58" t="b">
        <v>1</v>
      </c>
      <c r="P58">
        <v>1</v>
      </c>
      <c r="Q58">
        <v>2</v>
      </c>
      <c r="R58">
        <v>84.701972961425781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</row>
    <row r="59" spans="1:23">
      <c r="A59" t="s">
        <v>109</v>
      </c>
      <c r="B59" t="s">
        <v>110</v>
      </c>
      <c r="C59" t="s">
        <v>25</v>
      </c>
      <c r="D59" t="s">
        <v>33</v>
      </c>
      <c r="E59" t="s">
        <v>27</v>
      </c>
      <c r="F59" t="s">
        <v>28</v>
      </c>
      <c r="G59">
        <v>14.87769889831543</v>
      </c>
      <c r="H59">
        <v>15.237954139709473</v>
      </c>
      <c r="I59">
        <v>0.50947785377502441</v>
      </c>
      <c r="J59">
        <v>2425297.25</v>
      </c>
      <c r="K59">
        <v>2010852</v>
      </c>
      <c r="L59">
        <v>586114.1875</v>
      </c>
      <c r="M59" t="b">
        <v>1</v>
      </c>
      <c r="N59">
        <v>1.6266642841925987</v>
      </c>
      <c r="O59" t="b">
        <v>1</v>
      </c>
      <c r="P59">
        <v>3</v>
      </c>
      <c r="Q59">
        <v>8</v>
      </c>
      <c r="R59">
        <v>84.510345458984375</v>
      </c>
      <c r="S59" t="s">
        <v>24</v>
      </c>
      <c r="T59" t="s">
        <v>24</v>
      </c>
      <c r="U59" t="s">
        <v>24</v>
      </c>
      <c r="V59" t="s">
        <v>29</v>
      </c>
      <c r="W59" t="s">
        <v>114</v>
      </c>
    </row>
    <row r="60" spans="1:23">
      <c r="A60" t="s">
        <v>111</v>
      </c>
      <c r="B60" t="s">
        <v>110</v>
      </c>
      <c r="C60" t="s">
        <v>25</v>
      </c>
      <c r="D60" t="s">
        <v>33</v>
      </c>
      <c r="E60" t="s">
        <v>27</v>
      </c>
      <c r="F60" t="s">
        <v>28</v>
      </c>
      <c r="G60">
        <v>15.598209381103516</v>
      </c>
      <c r="H60">
        <v>15.237954139709473</v>
      </c>
      <c r="I60">
        <v>0.50947785377502441</v>
      </c>
      <c r="J60">
        <v>1596406.625</v>
      </c>
      <c r="K60">
        <v>2010852</v>
      </c>
      <c r="L60">
        <v>586114.1875</v>
      </c>
      <c r="M60" t="b">
        <v>1</v>
      </c>
      <c r="N60">
        <v>1.6266642841925987</v>
      </c>
      <c r="O60" t="b">
        <v>1</v>
      </c>
      <c r="P60">
        <v>3</v>
      </c>
      <c r="Q60">
        <v>8</v>
      </c>
      <c r="R60">
        <v>84.510345458984375</v>
      </c>
      <c r="S60" t="s">
        <v>24</v>
      </c>
      <c r="T60" t="s">
        <v>24</v>
      </c>
      <c r="U60" t="s">
        <v>24</v>
      </c>
      <c r="V60" t="s">
        <v>29</v>
      </c>
      <c r="W60" t="s">
        <v>114</v>
      </c>
    </row>
    <row r="61" spans="1:23">
      <c r="A61" t="s">
        <v>112</v>
      </c>
      <c r="B61" t="s">
        <v>24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29</v>
      </c>
      <c r="W61" t="s">
        <v>29</v>
      </c>
    </row>
    <row r="62" spans="1:23">
      <c r="A62" t="s">
        <v>115</v>
      </c>
      <c r="B62" t="s">
        <v>24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</row>
    <row r="63" spans="1:23">
      <c r="A63" t="s">
        <v>116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>
        <v>29.654216766357422</v>
      </c>
      <c r="H63">
        <v>29.294528961181641</v>
      </c>
      <c r="I63">
        <v>0.50867539644241333</v>
      </c>
      <c r="J63">
        <v>500</v>
      </c>
      <c r="K63" t="s">
        <v>24</v>
      </c>
      <c r="L63" t="s">
        <v>24</v>
      </c>
      <c r="M63" t="b">
        <v>1</v>
      </c>
      <c r="N63">
        <v>1.6266642841925987</v>
      </c>
      <c r="O63" t="b">
        <v>1</v>
      </c>
      <c r="P63">
        <v>3</v>
      </c>
      <c r="Q63">
        <v>22</v>
      </c>
      <c r="R63">
        <v>85.085220336914062</v>
      </c>
      <c r="S63" t="s">
        <v>24</v>
      </c>
      <c r="T63" t="s">
        <v>24</v>
      </c>
      <c r="U63" t="s">
        <v>24</v>
      </c>
      <c r="V63" t="s">
        <v>29</v>
      </c>
      <c r="W63" t="s">
        <v>114</v>
      </c>
    </row>
    <row r="64" spans="1:23">
      <c r="A64" t="s">
        <v>117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>
        <v>28.934841156005859</v>
      </c>
      <c r="H64">
        <v>29.294528961181641</v>
      </c>
      <c r="I64">
        <v>0.50867539644241333</v>
      </c>
      <c r="J64">
        <v>500</v>
      </c>
      <c r="K64" t="s">
        <v>24</v>
      </c>
      <c r="L64" t="s">
        <v>24</v>
      </c>
      <c r="M64" t="b">
        <v>1</v>
      </c>
      <c r="N64">
        <v>1.6266642841925987</v>
      </c>
      <c r="O64" t="b">
        <v>1</v>
      </c>
      <c r="P64">
        <v>3</v>
      </c>
      <c r="Q64">
        <v>22</v>
      </c>
      <c r="R64">
        <v>85.276847839355469</v>
      </c>
      <c r="S64" t="s">
        <v>24</v>
      </c>
      <c r="T64" t="s">
        <v>24</v>
      </c>
      <c r="U64" t="s">
        <v>24</v>
      </c>
      <c r="V64" t="s">
        <v>29</v>
      </c>
      <c r="W64" t="s">
        <v>114</v>
      </c>
    </row>
    <row r="65" spans="1:23">
      <c r="A65" t="s">
        <v>118</v>
      </c>
      <c r="B65" t="s">
        <v>119</v>
      </c>
      <c r="C65" t="s">
        <v>25</v>
      </c>
      <c r="D65" t="s">
        <v>33</v>
      </c>
      <c r="E65" t="s">
        <v>27</v>
      </c>
      <c r="F65" t="s">
        <v>28</v>
      </c>
      <c r="G65">
        <v>19.170539855957031</v>
      </c>
      <c r="H65">
        <v>19.088279724121094</v>
      </c>
      <c r="I65">
        <v>0.11633474379777908</v>
      </c>
      <c r="J65">
        <v>200749.453125</v>
      </c>
      <c r="K65">
        <v>210807</v>
      </c>
      <c r="L65">
        <v>14223.51953125</v>
      </c>
      <c r="M65" t="b">
        <v>1</v>
      </c>
      <c r="N65">
        <v>1.6266642841925987</v>
      </c>
      <c r="O65" t="b">
        <v>1</v>
      </c>
      <c r="P65">
        <v>3</v>
      </c>
      <c r="Q65">
        <v>11</v>
      </c>
      <c r="R65">
        <v>85.085220336914062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</row>
    <row r="66" spans="1:23">
      <c r="A66" t="s">
        <v>120</v>
      </c>
      <c r="B66" t="s">
        <v>119</v>
      </c>
      <c r="C66" t="s">
        <v>25</v>
      </c>
      <c r="D66" t="s">
        <v>33</v>
      </c>
      <c r="E66" t="s">
        <v>27</v>
      </c>
      <c r="F66" t="s">
        <v>28</v>
      </c>
      <c r="G66">
        <v>19.006017684936523</v>
      </c>
      <c r="H66">
        <v>19.088279724121094</v>
      </c>
      <c r="I66">
        <v>0.11633474379777908</v>
      </c>
      <c r="J66">
        <v>220864.546875</v>
      </c>
      <c r="K66">
        <v>210807</v>
      </c>
      <c r="L66">
        <v>14223.51953125</v>
      </c>
      <c r="M66" t="b">
        <v>1</v>
      </c>
      <c r="N66">
        <v>1.6266642841925987</v>
      </c>
      <c r="O66" t="b">
        <v>1</v>
      </c>
      <c r="P66">
        <v>3</v>
      </c>
      <c r="Q66">
        <v>11</v>
      </c>
      <c r="R66">
        <v>84.893600463867188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</row>
    <row r="67" spans="1:23">
      <c r="A67" t="s">
        <v>121</v>
      </c>
      <c r="B67" t="s">
        <v>122</v>
      </c>
      <c r="C67" t="s">
        <v>25</v>
      </c>
      <c r="D67" t="s">
        <v>33</v>
      </c>
      <c r="E67" t="s">
        <v>27</v>
      </c>
      <c r="F67" t="s">
        <v>28</v>
      </c>
      <c r="G67">
        <v>15.404319763183594</v>
      </c>
      <c r="H67">
        <v>15.373992919921875</v>
      </c>
      <c r="I67">
        <v>4.28893081843853E-2</v>
      </c>
      <c r="J67">
        <v>1786561.25</v>
      </c>
      <c r="K67">
        <v>1818569.5</v>
      </c>
      <c r="L67">
        <v>45266.5</v>
      </c>
      <c r="M67" t="b">
        <v>1</v>
      </c>
      <c r="N67">
        <v>1.6266642841925987</v>
      </c>
      <c r="O67" t="b">
        <v>1</v>
      </c>
      <c r="P67">
        <v>3</v>
      </c>
      <c r="Q67">
        <v>7</v>
      </c>
      <c r="R67">
        <v>85.085220336914062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</row>
    <row r="68" spans="1:23">
      <c r="A68" t="s">
        <v>123</v>
      </c>
      <c r="B68" t="s">
        <v>122</v>
      </c>
      <c r="C68" t="s">
        <v>25</v>
      </c>
      <c r="D68" t="s">
        <v>33</v>
      </c>
      <c r="E68" t="s">
        <v>27</v>
      </c>
      <c r="F68" t="s">
        <v>28</v>
      </c>
      <c r="G68">
        <v>15.34366512298584</v>
      </c>
      <c r="H68">
        <v>15.373992919921875</v>
      </c>
      <c r="I68">
        <v>4.28893081843853E-2</v>
      </c>
      <c r="J68">
        <v>1850577.75</v>
      </c>
      <c r="K68">
        <v>1818569.5</v>
      </c>
      <c r="L68">
        <v>45266.5</v>
      </c>
      <c r="M68" t="b">
        <v>1</v>
      </c>
      <c r="N68">
        <v>1.6266642841925987</v>
      </c>
      <c r="O68" t="b">
        <v>1</v>
      </c>
      <c r="P68">
        <v>3</v>
      </c>
      <c r="Q68">
        <v>6</v>
      </c>
      <c r="R68">
        <v>85.085220336914062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</row>
    <row r="69" spans="1:23">
      <c r="A69" t="s">
        <v>124</v>
      </c>
      <c r="B69" t="s">
        <v>125</v>
      </c>
      <c r="C69" t="s">
        <v>25</v>
      </c>
      <c r="D69" t="s">
        <v>33</v>
      </c>
      <c r="E69" t="s">
        <v>27</v>
      </c>
      <c r="F69" t="s">
        <v>28</v>
      </c>
      <c r="G69">
        <v>14.376882553100586</v>
      </c>
      <c r="H69">
        <v>14.48347282409668</v>
      </c>
      <c r="I69">
        <v>0.15074208378791809</v>
      </c>
      <c r="J69">
        <v>3243451.5</v>
      </c>
      <c r="K69">
        <v>3054705.5</v>
      </c>
      <c r="L69">
        <v>266927.15625</v>
      </c>
      <c r="M69" t="b">
        <v>1</v>
      </c>
      <c r="N69">
        <v>1.6266642841925987</v>
      </c>
      <c r="O69" t="b">
        <v>1</v>
      </c>
      <c r="P69">
        <v>3</v>
      </c>
      <c r="Q69">
        <v>5</v>
      </c>
      <c r="R69">
        <v>85.085220336914062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</row>
    <row r="70" spans="1:23">
      <c r="A70" t="s">
        <v>126</v>
      </c>
      <c r="B70" t="s">
        <v>125</v>
      </c>
      <c r="C70" t="s">
        <v>25</v>
      </c>
      <c r="D70" t="s">
        <v>33</v>
      </c>
      <c r="E70" t="s">
        <v>27</v>
      </c>
      <c r="F70" t="s">
        <v>28</v>
      </c>
      <c r="G70">
        <v>14.59006404876709</v>
      </c>
      <c r="H70">
        <v>14.48347282409668</v>
      </c>
      <c r="I70">
        <v>0.15074208378791809</v>
      </c>
      <c r="J70">
        <v>2865959.5</v>
      </c>
      <c r="K70">
        <v>3054705.5</v>
      </c>
      <c r="L70">
        <v>266927.15625</v>
      </c>
      <c r="M70" t="b">
        <v>1</v>
      </c>
      <c r="N70">
        <v>1.6266642841925987</v>
      </c>
      <c r="O70" t="b">
        <v>1</v>
      </c>
      <c r="P70">
        <v>3</v>
      </c>
      <c r="Q70">
        <v>6</v>
      </c>
      <c r="R70">
        <v>85.085220336914062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</row>
    <row r="71" spans="1:23">
      <c r="A71" t="s">
        <v>127</v>
      </c>
      <c r="B71" t="s">
        <v>128</v>
      </c>
      <c r="C71" t="s">
        <v>25</v>
      </c>
      <c r="D71" t="s">
        <v>33</v>
      </c>
      <c r="E71" t="s">
        <v>27</v>
      </c>
      <c r="F71" t="s">
        <v>28</v>
      </c>
      <c r="G71">
        <v>17.156801223754883</v>
      </c>
      <c r="H71">
        <v>17.297897338867188</v>
      </c>
      <c r="I71">
        <v>0.19954003393650055</v>
      </c>
      <c r="J71">
        <v>646047</v>
      </c>
      <c r="K71">
        <v>597244.6875</v>
      </c>
      <c r="L71">
        <v>69016.890625</v>
      </c>
      <c r="M71" t="b">
        <v>1</v>
      </c>
      <c r="N71">
        <v>1.6266642841925987</v>
      </c>
      <c r="O71" t="b">
        <v>1</v>
      </c>
      <c r="P71">
        <v>3</v>
      </c>
      <c r="Q71">
        <v>9</v>
      </c>
      <c r="R71">
        <v>84.893600463867188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</row>
    <row r="72" spans="1:23">
      <c r="A72" t="s">
        <v>129</v>
      </c>
      <c r="B72" t="s">
        <v>128</v>
      </c>
      <c r="C72" t="s">
        <v>25</v>
      </c>
      <c r="D72" t="s">
        <v>33</v>
      </c>
      <c r="E72" t="s">
        <v>27</v>
      </c>
      <c r="F72" t="s">
        <v>28</v>
      </c>
      <c r="G72">
        <v>17.438993453979492</v>
      </c>
      <c r="H72">
        <v>17.297897338867188</v>
      </c>
      <c r="I72">
        <v>0.19954003393650055</v>
      </c>
      <c r="J72">
        <v>548442.375</v>
      </c>
      <c r="K72">
        <v>597244.6875</v>
      </c>
      <c r="L72">
        <v>69016.890625</v>
      </c>
      <c r="M72" t="b">
        <v>1</v>
      </c>
      <c r="N72">
        <v>1.6266642841925987</v>
      </c>
      <c r="O72" t="b">
        <v>1</v>
      </c>
      <c r="P72">
        <v>3</v>
      </c>
      <c r="Q72">
        <v>8</v>
      </c>
      <c r="R72">
        <v>84.701972961425781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</row>
    <row r="73" spans="1:23">
      <c r="A73" t="s">
        <v>130</v>
      </c>
      <c r="B73" t="s">
        <v>24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</row>
    <row r="74" spans="1:23">
      <c r="A74" t="s">
        <v>132</v>
      </c>
      <c r="B74" t="s">
        <v>24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</row>
    <row r="75" spans="1:23">
      <c r="A75" t="s">
        <v>133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b">
        <v>1</v>
      </c>
      <c r="N75">
        <v>1.6266642841925987</v>
      </c>
      <c r="O75" t="b">
        <v>1</v>
      </c>
      <c r="P75">
        <v>3</v>
      </c>
      <c r="Q75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</row>
    <row r="76" spans="1:23">
      <c r="A76" t="s">
        <v>134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b">
        <v>1</v>
      </c>
      <c r="N76">
        <v>1.6266642841925987</v>
      </c>
      <c r="O76" t="b">
        <v>1</v>
      </c>
      <c r="P76">
        <v>3</v>
      </c>
      <c r="Q76">
        <v>23</v>
      </c>
      <c r="R76" t="s">
        <v>24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</row>
    <row r="77" spans="1:23">
      <c r="A77" t="s">
        <v>135</v>
      </c>
      <c r="B77" t="s">
        <v>136</v>
      </c>
      <c r="C77" t="s">
        <v>25</v>
      </c>
      <c r="D77" t="s">
        <v>33</v>
      </c>
      <c r="E77" t="s">
        <v>27</v>
      </c>
      <c r="F77" t="s">
        <v>28</v>
      </c>
      <c r="G77">
        <v>14.505545616149902</v>
      </c>
      <c r="H77">
        <v>14.461048126220703</v>
      </c>
      <c r="I77">
        <v>6.2928281724452972E-2</v>
      </c>
      <c r="J77">
        <v>3010058</v>
      </c>
      <c r="K77">
        <v>3089841.5</v>
      </c>
      <c r="L77">
        <v>112830.90625</v>
      </c>
      <c r="M77" t="b">
        <v>1</v>
      </c>
      <c r="N77">
        <v>1.6266642841925987</v>
      </c>
      <c r="O77" t="b">
        <v>1</v>
      </c>
      <c r="P77">
        <v>3</v>
      </c>
      <c r="Q77">
        <v>7</v>
      </c>
      <c r="R77">
        <v>85.085220336914062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</row>
    <row r="78" spans="1:23">
      <c r="A78" t="s">
        <v>137</v>
      </c>
      <c r="B78" t="s">
        <v>136</v>
      </c>
      <c r="C78" t="s">
        <v>25</v>
      </c>
      <c r="D78" t="s">
        <v>33</v>
      </c>
      <c r="E78" t="s">
        <v>27</v>
      </c>
      <c r="F78" t="s">
        <v>28</v>
      </c>
      <c r="G78">
        <v>14.41655158996582</v>
      </c>
      <c r="H78">
        <v>14.461048126220703</v>
      </c>
      <c r="I78">
        <v>6.2928281724452972E-2</v>
      </c>
      <c r="J78">
        <v>3169625</v>
      </c>
      <c r="K78">
        <v>3089841.5</v>
      </c>
      <c r="L78">
        <v>112830.90625</v>
      </c>
      <c r="M78" t="b">
        <v>1</v>
      </c>
      <c r="N78">
        <v>1.6266642841925987</v>
      </c>
      <c r="O78" t="b">
        <v>1</v>
      </c>
      <c r="P78">
        <v>3</v>
      </c>
      <c r="Q78">
        <v>7</v>
      </c>
      <c r="R78">
        <v>85.085220336914062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</row>
    <row r="79" spans="1:23">
      <c r="A79" t="s">
        <v>138</v>
      </c>
      <c r="B79" t="s">
        <v>139</v>
      </c>
      <c r="C79" t="s">
        <v>25</v>
      </c>
      <c r="D79" t="s">
        <v>33</v>
      </c>
      <c r="E79" t="s">
        <v>27</v>
      </c>
      <c r="F79" t="s">
        <v>28</v>
      </c>
      <c r="G79">
        <v>13.503472328186035</v>
      </c>
      <c r="H79">
        <v>13.470802307128906</v>
      </c>
      <c r="I79">
        <v>4.6203061938285828E-2</v>
      </c>
      <c r="J79">
        <v>5384815</v>
      </c>
      <c r="K79">
        <v>5488886</v>
      </c>
      <c r="L79">
        <v>147178.96875</v>
      </c>
      <c r="M79" t="b">
        <v>1</v>
      </c>
      <c r="N79">
        <v>1.6266642841925987</v>
      </c>
      <c r="O79" t="b">
        <v>1</v>
      </c>
      <c r="P79">
        <v>3</v>
      </c>
      <c r="Q79">
        <v>6</v>
      </c>
      <c r="R79">
        <v>85.276847839355469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</row>
    <row r="80" spans="1:23">
      <c r="A80" t="s">
        <v>140</v>
      </c>
      <c r="B80" t="s">
        <v>139</v>
      </c>
      <c r="C80" t="s">
        <v>25</v>
      </c>
      <c r="D80" t="s">
        <v>33</v>
      </c>
      <c r="E80" t="s">
        <v>27</v>
      </c>
      <c r="F80" t="s">
        <v>28</v>
      </c>
      <c r="G80">
        <v>13.438131332397461</v>
      </c>
      <c r="H80">
        <v>13.470802307128906</v>
      </c>
      <c r="I80">
        <v>4.6203061938285828E-2</v>
      </c>
      <c r="J80">
        <v>5592957.5</v>
      </c>
      <c r="K80">
        <v>5488886</v>
      </c>
      <c r="L80">
        <v>147178.96875</v>
      </c>
      <c r="M80" t="b">
        <v>1</v>
      </c>
      <c r="N80">
        <v>1.6266642841925987</v>
      </c>
      <c r="O80" t="b">
        <v>1</v>
      </c>
      <c r="P80">
        <v>3</v>
      </c>
      <c r="Q80">
        <v>4</v>
      </c>
      <c r="R80">
        <v>85.276847839355469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</row>
    <row r="81" spans="1:23">
      <c r="A81" t="s">
        <v>141</v>
      </c>
      <c r="B81" t="s">
        <v>142</v>
      </c>
      <c r="C81" t="s">
        <v>25</v>
      </c>
      <c r="D81" t="s">
        <v>33</v>
      </c>
      <c r="E81" t="s">
        <v>27</v>
      </c>
      <c r="F81" t="s">
        <v>28</v>
      </c>
      <c r="G81">
        <v>14.625097274780273</v>
      </c>
      <c r="H81">
        <v>14.702215194702148</v>
      </c>
      <c r="I81">
        <v>0.10906053334474564</v>
      </c>
      <c r="J81">
        <v>2808271.5</v>
      </c>
      <c r="K81">
        <v>2688034</v>
      </c>
      <c r="L81">
        <v>170041.5</v>
      </c>
      <c r="M81" t="b">
        <v>1</v>
      </c>
      <c r="N81">
        <v>1.6266642841925987</v>
      </c>
      <c r="O81" t="b">
        <v>1</v>
      </c>
      <c r="P81">
        <v>3</v>
      </c>
      <c r="Q81">
        <v>5</v>
      </c>
      <c r="R81">
        <v>84.893600463867188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</row>
    <row r="82" spans="1:23">
      <c r="A82" t="s">
        <v>143</v>
      </c>
      <c r="B82" t="s">
        <v>142</v>
      </c>
      <c r="C82" t="s">
        <v>25</v>
      </c>
      <c r="D82" t="s">
        <v>33</v>
      </c>
      <c r="E82" t="s">
        <v>27</v>
      </c>
      <c r="F82" t="s">
        <v>28</v>
      </c>
      <c r="G82">
        <v>14.779332160949707</v>
      </c>
      <c r="H82">
        <v>14.702215194702148</v>
      </c>
      <c r="I82">
        <v>0.10906053334474564</v>
      </c>
      <c r="J82">
        <v>2567796.5</v>
      </c>
      <c r="K82">
        <v>2688034</v>
      </c>
      <c r="L82">
        <v>170041.5</v>
      </c>
      <c r="M82" t="b">
        <v>1</v>
      </c>
      <c r="N82">
        <v>1.6266642841925987</v>
      </c>
      <c r="O82" t="b">
        <v>1</v>
      </c>
      <c r="P82">
        <v>1</v>
      </c>
      <c r="Q82">
        <v>2</v>
      </c>
      <c r="R82">
        <v>84.701972961425781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</row>
    <row r="83" spans="1:23">
      <c r="A83" t="s">
        <v>144</v>
      </c>
      <c r="B83" t="s">
        <v>145</v>
      </c>
      <c r="C83" t="s">
        <v>25</v>
      </c>
      <c r="D83" t="s">
        <v>33</v>
      </c>
      <c r="E83" t="s">
        <v>27</v>
      </c>
      <c r="F83" t="s">
        <v>28</v>
      </c>
      <c r="G83">
        <v>14.719022750854492</v>
      </c>
      <c r="H83">
        <v>14.839447021484375</v>
      </c>
      <c r="I83">
        <v>0.17030563950538635</v>
      </c>
      <c r="J83">
        <v>2659273.5</v>
      </c>
      <c r="K83">
        <v>2485806.25</v>
      </c>
      <c r="L83">
        <v>245319.734375</v>
      </c>
      <c r="M83" t="b">
        <v>1</v>
      </c>
      <c r="N83">
        <v>1.6266642841925987</v>
      </c>
      <c r="O83" t="b">
        <v>1</v>
      </c>
      <c r="P83">
        <v>3</v>
      </c>
      <c r="Q83">
        <v>5</v>
      </c>
      <c r="R83">
        <v>84.893600463867188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</row>
    <row r="84" spans="1:23">
      <c r="A84" t="s">
        <v>146</v>
      </c>
      <c r="B84" t="s">
        <v>145</v>
      </c>
      <c r="C84" t="s">
        <v>25</v>
      </c>
      <c r="D84" t="s">
        <v>33</v>
      </c>
      <c r="E84" t="s">
        <v>27</v>
      </c>
      <c r="F84" t="s">
        <v>28</v>
      </c>
      <c r="G84">
        <v>14.959871292114258</v>
      </c>
      <c r="H84">
        <v>14.839447021484375</v>
      </c>
      <c r="I84">
        <v>0.17030563950538635</v>
      </c>
      <c r="J84">
        <v>2312339</v>
      </c>
      <c r="K84">
        <v>2485806.25</v>
      </c>
      <c r="L84">
        <v>245319.734375</v>
      </c>
      <c r="M84" t="b">
        <v>1</v>
      </c>
      <c r="N84">
        <v>1.6266642841925987</v>
      </c>
      <c r="O84" t="b">
        <v>1</v>
      </c>
      <c r="P84">
        <v>3</v>
      </c>
      <c r="Q84">
        <v>7</v>
      </c>
      <c r="R84">
        <v>84.893600463867188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</row>
    <row r="85" spans="1:23">
      <c r="A85" t="s">
        <v>147</v>
      </c>
      <c r="B85" t="s">
        <v>24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29</v>
      </c>
      <c r="W85" t="s">
        <v>29</v>
      </c>
    </row>
    <row r="86" spans="1:23">
      <c r="A86" t="s">
        <v>149</v>
      </c>
      <c r="B86" t="s">
        <v>24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29</v>
      </c>
      <c r="W86" t="s">
        <v>29</v>
      </c>
    </row>
    <row r="87" spans="1:23">
      <c r="A87" t="s">
        <v>150</v>
      </c>
      <c r="B87" t="s">
        <v>24</v>
      </c>
      <c r="C87" t="s">
        <v>25</v>
      </c>
      <c r="D87" t="s">
        <v>151</v>
      </c>
      <c r="E87" t="s">
        <v>27</v>
      </c>
      <c r="F87" t="s">
        <v>28</v>
      </c>
      <c r="G87">
        <v>34.884506225585938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b">
        <v>1</v>
      </c>
      <c r="N87">
        <v>1.6266642841925987</v>
      </c>
      <c r="O87" t="b">
        <v>1</v>
      </c>
      <c r="P87">
        <v>3</v>
      </c>
      <c r="Q87">
        <v>28</v>
      </c>
      <c r="R87">
        <v>79.144828796386719</v>
      </c>
      <c r="S87" t="s">
        <v>24</v>
      </c>
      <c r="T87" t="s">
        <v>24</v>
      </c>
      <c r="U87" t="s">
        <v>24</v>
      </c>
      <c r="V87" t="s">
        <v>114</v>
      </c>
      <c r="W87" t="s">
        <v>29</v>
      </c>
    </row>
    <row r="88" spans="1:23">
      <c r="A88" t="s">
        <v>152</v>
      </c>
      <c r="B88" t="s">
        <v>24</v>
      </c>
      <c r="C88" t="s">
        <v>25</v>
      </c>
      <c r="D88" t="s">
        <v>151</v>
      </c>
      <c r="E88" t="s">
        <v>27</v>
      </c>
      <c r="F88" t="s">
        <v>28</v>
      </c>
      <c r="G88">
        <v>35.482494354248047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b">
        <v>1</v>
      </c>
      <c r="N88">
        <v>1.6266642841925987</v>
      </c>
      <c r="O88" t="b">
        <v>1</v>
      </c>
      <c r="P88">
        <v>3</v>
      </c>
      <c r="Q88">
        <v>29</v>
      </c>
      <c r="R88">
        <v>81.827590942382812</v>
      </c>
      <c r="S88" t="s">
        <v>24</v>
      </c>
      <c r="T88" t="s">
        <v>24</v>
      </c>
      <c r="U88" t="s">
        <v>24</v>
      </c>
      <c r="V88" t="s">
        <v>29</v>
      </c>
      <c r="W88" t="s">
        <v>29</v>
      </c>
    </row>
    <row r="89" spans="1:23">
      <c r="A89" t="s">
        <v>153</v>
      </c>
      <c r="B89" t="s">
        <v>154</v>
      </c>
      <c r="C89" t="s">
        <v>25</v>
      </c>
      <c r="D89" t="s">
        <v>33</v>
      </c>
      <c r="E89" t="s">
        <v>27</v>
      </c>
      <c r="F89" t="s">
        <v>28</v>
      </c>
      <c r="G89">
        <v>14.673320770263672</v>
      </c>
      <c r="H89">
        <v>14.562168121337891</v>
      </c>
      <c r="I89">
        <v>0.15719291567802429</v>
      </c>
      <c r="J89">
        <v>2730758.25</v>
      </c>
      <c r="K89">
        <v>2918804</v>
      </c>
      <c r="L89">
        <v>265936.6875</v>
      </c>
      <c r="M89" t="b">
        <v>1</v>
      </c>
      <c r="N89">
        <v>1.6266642841925987</v>
      </c>
      <c r="O89" t="b">
        <v>1</v>
      </c>
      <c r="P89">
        <v>3</v>
      </c>
      <c r="Q89">
        <v>7</v>
      </c>
      <c r="R89">
        <v>84.701972961425781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</row>
    <row r="90" spans="1:23">
      <c r="A90" t="s">
        <v>155</v>
      </c>
      <c r="B90" t="s">
        <v>154</v>
      </c>
      <c r="C90" t="s">
        <v>25</v>
      </c>
      <c r="D90" t="s">
        <v>33</v>
      </c>
      <c r="E90" t="s">
        <v>27</v>
      </c>
      <c r="F90" t="s">
        <v>28</v>
      </c>
      <c r="G90">
        <v>14.451016426086426</v>
      </c>
      <c r="H90">
        <v>14.562168121337891</v>
      </c>
      <c r="I90">
        <v>0.15719291567802429</v>
      </c>
      <c r="J90">
        <v>3106849.5</v>
      </c>
      <c r="K90">
        <v>2918804</v>
      </c>
      <c r="L90">
        <v>265936.6875</v>
      </c>
      <c r="M90" t="b">
        <v>1</v>
      </c>
      <c r="N90">
        <v>1.6266642841925987</v>
      </c>
      <c r="O90" t="b">
        <v>1</v>
      </c>
      <c r="P90">
        <v>3</v>
      </c>
      <c r="Q90">
        <v>7</v>
      </c>
      <c r="R90">
        <v>84.701972961425781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</row>
    <row r="91" spans="1:23">
      <c r="A91" t="s">
        <v>156</v>
      </c>
      <c r="B91" t="s">
        <v>157</v>
      </c>
      <c r="C91" t="s">
        <v>25</v>
      </c>
      <c r="D91" t="s">
        <v>33</v>
      </c>
      <c r="E91" t="s">
        <v>27</v>
      </c>
      <c r="F91" t="s">
        <v>28</v>
      </c>
      <c r="G91">
        <v>15.319576263427734</v>
      </c>
      <c r="H91">
        <v>15.398335456848145</v>
      </c>
      <c r="I91">
        <v>0.11138232052326202</v>
      </c>
      <c r="J91">
        <v>1876633.625</v>
      </c>
      <c r="K91">
        <v>1794651</v>
      </c>
      <c r="L91">
        <v>115940.8515625</v>
      </c>
      <c r="M91" t="b">
        <v>1</v>
      </c>
      <c r="N91">
        <v>1.6266642841925987</v>
      </c>
      <c r="O91" t="b">
        <v>1</v>
      </c>
      <c r="P91">
        <v>3</v>
      </c>
      <c r="Q91">
        <v>7</v>
      </c>
      <c r="R91">
        <v>84.701972961425781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</row>
    <row r="92" spans="1:23">
      <c r="A92" t="s">
        <v>158</v>
      </c>
      <c r="B92" t="s">
        <v>157</v>
      </c>
      <c r="C92" t="s">
        <v>25</v>
      </c>
      <c r="D92" t="s">
        <v>33</v>
      </c>
      <c r="E92" t="s">
        <v>27</v>
      </c>
      <c r="F92" t="s">
        <v>28</v>
      </c>
      <c r="G92">
        <v>15.477094650268555</v>
      </c>
      <c r="H92">
        <v>15.398335456848145</v>
      </c>
      <c r="I92">
        <v>0.11138232052326202</v>
      </c>
      <c r="J92">
        <v>1712668.5</v>
      </c>
      <c r="K92">
        <v>1794651</v>
      </c>
      <c r="L92">
        <v>115940.8515625</v>
      </c>
      <c r="M92" t="b">
        <v>1</v>
      </c>
      <c r="N92">
        <v>1.6266642841925987</v>
      </c>
      <c r="O92" t="b">
        <v>1</v>
      </c>
      <c r="P92">
        <v>3</v>
      </c>
      <c r="Q92">
        <v>7</v>
      </c>
      <c r="R92">
        <v>84.893600463867188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</row>
    <row r="93" spans="1:23">
      <c r="A93" t="s">
        <v>159</v>
      </c>
      <c r="B93" t="s">
        <v>160</v>
      </c>
      <c r="C93" t="s">
        <v>25</v>
      </c>
      <c r="D93" t="s">
        <v>33</v>
      </c>
      <c r="E93" t="s">
        <v>27</v>
      </c>
      <c r="F93" t="s">
        <v>28</v>
      </c>
      <c r="G93">
        <v>15.140937805175781</v>
      </c>
      <c r="H93">
        <v>15.209896087646484</v>
      </c>
      <c r="I93">
        <v>9.7521737217903137E-2</v>
      </c>
      <c r="J93">
        <v>2081658.375</v>
      </c>
      <c r="K93">
        <v>2001588</v>
      </c>
      <c r="L93">
        <v>113236.609375</v>
      </c>
      <c r="M93" t="b">
        <v>1</v>
      </c>
      <c r="N93">
        <v>1.6266642841925987</v>
      </c>
      <c r="O93" t="b">
        <v>1</v>
      </c>
      <c r="P93">
        <v>3</v>
      </c>
      <c r="Q93">
        <v>8</v>
      </c>
      <c r="R93">
        <v>85.085220336914062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</row>
    <row r="94" spans="1:23">
      <c r="A94" t="s">
        <v>161</v>
      </c>
      <c r="B94" t="s">
        <v>160</v>
      </c>
      <c r="C94" t="s">
        <v>25</v>
      </c>
      <c r="D94" t="s">
        <v>33</v>
      </c>
      <c r="E94" t="s">
        <v>27</v>
      </c>
      <c r="F94" t="s">
        <v>28</v>
      </c>
      <c r="G94">
        <v>15.278854370117188</v>
      </c>
      <c r="H94">
        <v>15.209896087646484</v>
      </c>
      <c r="I94">
        <v>9.7521737217903137E-2</v>
      </c>
      <c r="J94">
        <v>1921517.625</v>
      </c>
      <c r="K94">
        <v>2001588</v>
      </c>
      <c r="L94">
        <v>113236.609375</v>
      </c>
      <c r="M94" t="b">
        <v>1</v>
      </c>
      <c r="N94">
        <v>1.6266642841925987</v>
      </c>
      <c r="O94" t="b">
        <v>1</v>
      </c>
      <c r="P94">
        <v>3</v>
      </c>
      <c r="Q94">
        <v>7</v>
      </c>
      <c r="R94">
        <v>85.085220336914062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</row>
    <row r="95" spans="1:23">
      <c r="A95" t="s">
        <v>162</v>
      </c>
      <c r="B95" t="s">
        <v>163</v>
      </c>
      <c r="C95" t="s">
        <v>25</v>
      </c>
      <c r="D95" t="s">
        <v>33</v>
      </c>
      <c r="E95" t="s">
        <v>27</v>
      </c>
      <c r="F95" t="s">
        <v>28</v>
      </c>
      <c r="G95">
        <v>15.571932792663574</v>
      </c>
      <c r="H95">
        <v>15.651054382324219</v>
      </c>
      <c r="I95">
        <v>0.11189482361078262</v>
      </c>
      <c r="J95">
        <v>1620940.75</v>
      </c>
      <c r="K95">
        <v>1549817.25</v>
      </c>
      <c r="L95">
        <v>100583.7265625</v>
      </c>
      <c r="M95" t="b">
        <v>1</v>
      </c>
      <c r="N95">
        <v>1.6266642841925987</v>
      </c>
      <c r="O95" t="b">
        <v>1</v>
      </c>
      <c r="P95">
        <v>3</v>
      </c>
      <c r="Q95">
        <v>7</v>
      </c>
      <c r="R95">
        <v>84.701972961425781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</row>
    <row r="96" spans="1:23">
      <c r="A96" t="s">
        <v>164</v>
      </c>
      <c r="B96" t="s">
        <v>163</v>
      </c>
      <c r="C96" t="s">
        <v>25</v>
      </c>
      <c r="D96" t="s">
        <v>33</v>
      </c>
      <c r="E96" t="s">
        <v>27</v>
      </c>
      <c r="F96" t="s">
        <v>28</v>
      </c>
      <c r="G96">
        <v>15.730175971984863</v>
      </c>
      <c r="H96">
        <v>15.651054382324219</v>
      </c>
      <c r="I96">
        <v>0.11189482361078262</v>
      </c>
      <c r="J96">
        <v>1478693.875</v>
      </c>
      <c r="K96">
        <v>1549817.25</v>
      </c>
      <c r="L96">
        <v>100583.7265625</v>
      </c>
      <c r="M96" t="b">
        <v>1</v>
      </c>
      <c r="N96">
        <v>1.6266642841925987</v>
      </c>
      <c r="O96" t="b">
        <v>1</v>
      </c>
      <c r="P96">
        <v>3</v>
      </c>
      <c r="Q96">
        <v>7</v>
      </c>
      <c r="R96">
        <v>84.701972961425781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</row>
    <row r="97" spans="1:23">
      <c r="A97" t="s">
        <v>165</v>
      </c>
      <c r="B97" t="s">
        <v>24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</row>
    <row r="98" spans="1:23">
      <c r="A98" t="s">
        <v>167</v>
      </c>
      <c r="B98" t="s">
        <v>24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4"/>
  <sheetViews>
    <sheetView topLeftCell="A78" workbookViewId="0">
      <selection activeCell="A8" sqref="A8:K104"/>
    </sheetView>
  </sheetViews>
  <sheetFormatPr baseColWidth="10" defaultColWidth="9.1640625" defaultRowHeight="15"/>
  <cols>
    <col min="1" max="1" width="9.1640625" customWidth="1"/>
  </cols>
  <sheetData>
    <row r="1" spans="1:22">
      <c r="A1" t="s">
        <v>784</v>
      </c>
      <c r="B1" t="s">
        <v>785</v>
      </c>
    </row>
    <row r="2" spans="1:22">
      <c r="A2" t="s">
        <v>786</v>
      </c>
      <c r="B2" t="s">
        <v>787</v>
      </c>
    </row>
    <row r="3" spans="1:22">
      <c r="A3" t="s">
        <v>788</v>
      </c>
      <c r="B3" t="s">
        <v>801</v>
      </c>
    </row>
    <row r="4" spans="1:22">
      <c r="A4" t="s">
        <v>222</v>
      </c>
      <c r="B4" t="s">
        <v>802</v>
      </c>
    </row>
    <row r="5" spans="1:22">
      <c r="A5" t="s">
        <v>791</v>
      </c>
      <c r="B5" t="s">
        <v>792</v>
      </c>
    </row>
    <row r="6" spans="1:22">
      <c r="A6" t="s">
        <v>793</v>
      </c>
      <c r="B6" t="s">
        <v>794</v>
      </c>
    </row>
    <row r="8" spans="1:2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169</v>
      </c>
    </row>
    <row r="9" spans="1:22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13.88106632232666</v>
      </c>
      <c r="H9">
        <v>13.768123626708984</v>
      </c>
      <c r="I9">
        <v>0.15972577035427094</v>
      </c>
      <c r="J9">
        <v>5000000</v>
      </c>
      <c r="K9" t="s">
        <v>24</v>
      </c>
      <c r="L9" t="s">
        <v>24</v>
      </c>
      <c r="M9" t="b">
        <v>0</v>
      </c>
      <c r="N9">
        <v>1.8</v>
      </c>
      <c r="O9" t="b">
        <v>1</v>
      </c>
      <c r="P9">
        <v>3</v>
      </c>
      <c r="Q9">
        <v>5</v>
      </c>
      <c r="R9">
        <v>84.458206176757812</v>
      </c>
      <c r="S9" t="s">
        <v>24</v>
      </c>
      <c r="T9" t="s">
        <v>24</v>
      </c>
      <c r="U9" t="s">
        <v>24</v>
      </c>
      <c r="V9" t="s">
        <v>29</v>
      </c>
    </row>
    <row r="10" spans="1:22">
      <c r="A10" t="s">
        <v>30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13.655179977416992</v>
      </c>
      <c r="H10">
        <v>13.768123626708984</v>
      </c>
      <c r="I10">
        <v>0.15972577035427094</v>
      </c>
      <c r="J10">
        <v>5000000</v>
      </c>
      <c r="K10" t="s">
        <v>24</v>
      </c>
      <c r="L10" t="s">
        <v>24</v>
      </c>
      <c r="M10" t="b">
        <v>0</v>
      </c>
      <c r="N10">
        <v>1.8</v>
      </c>
      <c r="O10" t="b">
        <v>1</v>
      </c>
      <c r="P10">
        <v>3</v>
      </c>
      <c r="Q10">
        <v>6</v>
      </c>
      <c r="R10">
        <v>84.458206176757812</v>
      </c>
      <c r="S10" t="s">
        <v>24</v>
      </c>
      <c r="T10" t="s">
        <v>24</v>
      </c>
      <c r="U10" t="s">
        <v>24</v>
      </c>
      <c r="V10" t="s">
        <v>29</v>
      </c>
    </row>
    <row r="11" spans="1:22">
      <c r="A11" t="s">
        <v>31</v>
      </c>
      <c r="B11" t="s">
        <v>32</v>
      </c>
      <c r="C11" t="s">
        <v>25</v>
      </c>
      <c r="D11" t="s">
        <v>33</v>
      </c>
      <c r="E11" t="s">
        <v>27</v>
      </c>
      <c r="F11" t="s">
        <v>28</v>
      </c>
      <c r="G11">
        <v>8.3999671936035156</v>
      </c>
      <c r="H11">
        <v>8.3452243804931641</v>
      </c>
      <c r="I11">
        <v>7.7418029308319092E-2</v>
      </c>
      <c r="J11">
        <v>153993920</v>
      </c>
      <c r="K11">
        <v>159108256</v>
      </c>
      <c r="L11">
        <v>7232752</v>
      </c>
      <c r="M11" t="b">
        <v>0</v>
      </c>
      <c r="N11">
        <v>1.8</v>
      </c>
      <c r="O11" t="b">
        <v>1</v>
      </c>
      <c r="P11">
        <v>1</v>
      </c>
      <c r="Q11">
        <v>2</v>
      </c>
      <c r="R11">
        <v>84.458206176757812</v>
      </c>
      <c r="S11" t="s">
        <v>24</v>
      </c>
      <c r="T11" t="s">
        <v>24</v>
      </c>
      <c r="U11" t="s">
        <v>24</v>
      </c>
      <c r="V11" t="s">
        <v>29</v>
      </c>
    </row>
    <row r="12" spans="1:22">
      <c r="A12" t="s">
        <v>34</v>
      </c>
      <c r="B12" t="s">
        <v>32</v>
      </c>
      <c r="C12" t="s">
        <v>25</v>
      </c>
      <c r="D12" t="s">
        <v>33</v>
      </c>
      <c r="E12" t="s">
        <v>27</v>
      </c>
      <c r="F12" t="s">
        <v>28</v>
      </c>
      <c r="G12">
        <v>8.2904815673828125</v>
      </c>
      <c r="H12">
        <v>8.3452243804931641</v>
      </c>
      <c r="I12">
        <v>7.7418029308319092E-2</v>
      </c>
      <c r="J12">
        <v>164222576</v>
      </c>
      <c r="K12">
        <v>159108256</v>
      </c>
      <c r="L12">
        <v>7232752</v>
      </c>
      <c r="M12" t="b">
        <v>0</v>
      </c>
      <c r="N12">
        <v>1.8</v>
      </c>
      <c r="O12" t="b">
        <v>1</v>
      </c>
      <c r="P12">
        <v>1</v>
      </c>
      <c r="Q12">
        <v>2</v>
      </c>
      <c r="R12">
        <v>84.458206176757812</v>
      </c>
      <c r="S12" t="s">
        <v>24</v>
      </c>
      <c r="T12" t="s">
        <v>24</v>
      </c>
      <c r="U12" t="s">
        <v>24</v>
      </c>
      <c r="V12" t="s">
        <v>29</v>
      </c>
    </row>
    <row r="13" spans="1:22">
      <c r="A13" t="s">
        <v>35</v>
      </c>
      <c r="B13" t="s">
        <v>36</v>
      </c>
      <c r="C13" t="s">
        <v>25</v>
      </c>
      <c r="D13" t="s">
        <v>33</v>
      </c>
      <c r="E13" t="s">
        <v>27</v>
      </c>
      <c r="F13" t="s">
        <v>28</v>
      </c>
      <c r="G13">
        <v>9.8889455795288086</v>
      </c>
      <c r="H13">
        <v>9.737945556640625</v>
      </c>
      <c r="I13">
        <v>0.21354560554027557</v>
      </c>
      <c r="J13">
        <v>64220228</v>
      </c>
      <c r="K13">
        <v>70452616</v>
      </c>
      <c r="L13">
        <v>8813930</v>
      </c>
      <c r="M13" t="b">
        <v>0</v>
      </c>
      <c r="N13">
        <v>1.8</v>
      </c>
      <c r="O13" t="b">
        <v>1</v>
      </c>
      <c r="P13">
        <v>1</v>
      </c>
      <c r="Q13">
        <v>2</v>
      </c>
      <c r="R13">
        <v>84.843276977539062</v>
      </c>
      <c r="S13" t="s">
        <v>24</v>
      </c>
      <c r="T13" t="s">
        <v>24</v>
      </c>
      <c r="U13" t="s">
        <v>24</v>
      </c>
      <c r="V13" t="s">
        <v>29</v>
      </c>
    </row>
    <row r="14" spans="1:22">
      <c r="A14" t="s">
        <v>37</v>
      </c>
      <c r="B14" t="s">
        <v>36</v>
      </c>
      <c r="C14" t="s">
        <v>25</v>
      </c>
      <c r="D14" t="s">
        <v>33</v>
      </c>
      <c r="E14" t="s">
        <v>27</v>
      </c>
      <c r="F14" t="s">
        <v>28</v>
      </c>
      <c r="G14">
        <v>9.5869464874267578</v>
      </c>
      <c r="H14">
        <v>9.737945556640625</v>
      </c>
      <c r="I14">
        <v>0.21354560554027557</v>
      </c>
      <c r="J14">
        <v>76685008</v>
      </c>
      <c r="K14">
        <v>70452616</v>
      </c>
      <c r="L14">
        <v>8813930</v>
      </c>
      <c r="M14" t="b">
        <v>0</v>
      </c>
      <c r="N14">
        <v>1.8</v>
      </c>
      <c r="O14" t="b">
        <v>1</v>
      </c>
      <c r="P14">
        <v>1</v>
      </c>
      <c r="Q14">
        <v>2</v>
      </c>
      <c r="R14">
        <v>84.843276977539062</v>
      </c>
      <c r="S14" t="s">
        <v>24</v>
      </c>
      <c r="T14" t="s">
        <v>24</v>
      </c>
      <c r="U14" t="s">
        <v>24</v>
      </c>
      <c r="V14" t="s">
        <v>29</v>
      </c>
    </row>
    <row r="15" spans="1:22">
      <c r="A15" t="s">
        <v>38</v>
      </c>
      <c r="B15" t="s">
        <v>39</v>
      </c>
      <c r="C15" t="s">
        <v>25</v>
      </c>
      <c r="D15" t="s">
        <v>33</v>
      </c>
      <c r="E15" t="s">
        <v>27</v>
      </c>
      <c r="F15" t="s">
        <v>28</v>
      </c>
      <c r="G15">
        <v>10.28297233581543</v>
      </c>
      <c r="H15">
        <v>10.336692810058594</v>
      </c>
      <c r="I15">
        <v>7.5972221791744232E-2</v>
      </c>
      <c r="J15">
        <v>50951548</v>
      </c>
      <c r="K15">
        <v>49393488</v>
      </c>
      <c r="L15">
        <v>2203429.5</v>
      </c>
      <c r="M15" t="b">
        <v>0</v>
      </c>
      <c r="N15">
        <v>1.8</v>
      </c>
      <c r="O15" t="b">
        <v>1</v>
      </c>
      <c r="P15">
        <v>1</v>
      </c>
      <c r="Q15">
        <v>2</v>
      </c>
      <c r="R15">
        <v>84.458206176757812</v>
      </c>
      <c r="S15" t="s">
        <v>24</v>
      </c>
      <c r="T15" t="s">
        <v>24</v>
      </c>
      <c r="U15" t="s">
        <v>24</v>
      </c>
      <c r="V15" t="s">
        <v>29</v>
      </c>
    </row>
    <row r="16" spans="1:22">
      <c r="A16" t="s">
        <v>40</v>
      </c>
      <c r="B16" t="s">
        <v>39</v>
      </c>
      <c r="C16" t="s">
        <v>25</v>
      </c>
      <c r="D16" t="s">
        <v>33</v>
      </c>
      <c r="E16" t="s">
        <v>27</v>
      </c>
      <c r="F16" t="s">
        <v>28</v>
      </c>
      <c r="G16">
        <v>10.390413284301758</v>
      </c>
      <c r="H16">
        <v>10.336692810058594</v>
      </c>
      <c r="I16">
        <v>7.5972221791744232E-2</v>
      </c>
      <c r="J16">
        <v>47835428</v>
      </c>
      <c r="K16">
        <v>49393488</v>
      </c>
      <c r="L16">
        <v>2203429.5</v>
      </c>
      <c r="M16" t="b">
        <v>0</v>
      </c>
      <c r="N16">
        <v>1.8</v>
      </c>
      <c r="O16" t="b">
        <v>1</v>
      </c>
      <c r="P16">
        <v>1</v>
      </c>
      <c r="Q16">
        <v>3</v>
      </c>
      <c r="R16">
        <v>84.265670776367188</v>
      </c>
      <c r="S16" t="s">
        <v>24</v>
      </c>
      <c r="T16" t="s">
        <v>24</v>
      </c>
      <c r="U16" t="s">
        <v>24</v>
      </c>
      <c r="V16" t="s">
        <v>29</v>
      </c>
    </row>
    <row r="17" spans="1:22">
      <c r="A17" t="s">
        <v>41</v>
      </c>
      <c r="B17" t="s">
        <v>42</v>
      </c>
      <c r="C17" t="s">
        <v>25</v>
      </c>
      <c r="D17" t="s">
        <v>33</v>
      </c>
      <c r="E17" t="s">
        <v>27</v>
      </c>
      <c r="F17" t="s">
        <v>28</v>
      </c>
      <c r="G17">
        <v>14.233787536621094</v>
      </c>
      <c r="H17">
        <v>14.365701675415039</v>
      </c>
      <c r="I17">
        <v>0.18655475974082947</v>
      </c>
      <c r="J17">
        <v>5004055</v>
      </c>
      <c r="K17">
        <v>4644872</v>
      </c>
      <c r="L17">
        <v>507961.46875</v>
      </c>
      <c r="M17" t="b">
        <v>0</v>
      </c>
      <c r="N17">
        <v>1.8</v>
      </c>
      <c r="O17" t="b">
        <v>1</v>
      </c>
      <c r="P17">
        <v>3</v>
      </c>
      <c r="Q17">
        <v>6</v>
      </c>
      <c r="R17">
        <v>84.843276977539062</v>
      </c>
      <c r="S17" t="s">
        <v>24</v>
      </c>
      <c r="T17" t="s">
        <v>24</v>
      </c>
      <c r="U17" t="s">
        <v>24</v>
      </c>
      <c r="V17" t="s">
        <v>29</v>
      </c>
    </row>
    <row r="18" spans="1:22">
      <c r="A18" t="s">
        <v>43</v>
      </c>
      <c r="B18" t="s">
        <v>42</v>
      </c>
      <c r="C18" t="s">
        <v>25</v>
      </c>
      <c r="D18" t="s">
        <v>33</v>
      </c>
      <c r="E18" t="s">
        <v>27</v>
      </c>
      <c r="F18" t="s">
        <v>28</v>
      </c>
      <c r="G18">
        <v>14.497615814208984</v>
      </c>
      <c r="H18">
        <v>14.365701675415039</v>
      </c>
      <c r="I18">
        <v>0.18655475974082947</v>
      </c>
      <c r="J18">
        <v>4285689</v>
      </c>
      <c r="K18">
        <v>4644872</v>
      </c>
      <c r="L18">
        <v>507961.46875</v>
      </c>
      <c r="M18" t="b">
        <v>0</v>
      </c>
      <c r="N18">
        <v>1.8</v>
      </c>
      <c r="O18" t="b">
        <v>1</v>
      </c>
      <c r="P18">
        <v>3</v>
      </c>
      <c r="Q18">
        <v>7</v>
      </c>
      <c r="R18">
        <v>84.843276977539062</v>
      </c>
      <c r="S18" t="s">
        <v>24</v>
      </c>
      <c r="T18" t="s">
        <v>24</v>
      </c>
      <c r="U18" t="s">
        <v>24</v>
      </c>
      <c r="V18" t="s">
        <v>29</v>
      </c>
    </row>
    <row r="19" spans="1:22">
      <c r="A19" t="s">
        <v>44</v>
      </c>
      <c r="B19" t="s">
        <v>45</v>
      </c>
      <c r="C19" t="s">
        <v>25</v>
      </c>
      <c r="D19" t="s">
        <v>33</v>
      </c>
      <c r="E19" t="s">
        <v>27</v>
      </c>
      <c r="F19" t="s">
        <v>28</v>
      </c>
      <c r="G19">
        <v>11.398521423339844</v>
      </c>
      <c r="H19">
        <v>11.506074905395508</v>
      </c>
      <c r="I19">
        <v>0.15210291743278503</v>
      </c>
      <c r="J19">
        <v>26459754</v>
      </c>
      <c r="K19">
        <v>24889464</v>
      </c>
      <c r="L19">
        <v>2220724</v>
      </c>
      <c r="M19" t="b">
        <v>0</v>
      </c>
      <c r="N19">
        <v>1.8</v>
      </c>
      <c r="O19" t="b">
        <v>1</v>
      </c>
      <c r="P19">
        <v>1</v>
      </c>
      <c r="Q19">
        <v>3</v>
      </c>
      <c r="R19">
        <v>84.843276977539062</v>
      </c>
      <c r="S19" t="s">
        <v>24</v>
      </c>
      <c r="T19" t="s">
        <v>24</v>
      </c>
      <c r="U19" t="s">
        <v>24</v>
      </c>
      <c r="V19" t="s">
        <v>29</v>
      </c>
    </row>
    <row r="20" spans="1:22">
      <c r="A20" t="s">
        <v>46</v>
      </c>
      <c r="B20" t="s">
        <v>45</v>
      </c>
      <c r="C20" t="s">
        <v>25</v>
      </c>
      <c r="D20" t="s">
        <v>33</v>
      </c>
      <c r="E20" t="s">
        <v>27</v>
      </c>
      <c r="F20" t="s">
        <v>28</v>
      </c>
      <c r="G20">
        <v>11.613627433776855</v>
      </c>
      <c r="H20">
        <v>11.506074905395508</v>
      </c>
      <c r="I20">
        <v>0.15210291743278503</v>
      </c>
      <c r="J20">
        <v>23319176</v>
      </c>
      <c r="K20">
        <v>24889464</v>
      </c>
      <c r="L20">
        <v>2220724</v>
      </c>
      <c r="M20" t="b">
        <v>0</v>
      </c>
      <c r="N20">
        <v>1.8</v>
      </c>
      <c r="O20" t="b">
        <v>1</v>
      </c>
      <c r="P20">
        <v>3</v>
      </c>
      <c r="Q20">
        <v>4</v>
      </c>
      <c r="R20">
        <v>84.650741577148438</v>
      </c>
      <c r="S20" t="s">
        <v>24</v>
      </c>
      <c r="T20" t="s">
        <v>24</v>
      </c>
      <c r="U20" t="s">
        <v>24</v>
      </c>
      <c r="V20" t="s">
        <v>29</v>
      </c>
    </row>
    <row r="21" spans="1:22">
      <c r="A21" t="s">
        <v>47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18.029685974121094</v>
      </c>
      <c r="H21">
        <v>18.001468658447266</v>
      </c>
      <c r="I21">
        <v>3.9906658232212067E-2</v>
      </c>
      <c r="J21">
        <v>500000</v>
      </c>
      <c r="K21" t="s">
        <v>24</v>
      </c>
      <c r="L21" t="s">
        <v>24</v>
      </c>
      <c r="M21" t="b">
        <v>0</v>
      </c>
      <c r="N21">
        <v>1.8</v>
      </c>
      <c r="O21" t="b">
        <v>1</v>
      </c>
      <c r="P21">
        <v>3</v>
      </c>
      <c r="Q21">
        <v>10</v>
      </c>
      <c r="R21">
        <v>84.650741577148438</v>
      </c>
      <c r="S21" t="s">
        <v>24</v>
      </c>
      <c r="T21" t="s">
        <v>24</v>
      </c>
      <c r="U21" t="s">
        <v>24</v>
      </c>
      <c r="V21" t="s">
        <v>29</v>
      </c>
    </row>
    <row r="22" spans="1:22">
      <c r="A22" t="s">
        <v>48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17.973249435424805</v>
      </c>
      <c r="H22">
        <v>18.001468658447266</v>
      </c>
      <c r="I22">
        <v>3.9906658232212067E-2</v>
      </c>
      <c r="J22">
        <v>500000</v>
      </c>
      <c r="K22" t="s">
        <v>24</v>
      </c>
      <c r="L22" t="s">
        <v>24</v>
      </c>
      <c r="M22" t="b">
        <v>0</v>
      </c>
      <c r="N22">
        <v>1.8</v>
      </c>
      <c r="O22" t="b">
        <v>1</v>
      </c>
      <c r="P22">
        <v>3</v>
      </c>
      <c r="Q22">
        <v>10</v>
      </c>
      <c r="R22">
        <v>84.650741577148438</v>
      </c>
      <c r="S22" t="s">
        <v>24</v>
      </c>
      <c r="T22" t="s">
        <v>24</v>
      </c>
      <c r="U22" t="s">
        <v>24</v>
      </c>
      <c r="V22" t="s">
        <v>29</v>
      </c>
    </row>
    <row r="23" spans="1:22">
      <c r="A23" t="s">
        <v>49</v>
      </c>
      <c r="B23" t="s">
        <v>50</v>
      </c>
      <c r="C23" t="s">
        <v>25</v>
      </c>
      <c r="D23" t="s">
        <v>33</v>
      </c>
      <c r="E23" t="s">
        <v>27</v>
      </c>
      <c r="F23" t="s">
        <v>28</v>
      </c>
      <c r="G23">
        <v>9.8926630020141602</v>
      </c>
      <c r="H23">
        <v>9.8706016540527344</v>
      </c>
      <c r="I23">
        <v>3.1199457123875618E-2</v>
      </c>
      <c r="J23">
        <v>64080156</v>
      </c>
      <c r="K23">
        <v>64921384</v>
      </c>
      <c r="L23">
        <v>1189676</v>
      </c>
      <c r="M23" t="b">
        <v>0</v>
      </c>
      <c r="N23">
        <v>1.8</v>
      </c>
      <c r="O23" t="b">
        <v>1</v>
      </c>
      <c r="P23">
        <v>1</v>
      </c>
      <c r="Q23">
        <v>2</v>
      </c>
      <c r="R23">
        <v>85.035812377929688</v>
      </c>
      <c r="S23" t="s">
        <v>24</v>
      </c>
      <c r="T23" t="s">
        <v>24</v>
      </c>
      <c r="U23" t="s">
        <v>24</v>
      </c>
      <c r="V23" t="s">
        <v>29</v>
      </c>
    </row>
    <row r="24" spans="1:22">
      <c r="A24" t="s">
        <v>51</v>
      </c>
      <c r="B24" t="s">
        <v>50</v>
      </c>
      <c r="C24" t="s">
        <v>25</v>
      </c>
      <c r="D24" t="s">
        <v>33</v>
      </c>
      <c r="E24" t="s">
        <v>27</v>
      </c>
      <c r="F24" t="s">
        <v>28</v>
      </c>
      <c r="G24">
        <v>9.8485403060913086</v>
      </c>
      <c r="H24">
        <v>9.8706016540527344</v>
      </c>
      <c r="I24">
        <v>3.1199457123875618E-2</v>
      </c>
      <c r="J24">
        <v>65762612</v>
      </c>
      <c r="K24">
        <v>64921384</v>
      </c>
      <c r="L24">
        <v>1189676</v>
      </c>
      <c r="M24" t="b">
        <v>0</v>
      </c>
      <c r="N24">
        <v>1.8</v>
      </c>
      <c r="O24" t="b">
        <v>1</v>
      </c>
      <c r="P24">
        <v>1</v>
      </c>
      <c r="Q24">
        <v>2</v>
      </c>
      <c r="R24">
        <v>84.843276977539062</v>
      </c>
      <c r="S24" t="s">
        <v>24</v>
      </c>
      <c r="T24" t="s">
        <v>24</v>
      </c>
      <c r="U24" t="s">
        <v>24</v>
      </c>
      <c r="V24" t="s">
        <v>29</v>
      </c>
    </row>
    <row r="25" spans="1:22">
      <c r="A25" t="s">
        <v>52</v>
      </c>
      <c r="B25" t="s">
        <v>53</v>
      </c>
      <c r="C25" t="s">
        <v>25</v>
      </c>
      <c r="D25" t="s">
        <v>33</v>
      </c>
      <c r="E25" t="s">
        <v>27</v>
      </c>
      <c r="F25" t="s">
        <v>28</v>
      </c>
      <c r="G25">
        <v>8.2469902038574219</v>
      </c>
      <c r="H25">
        <v>8.0911960601806641</v>
      </c>
      <c r="I25">
        <v>0.22032652795314789</v>
      </c>
      <c r="J25">
        <v>168471840</v>
      </c>
      <c r="K25">
        <v>185389728</v>
      </c>
      <c r="L25">
        <v>23925506</v>
      </c>
      <c r="M25" t="b">
        <v>0</v>
      </c>
      <c r="N25">
        <v>1.8</v>
      </c>
      <c r="O25" t="b">
        <v>1</v>
      </c>
      <c r="P25">
        <v>1</v>
      </c>
      <c r="Q25">
        <v>2</v>
      </c>
      <c r="R25">
        <v>85.035812377929688</v>
      </c>
      <c r="S25" t="s">
        <v>24</v>
      </c>
      <c r="T25" t="s">
        <v>24</v>
      </c>
      <c r="U25" t="s">
        <v>24</v>
      </c>
      <c r="V25" t="s">
        <v>29</v>
      </c>
    </row>
    <row r="26" spans="1:22">
      <c r="A26" t="s">
        <v>54</v>
      </c>
      <c r="B26" t="s">
        <v>53</v>
      </c>
      <c r="C26" t="s">
        <v>25</v>
      </c>
      <c r="D26" t="s">
        <v>33</v>
      </c>
      <c r="E26" t="s">
        <v>27</v>
      </c>
      <c r="F26" t="s">
        <v>28</v>
      </c>
      <c r="G26">
        <v>7.935401439666748</v>
      </c>
      <c r="H26">
        <v>8.0911960601806641</v>
      </c>
      <c r="I26">
        <v>0.22032652795314789</v>
      </c>
      <c r="J26">
        <v>202307616</v>
      </c>
      <c r="K26">
        <v>185389728</v>
      </c>
      <c r="L26">
        <v>23925506</v>
      </c>
      <c r="M26" t="b">
        <v>0</v>
      </c>
      <c r="N26">
        <v>1.8</v>
      </c>
      <c r="O26" t="b">
        <v>1</v>
      </c>
      <c r="P26">
        <v>1</v>
      </c>
      <c r="Q26">
        <v>2</v>
      </c>
      <c r="R26">
        <v>85.035812377929688</v>
      </c>
      <c r="S26" t="s">
        <v>24</v>
      </c>
      <c r="T26" t="s">
        <v>24</v>
      </c>
      <c r="U26" t="s">
        <v>24</v>
      </c>
      <c r="V26" t="s">
        <v>29</v>
      </c>
    </row>
    <row r="27" spans="1:22">
      <c r="A27" t="s">
        <v>55</v>
      </c>
      <c r="B27" t="s">
        <v>56</v>
      </c>
      <c r="C27" t="s">
        <v>25</v>
      </c>
      <c r="D27" t="s">
        <v>33</v>
      </c>
      <c r="E27" t="s">
        <v>27</v>
      </c>
      <c r="F27" t="s">
        <v>28</v>
      </c>
      <c r="G27">
        <v>10.642374038696289</v>
      </c>
      <c r="H27">
        <v>10.747617721557617</v>
      </c>
      <c r="I27">
        <v>0.14883771538734436</v>
      </c>
      <c r="J27">
        <v>41254908</v>
      </c>
      <c r="K27">
        <v>38855956</v>
      </c>
      <c r="L27">
        <v>3392630.5</v>
      </c>
      <c r="M27" t="b">
        <v>0</v>
      </c>
      <c r="N27">
        <v>1.8</v>
      </c>
      <c r="O27" t="b">
        <v>1</v>
      </c>
      <c r="P27">
        <v>1</v>
      </c>
      <c r="Q27">
        <v>2</v>
      </c>
      <c r="R27">
        <v>84.843276977539062</v>
      </c>
      <c r="S27" t="s">
        <v>24</v>
      </c>
      <c r="T27" t="s">
        <v>24</v>
      </c>
      <c r="U27" t="s">
        <v>24</v>
      </c>
      <c r="V27" t="s">
        <v>29</v>
      </c>
    </row>
    <row r="28" spans="1:22">
      <c r="A28" t="s">
        <v>57</v>
      </c>
      <c r="B28" t="s">
        <v>56</v>
      </c>
      <c r="C28" t="s">
        <v>25</v>
      </c>
      <c r="D28" t="s">
        <v>33</v>
      </c>
      <c r="E28" t="s">
        <v>27</v>
      </c>
      <c r="F28" t="s">
        <v>28</v>
      </c>
      <c r="G28">
        <v>10.852862358093262</v>
      </c>
      <c r="H28">
        <v>10.747617721557617</v>
      </c>
      <c r="I28">
        <v>0.14883771538734436</v>
      </c>
      <c r="J28">
        <v>36457004</v>
      </c>
      <c r="K28">
        <v>38855956</v>
      </c>
      <c r="L28">
        <v>3392630.5</v>
      </c>
      <c r="M28" t="b">
        <v>0</v>
      </c>
      <c r="N28">
        <v>1.8</v>
      </c>
      <c r="O28" t="b">
        <v>1</v>
      </c>
      <c r="P28">
        <v>3</v>
      </c>
      <c r="Q28">
        <v>4</v>
      </c>
      <c r="R28">
        <v>84.843276977539062</v>
      </c>
      <c r="S28" t="s">
        <v>24</v>
      </c>
      <c r="T28" t="s">
        <v>24</v>
      </c>
      <c r="U28" t="s">
        <v>24</v>
      </c>
      <c r="V28" t="s">
        <v>29</v>
      </c>
    </row>
    <row r="29" spans="1:22">
      <c r="A29" t="s">
        <v>58</v>
      </c>
      <c r="B29" t="s">
        <v>59</v>
      </c>
      <c r="C29" t="s">
        <v>25</v>
      </c>
      <c r="D29" t="s">
        <v>33</v>
      </c>
      <c r="E29" t="s">
        <v>27</v>
      </c>
      <c r="F29" t="s">
        <v>28</v>
      </c>
      <c r="G29">
        <v>14.705480575561523</v>
      </c>
      <c r="H29">
        <v>14.832813262939453</v>
      </c>
      <c r="I29">
        <v>0.18007494509220123</v>
      </c>
      <c r="J29">
        <v>3793108.75</v>
      </c>
      <c r="K29">
        <v>3529612</v>
      </c>
      <c r="L29">
        <v>372640.5</v>
      </c>
      <c r="M29" t="b">
        <v>0</v>
      </c>
      <c r="N29">
        <v>1.8</v>
      </c>
      <c r="O29" t="b">
        <v>1</v>
      </c>
      <c r="P29">
        <v>3</v>
      </c>
      <c r="Q29">
        <v>4</v>
      </c>
      <c r="R29">
        <v>84.843276977539062</v>
      </c>
      <c r="S29" t="s">
        <v>24</v>
      </c>
      <c r="T29" t="s">
        <v>24</v>
      </c>
      <c r="U29" t="s">
        <v>24</v>
      </c>
      <c r="V29" t="s">
        <v>29</v>
      </c>
    </row>
    <row r="30" spans="1:22">
      <c r="A30" t="s">
        <v>60</v>
      </c>
      <c r="B30" t="s">
        <v>59</v>
      </c>
      <c r="C30" t="s">
        <v>25</v>
      </c>
      <c r="D30" t="s">
        <v>33</v>
      </c>
      <c r="E30" t="s">
        <v>27</v>
      </c>
      <c r="F30" t="s">
        <v>28</v>
      </c>
      <c r="G30">
        <v>14.960144996643066</v>
      </c>
      <c r="H30">
        <v>14.832813262939453</v>
      </c>
      <c r="I30">
        <v>0.18007494509220123</v>
      </c>
      <c r="J30">
        <v>3266115.5</v>
      </c>
      <c r="K30">
        <v>3529612</v>
      </c>
      <c r="L30">
        <v>372640.5</v>
      </c>
      <c r="M30" t="b">
        <v>0</v>
      </c>
      <c r="N30">
        <v>1.8</v>
      </c>
      <c r="O30" t="b">
        <v>1</v>
      </c>
      <c r="P30">
        <v>3</v>
      </c>
      <c r="Q30">
        <v>5</v>
      </c>
      <c r="R30">
        <v>84.843276977539062</v>
      </c>
      <c r="S30" t="s">
        <v>24</v>
      </c>
      <c r="T30" t="s">
        <v>24</v>
      </c>
      <c r="U30" t="s">
        <v>24</v>
      </c>
      <c r="V30" t="s">
        <v>29</v>
      </c>
    </row>
    <row r="31" spans="1:22">
      <c r="A31" t="s">
        <v>61</v>
      </c>
      <c r="B31" t="s">
        <v>62</v>
      </c>
      <c r="C31" t="s">
        <v>25</v>
      </c>
      <c r="D31" t="s">
        <v>33</v>
      </c>
      <c r="E31" t="s">
        <v>27</v>
      </c>
      <c r="F31" t="s">
        <v>28</v>
      </c>
      <c r="G31">
        <v>10.294119834899902</v>
      </c>
      <c r="H31">
        <v>10.406698226928711</v>
      </c>
      <c r="I31">
        <v>0.15920989215373993</v>
      </c>
      <c r="J31">
        <v>50619016</v>
      </c>
      <c r="K31">
        <v>47483672</v>
      </c>
      <c r="L31">
        <v>4434049</v>
      </c>
      <c r="M31" t="b">
        <v>0</v>
      </c>
      <c r="N31">
        <v>1.8</v>
      </c>
      <c r="O31" t="b">
        <v>1</v>
      </c>
      <c r="P31">
        <v>1</v>
      </c>
      <c r="Q31">
        <v>2</v>
      </c>
      <c r="R31">
        <v>84.650741577148438</v>
      </c>
      <c r="S31" t="s">
        <v>24</v>
      </c>
      <c r="T31" t="s">
        <v>24</v>
      </c>
      <c r="U31" t="s">
        <v>24</v>
      </c>
      <c r="V31" t="s">
        <v>29</v>
      </c>
    </row>
    <row r="32" spans="1:22">
      <c r="A32" t="s">
        <v>63</v>
      </c>
      <c r="B32" t="s">
        <v>62</v>
      </c>
      <c r="C32" t="s">
        <v>25</v>
      </c>
      <c r="D32" t="s">
        <v>33</v>
      </c>
      <c r="E32" t="s">
        <v>27</v>
      </c>
      <c r="F32" t="s">
        <v>28</v>
      </c>
      <c r="G32">
        <v>10.51927661895752</v>
      </c>
      <c r="H32">
        <v>10.406698226928711</v>
      </c>
      <c r="I32">
        <v>0.15920989215373993</v>
      </c>
      <c r="J32">
        <v>44348324</v>
      </c>
      <c r="K32">
        <v>47483672</v>
      </c>
      <c r="L32">
        <v>4434049</v>
      </c>
      <c r="M32" t="b">
        <v>0</v>
      </c>
      <c r="N32">
        <v>1.8</v>
      </c>
      <c r="O32" t="b">
        <v>1</v>
      </c>
      <c r="P32">
        <v>1</v>
      </c>
      <c r="Q32">
        <v>3</v>
      </c>
      <c r="R32">
        <v>84.650741577148438</v>
      </c>
      <c r="S32" t="s">
        <v>24</v>
      </c>
      <c r="T32" t="s">
        <v>24</v>
      </c>
      <c r="U32" t="s">
        <v>24</v>
      </c>
      <c r="V32" t="s">
        <v>29</v>
      </c>
    </row>
    <row r="33" spans="1:22">
      <c r="A33" t="s">
        <v>64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>
        <v>22.158966064453125</v>
      </c>
      <c r="H33">
        <v>22.163467407226562</v>
      </c>
      <c r="I33">
        <v>6.3658598810434341E-3</v>
      </c>
      <c r="J33">
        <v>50000</v>
      </c>
      <c r="K33" t="s">
        <v>24</v>
      </c>
      <c r="L33" t="s">
        <v>24</v>
      </c>
      <c r="M33" t="b">
        <v>0</v>
      </c>
      <c r="N33">
        <v>1.8</v>
      </c>
      <c r="O33" t="b">
        <v>1</v>
      </c>
      <c r="P33">
        <v>3</v>
      </c>
      <c r="Q33">
        <v>14</v>
      </c>
      <c r="R33">
        <v>84.843276977539062</v>
      </c>
      <c r="S33" t="s">
        <v>24</v>
      </c>
      <c r="T33" t="s">
        <v>24</v>
      </c>
      <c r="U33" t="s">
        <v>24</v>
      </c>
      <c r="V33" t="s">
        <v>29</v>
      </c>
    </row>
    <row r="34" spans="1:22">
      <c r="A34" t="s">
        <v>65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>
        <v>22.16796875</v>
      </c>
      <c r="H34">
        <v>22.163467407226562</v>
      </c>
      <c r="I34">
        <v>6.3658598810434341E-3</v>
      </c>
      <c r="J34">
        <v>50000</v>
      </c>
      <c r="K34" t="s">
        <v>24</v>
      </c>
      <c r="L34" t="s">
        <v>24</v>
      </c>
      <c r="M34" t="b">
        <v>0</v>
      </c>
      <c r="N34">
        <v>1.8</v>
      </c>
      <c r="O34" t="b">
        <v>1</v>
      </c>
      <c r="P34">
        <v>3</v>
      </c>
      <c r="Q34">
        <v>15</v>
      </c>
      <c r="R34">
        <v>84.843276977539062</v>
      </c>
      <c r="S34" t="s">
        <v>24</v>
      </c>
      <c r="T34" t="s">
        <v>24</v>
      </c>
      <c r="U34" t="s">
        <v>24</v>
      </c>
      <c r="V34" t="s">
        <v>29</v>
      </c>
    </row>
    <row r="35" spans="1:22">
      <c r="A35" t="s">
        <v>66</v>
      </c>
      <c r="B35" t="s">
        <v>67</v>
      </c>
      <c r="C35" t="s">
        <v>25</v>
      </c>
      <c r="D35" t="s">
        <v>33</v>
      </c>
      <c r="E35" t="s">
        <v>27</v>
      </c>
      <c r="F35" t="s">
        <v>28</v>
      </c>
      <c r="G35">
        <v>9.8478937149047852</v>
      </c>
      <c r="H35">
        <v>9.8128175735473633</v>
      </c>
      <c r="I35">
        <v>4.9605153501033783E-2</v>
      </c>
      <c r="J35">
        <v>65787592</v>
      </c>
      <c r="K35">
        <v>67171328</v>
      </c>
      <c r="L35">
        <v>1956898.25</v>
      </c>
      <c r="M35" t="b">
        <v>0</v>
      </c>
      <c r="N35">
        <v>1.8</v>
      </c>
      <c r="O35" t="b">
        <v>1</v>
      </c>
      <c r="P35">
        <v>1</v>
      </c>
      <c r="Q35">
        <v>2</v>
      </c>
      <c r="R35">
        <v>84.843276977539062</v>
      </c>
      <c r="S35" t="s">
        <v>24</v>
      </c>
      <c r="T35" t="s">
        <v>24</v>
      </c>
      <c r="U35" t="s">
        <v>24</v>
      </c>
      <c r="V35" t="s">
        <v>29</v>
      </c>
    </row>
    <row r="36" spans="1:22">
      <c r="A36" t="s">
        <v>68</v>
      </c>
      <c r="B36" t="s">
        <v>67</v>
      </c>
      <c r="C36" t="s">
        <v>25</v>
      </c>
      <c r="D36" t="s">
        <v>33</v>
      </c>
      <c r="E36" t="s">
        <v>27</v>
      </c>
      <c r="F36" t="s">
        <v>28</v>
      </c>
      <c r="G36">
        <v>9.7777414321899414</v>
      </c>
      <c r="H36">
        <v>9.8128175735473633</v>
      </c>
      <c r="I36">
        <v>4.9605153501033783E-2</v>
      </c>
      <c r="J36">
        <v>68555064</v>
      </c>
      <c r="K36">
        <v>67171328</v>
      </c>
      <c r="L36">
        <v>1956898.25</v>
      </c>
      <c r="M36" t="b">
        <v>0</v>
      </c>
      <c r="N36">
        <v>1.8</v>
      </c>
      <c r="O36" t="b">
        <v>1</v>
      </c>
      <c r="P36">
        <v>1</v>
      </c>
      <c r="Q36">
        <v>2</v>
      </c>
      <c r="R36">
        <v>84.843276977539062</v>
      </c>
      <c r="S36" t="s">
        <v>24</v>
      </c>
      <c r="T36" t="s">
        <v>24</v>
      </c>
      <c r="U36" t="s">
        <v>24</v>
      </c>
      <c r="V36" t="s">
        <v>29</v>
      </c>
    </row>
    <row r="37" spans="1:22">
      <c r="A37" t="s">
        <v>69</v>
      </c>
      <c r="B37" t="s">
        <v>70</v>
      </c>
      <c r="C37" t="s">
        <v>25</v>
      </c>
      <c r="D37" t="s">
        <v>33</v>
      </c>
      <c r="E37" t="s">
        <v>27</v>
      </c>
      <c r="F37" t="s">
        <v>28</v>
      </c>
      <c r="G37">
        <v>9.8199310302734375</v>
      </c>
      <c r="H37">
        <v>9.7792873382568359</v>
      </c>
      <c r="I37">
        <v>5.7479534298181534E-2</v>
      </c>
      <c r="J37">
        <v>66877056</v>
      </c>
      <c r="K37">
        <v>68512384</v>
      </c>
      <c r="L37">
        <v>2312697.5</v>
      </c>
      <c r="M37" t="b">
        <v>0</v>
      </c>
      <c r="N37">
        <v>1.8</v>
      </c>
      <c r="O37" t="b">
        <v>1</v>
      </c>
      <c r="P37">
        <v>1</v>
      </c>
      <c r="Q37">
        <v>2</v>
      </c>
      <c r="R37">
        <v>85.035812377929688</v>
      </c>
      <c r="S37" t="s">
        <v>24</v>
      </c>
      <c r="T37" t="s">
        <v>24</v>
      </c>
      <c r="U37" t="s">
        <v>24</v>
      </c>
      <c r="V37" t="s">
        <v>29</v>
      </c>
    </row>
    <row r="38" spans="1:22">
      <c r="A38" t="s">
        <v>71</v>
      </c>
      <c r="B38" t="s">
        <v>70</v>
      </c>
      <c r="C38" t="s">
        <v>25</v>
      </c>
      <c r="D38" t="s">
        <v>33</v>
      </c>
      <c r="E38" t="s">
        <v>27</v>
      </c>
      <c r="F38" t="s">
        <v>28</v>
      </c>
      <c r="G38">
        <v>9.738642692565918</v>
      </c>
      <c r="H38">
        <v>9.7792873382568359</v>
      </c>
      <c r="I38">
        <v>5.7479534298181534E-2</v>
      </c>
      <c r="J38">
        <v>70147704</v>
      </c>
      <c r="K38">
        <v>68512384</v>
      </c>
      <c r="L38">
        <v>2312697.5</v>
      </c>
      <c r="M38" t="b">
        <v>0</v>
      </c>
      <c r="N38">
        <v>1.8</v>
      </c>
      <c r="O38" t="b">
        <v>1</v>
      </c>
      <c r="P38">
        <v>1</v>
      </c>
      <c r="Q38">
        <v>3</v>
      </c>
      <c r="R38">
        <v>85.035812377929688</v>
      </c>
      <c r="S38" t="s">
        <v>24</v>
      </c>
      <c r="T38" t="s">
        <v>24</v>
      </c>
      <c r="U38" t="s">
        <v>24</v>
      </c>
      <c r="V38" t="s">
        <v>29</v>
      </c>
    </row>
    <row r="39" spans="1:22">
      <c r="A39" t="s">
        <v>72</v>
      </c>
      <c r="B39" t="s">
        <v>73</v>
      </c>
      <c r="C39" t="s">
        <v>25</v>
      </c>
      <c r="D39" t="s">
        <v>33</v>
      </c>
      <c r="E39" t="s">
        <v>27</v>
      </c>
      <c r="F39" t="s">
        <v>28</v>
      </c>
      <c r="G39">
        <v>9.8586854934692383</v>
      </c>
      <c r="H39">
        <v>9.9243698120117188</v>
      </c>
      <c r="I39">
        <v>9.289097785949707E-2</v>
      </c>
      <c r="J39">
        <v>65371892</v>
      </c>
      <c r="K39">
        <v>62944608</v>
      </c>
      <c r="L39">
        <v>3432695</v>
      </c>
      <c r="M39" t="b">
        <v>0</v>
      </c>
      <c r="N39">
        <v>1.8</v>
      </c>
      <c r="O39" t="b">
        <v>1</v>
      </c>
      <c r="P39">
        <v>1</v>
      </c>
      <c r="Q39">
        <v>2</v>
      </c>
      <c r="R39">
        <v>84.843276977539062</v>
      </c>
      <c r="S39" t="s">
        <v>24</v>
      </c>
      <c r="T39" t="s">
        <v>24</v>
      </c>
      <c r="U39" t="s">
        <v>24</v>
      </c>
      <c r="V39" t="s">
        <v>29</v>
      </c>
    </row>
    <row r="40" spans="1:22">
      <c r="A40" t="s">
        <v>74</v>
      </c>
      <c r="B40" t="s">
        <v>73</v>
      </c>
      <c r="C40" t="s">
        <v>25</v>
      </c>
      <c r="D40" t="s">
        <v>33</v>
      </c>
      <c r="E40" t="s">
        <v>27</v>
      </c>
      <c r="F40" t="s">
        <v>28</v>
      </c>
      <c r="G40">
        <v>9.9900531768798828</v>
      </c>
      <c r="H40">
        <v>9.9243698120117188</v>
      </c>
      <c r="I40">
        <v>9.289097785949707E-2</v>
      </c>
      <c r="J40">
        <v>60517328</v>
      </c>
      <c r="K40">
        <v>62944608</v>
      </c>
      <c r="L40">
        <v>3432695</v>
      </c>
      <c r="M40" t="b">
        <v>0</v>
      </c>
      <c r="N40">
        <v>1.8</v>
      </c>
      <c r="O40" t="b">
        <v>1</v>
      </c>
      <c r="P40">
        <v>1</v>
      </c>
      <c r="Q40">
        <v>2</v>
      </c>
      <c r="R40">
        <v>84.458206176757812</v>
      </c>
      <c r="S40" t="s">
        <v>24</v>
      </c>
      <c r="T40" t="s">
        <v>24</v>
      </c>
      <c r="U40" t="s">
        <v>24</v>
      </c>
      <c r="V40" t="s">
        <v>29</v>
      </c>
    </row>
    <row r="41" spans="1:22">
      <c r="A41" t="s">
        <v>75</v>
      </c>
      <c r="B41" t="s">
        <v>76</v>
      </c>
      <c r="C41" t="s">
        <v>25</v>
      </c>
      <c r="D41" t="s">
        <v>33</v>
      </c>
      <c r="E41" t="s">
        <v>27</v>
      </c>
      <c r="F41" t="s">
        <v>28</v>
      </c>
      <c r="G41">
        <v>10.785348892211914</v>
      </c>
      <c r="H41">
        <v>10.468856811523438</v>
      </c>
      <c r="I41">
        <v>0.44758671522140503</v>
      </c>
      <c r="J41">
        <v>37931792</v>
      </c>
      <c r="K41">
        <v>46472980</v>
      </c>
      <c r="L41">
        <v>12079064</v>
      </c>
      <c r="M41" t="b">
        <v>0</v>
      </c>
      <c r="N41">
        <v>1.8</v>
      </c>
      <c r="O41" t="b">
        <v>1</v>
      </c>
      <c r="P41">
        <v>3</v>
      </c>
      <c r="Q41">
        <v>4</v>
      </c>
      <c r="R41">
        <v>84.843276977539062</v>
      </c>
      <c r="S41" t="s">
        <v>24</v>
      </c>
      <c r="T41" t="s">
        <v>24</v>
      </c>
      <c r="U41" t="s">
        <v>24</v>
      </c>
      <c r="V41" t="s">
        <v>29</v>
      </c>
    </row>
    <row r="42" spans="1:22">
      <c r="A42" t="s">
        <v>77</v>
      </c>
      <c r="B42" t="s">
        <v>76</v>
      </c>
      <c r="C42" t="s">
        <v>25</v>
      </c>
      <c r="D42" t="s">
        <v>33</v>
      </c>
      <c r="E42" t="s">
        <v>27</v>
      </c>
      <c r="F42" t="s">
        <v>28</v>
      </c>
      <c r="G42">
        <v>10.152365684509277</v>
      </c>
      <c r="H42">
        <v>10.468856811523438</v>
      </c>
      <c r="I42">
        <v>0.44758671522140503</v>
      </c>
      <c r="J42">
        <v>55014168</v>
      </c>
      <c r="K42">
        <v>46472980</v>
      </c>
      <c r="L42">
        <v>12079064</v>
      </c>
      <c r="M42" t="b">
        <v>0</v>
      </c>
      <c r="N42">
        <v>1.8</v>
      </c>
      <c r="O42" t="b">
        <v>1</v>
      </c>
      <c r="P42">
        <v>1</v>
      </c>
      <c r="Q42">
        <v>2</v>
      </c>
      <c r="R42">
        <v>84.650741577148438</v>
      </c>
      <c r="S42" t="s">
        <v>24</v>
      </c>
      <c r="T42" t="s">
        <v>24</v>
      </c>
      <c r="U42" t="s">
        <v>24</v>
      </c>
      <c r="V42" t="s">
        <v>29</v>
      </c>
    </row>
    <row r="43" spans="1:22">
      <c r="A43" t="s">
        <v>78</v>
      </c>
      <c r="B43" t="s">
        <v>79</v>
      </c>
      <c r="C43" t="s">
        <v>25</v>
      </c>
      <c r="D43" t="s">
        <v>33</v>
      </c>
      <c r="E43" t="s">
        <v>27</v>
      </c>
      <c r="F43" t="s">
        <v>28</v>
      </c>
      <c r="G43">
        <v>10.928468704223633</v>
      </c>
      <c r="H43">
        <v>10.78830623626709</v>
      </c>
      <c r="I43">
        <v>0.1982196569442749</v>
      </c>
      <c r="J43">
        <v>34873388</v>
      </c>
      <c r="K43">
        <v>37994360</v>
      </c>
      <c r="L43">
        <v>4413721</v>
      </c>
      <c r="M43" t="b">
        <v>0</v>
      </c>
      <c r="N43">
        <v>1.8</v>
      </c>
      <c r="O43" t="b">
        <v>1</v>
      </c>
      <c r="P43">
        <v>1</v>
      </c>
      <c r="Q43">
        <v>3</v>
      </c>
      <c r="R43">
        <v>84.843276977539062</v>
      </c>
      <c r="S43" t="s">
        <v>24</v>
      </c>
      <c r="T43" t="s">
        <v>24</v>
      </c>
      <c r="U43" t="s">
        <v>24</v>
      </c>
      <c r="V43" t="s">
        <v>29</v>
      </c>
    </row>
    <row r="44" spans="1:22">
      <c r="A44" t="s">
        <v>80</v>
      </c>
      <c r="B44" t="s">
        <v>79</v>
      </c>
      <c r="C44" t="s">
        <v>25</v>
      </c>
      <c r="D44" t="s">
        <v>33</v>
      </c>
      <c r="E44" t="s">
        <v>27</v>
      </c>
      <c r="F44" t="s">
        <v>28</v>
      </c>
      <c r="G44">
        <v>10.648143768310547</v>
      </c>
      <c r="H44">
        <v>10.78830623626709</v>
      </c>
      <c r="I44">
        <v>0.1982196569442749</v>
      </c>
      <c r="J44">
        <v>41115332</v>
      </c>
      <c r="K44">
        <v>37994360</v>
      </c>
      <c r="L44">
        <v>4413721</v>
      </c>
      <c r="M44" t="b">
        <v>0</v>
      </c>
      <c r="N44">
        <v>1.8</v>
      </c>
      <c r="O44" t="b">
        <v>1</v>
      </c>
      <c r="P44">
        <v>1</v>
      </c>
      <c r="Q44">
        <v>2</v>
      </c>
      <c r="R44">
        <v>84.843276977539062</v>
      </c>
      <c r="S44" t="s">
        <v>24</v>
      </c>
      <c r="T44" t="s">
        <v>24</v>
      </c>
      <c r="U44" t="s">
        <v>24</v>
      </c>
      <c r="V44" t="s">
        <v>29</v>
      </c>
    </row>
    <row r="45" spans="1:22">
      <c r="A45" t="s">
        <v>81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>
        <v>26.008016586303711</v>
      </c>
      <c r="H45">
        <v>26.103046417236328</v>
      </c>
      <c r="I45">
        <v>0.13439112901687622</v>
      </c>
      <c r="J45">
        <v>5000</v>
      </c>
      <c r="K45" t="s">
        <v>24</v>
      </c>
      <c r="L45" t="s">
        <v>24</v>
      </c>
      <c r="M45" t="b">
        <v>0</v>
      </c>
      <c r="N45">
        <v>1.8</v>
      </c>
      <c r="O45" t="b">
        <v>1</v>
      </c>
      <c r="P45">
        <v>3</v>
      </c>
      <c r="Q45">
        <v>18</v>
      </c>
      <c r="R45">
        <v>85.035812377929688</v>
      </c>
      <c r="S45" t="s">
        <v>24</v>
      </c>
      <c r="T45" t="s">
        <v>24</v>
      </c>
      <c r="U45" t="s">
        <v>24</v>
      </c>
      <c r="V45" t="s">
        <v>29</v>
      </c>
    </row>
    <row r="46" spans="1:22">
      <c r="A46" t="s">
        <v>82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>
        <v>26.198074340820312</v>
      </c>
      <c r="H46">
        <v>26.103046417236328</v>
      </c>
      <c r="I46">
        <v>0.13439112901687622</v>
      </c>
      <c r="J46">
        <v>5000</v>
      </c>
      <c r="K46" t="s">
        <v>24</v>
      </c>
      <c r="L46" t="s">
        <v>24</v>
      </c>
      <c r="M46" t="b">
        <v>0</v>
      </c>
      <c r="N46">
        <v>1.8</v>
      </c>
      <c r="O46" t="b">
        <v>1</v>
      </c>
      <c r="P46">
        <v>3</v>
      </c>
      <c r="Q46">
        <v>18</v>
      </c>
      <c r="R46">
        <v>85.035812377929688</v>
      </c>
      <c r="S46" t="s">
        <v>24</v>
      </c>
      <c r="T46" t="s">
        <v>24</v>
      </c>
      <c r="U46" t="s">
        <v>24</v>
      </c>
      <c r="V46" t="s">
        <v>29</v>
      </c>
    </row>
    <row r="47" spans="1:22">
      <c r="A47" t="s">
        <v>83</v>
      </c>
      <c r="B47" t="s">
        <v>84</v>
      </c>
      <c r="C47" t="s">
        <v>25</v>
      </c>
      <c r="D47" t="s">
        <v>33</v>
      </c>
      <c r="E47" t="s">
        <v>27</v>
      </c>
      <c r="F47" t="s">
        <v>28</v>
      </c>
      <c r="G47">
        <v>8.0771408081054688</v>
      </c>
      <c r="H47">
        <v>8.0619382858276367</v>
      </c>
      <c r="I47">
        <v>2.1499613299965858E-2</v>
      </c>
      <c r="J47">
        <v>186146624</v>
      </c>
      <c r="K47">
        <v>187823776</v>
      </c>
      <c r="L47">
        <v>2371851</v>
      </c>
      <c r="M47" t="b">
        <v>0</v>
      </c>
      <c r="N47">
        <v>1.8</v>
      </c>
      <c r="O47" t="b">
        <v>1</v>
      </c>
      <c r="P47">
        <v>1</v>
      </c>
      <c r="Q47">
        <v>2</v>
      </c>
      <c r="R47">
        <v>84.843276977539062</v>
      </c>
      <c r="S47" t="s">
        <v>24</v>
      </c>
      <c r="T47" t="s">
        <v>24</v>
      </c>
      <c r="U47" t="s">
        <v>24</v>
      </c>
      <c r="V47" t="s">
        <v>29</v>
      </c>
    </row>
    <row r="48" spans="1:22">
      <c r="A48" t="s">
        <v>85</v>
      </c>
      <c r="B48" t="s">
        <v>84</v>
      </c>
      <c r="C48" t="s">
        <v>25</v>
      </c>
      <c r="D48" t="s">
        <v>33</v>
      </c>
      <c r="E48" t="s">
        <v>27</v>
      </c>
      <c r="F48" t="s">
        <v>28</v>
      </c>
      <c r="G48">
        <v>8.0467357635498047</v>
      </c>
      <c r="H48">
        <v>8.0619382858276367</v>
      </c>
      <c r="I48">
        <v>2.1499613299965858E-2</v>
      </c>
      <c r="J48">
        <v>189500928</v>
      </c>
      <c r="K48">
        <v>187823776</v>
      </c>
      <c r="L48">
        <v>2371851</v>
      </c>
      <c r="M48" t="b">
        <v>0</v>
      </c>
      <c r="N48">
        <v>1.8</v>
      </c>
      <c r="O48" t="b">
        <v>1</v>
      </c>
      <c r="P48">
        <v>1</v>
      </c>
      <c r="Q48">
        <v>2</v>
      </c>
      <c r="R48">
        <v>85.035812377929688</v>
      </c>
      <c r="S48" t="s">
        <v>24</v>
      </c>
      <c r="T48" t="s">
        <v>24</v>
      </c>
      <c r="U48" t="s">
        <v>24</v>
      </c>
      <c r="V48" t="s">
        <v>29</v>
      </c>
    </row>
    <row r="49" spans="1:22">
      <c r="A49" t="s">
        <v>86</v>
      </c>
      <c r="B49" t="s">
        <v>87</v>
      </c>
      <c r="C49" t="s">
        <v>25</v>
      </c>
      <c r="D49" t="s">
        <v>33</v>
      </c>
      <c r="E49" t="s">
        <v>27</v>
      </c>
      <c r="F49" t="s">
        <v>28</v>
      </c>
      <c r="G49">
        <v>9.0102748870849609</v>
      </c>
      <c r="H49">
        <v>9.0144939422607422</v>
      </c>
      <c r="I49">
        <v>5.9666451998054981E-3</v>
      </c>
      <c r="J49">
        <v>107601128</v>
      </c>
      <c r="K49">
        <v>107335136</v>
      </c>
      <c r="L49">
        <v>376175.15625</v>
      </c>
      <c r="M49" t="b">
        <v>0</v>
      </c>
      <c r="N49">
        <v>1.8</v>
      </c>
      <c r="O49" t="b">
        <v>1</v>
      </c>
      <c r="P49">
        <v>1</v>
      </c>
      <c r="Q49">
        <v>2</v>
      </c>
      <c r="R49">
        <v>85.228355407714844</v>
      </c>
      <c r="S49" t="s">
        <v>24</v>
      </c>
      <c r="T49" t="s">
        <v>24</v>
      </c>
      <c r="U49" t="s">
        <v>24</v>
      </c>
      <c r="V49" t="s">
        <v>29</v>
      </c>
    </row>
    <row r="50" spans="1:22">
      <c r="A50" t="s">
        <v>88</v>
      </c>
      <c r="B50" t="s">
        <v>87</v>
      </c>
      <c r="C50" t="s">
        <v>25</v>
      </c>
      <c r="D50" t="s">
        <v>33</v>
      </c>
      <c r="E50" t="s">
        <v>27</v>
      </c>
      <c r="F50" t="s">
        <v>28</v>
      </c>
      <c r="G50">
        <v>9.0187129974365234</v>
      </c>
      <c r="H50">
        <v>9.0144939422607422</v>
      </c>
      <c r="I50">
        <v>5.9666451998054981E-3</v>
      </c>
      <c r="J50">
        <v>107069136</v>
      </c>
      <c r="K50">
        <v>107335136</v>
      </c>
      <c r="L50">
        <v>376175.15625</v>
      </c>
      <c r="M50" t="b">
        <v>0</v>
      </c>
      <c r="N50">
        <v>1.8</v>
      </c>
      <c r="O50" t="b">
        <v>1</v>
      </c>
      <c r="P50">
        <v>1</v>
      </c>
      <c r="Q50">
        <v>2</v>
      </c>
      <c r="R50">
        <v>85.228355407714844</v>
      </c>
      <c r="S50" t="s">
        <v>24</v>
      </c>
      <c r="T50" t="s">
        <v>24</v>
      </c>
      <c r="U50" t="s">
        <v>24</v>
      </c>
      <c r="V50" t="s">
        <v>29</v>
      </c>
    </row>
    <row r="51" spans="1:22">
      <c r="A51" t="s">
        <v>89</v>
      </c>
      <c r="B51" t="s">
        <v>90</v>
      </c>
      <c r="C51" t="s">
        <v>25</v>
      </c>
      <c r="D51" t="s">
        <v>33</v>
      </c>
      <c r="E51" t="s">
        <v>27</v>
      </c>
      <c r="F51" t="s">
        <v>28</v>
      </c>
      <c r="G51">
        <v>10.420641899108887</v>
      </c>
      <c r="H51">
        <v>10.682844161987305</v>
      </c>
      <c r="I51">
        <v>0.37081065773963928</v>
      </c>
      <c r="J51">
        <v>46993576</v>
      </c>
      <c r="K51">
        <v>40764508</v>
      </c>
      <c r="L51">
        <v>8809232</v>
      </c>
      <c r="M51" t="b">
        <v>0</v>
      </c>
      <c r="N51">
        <v>1.8</v>
      </c>
      <c r="O51" t="b">
        <v>1</v>
      </c>
      <c r="P51">
        <v>1</v>
      </c>
      <c r="Q51">
        <v>3</v>
      </c>
      <c r="R51">
        <v>85.035812377929688</v>
      </c>
      <c r="S51" t="s">
        <v>24</v>
      </c>
      <c r="T51" t="s">
        <v>24</v>
      </c>
      <c r="U51" t="s">
        <v>24</v>
      </c>
      <c r="V51" t="s">
        <v>29</v>
      </c>
    </row>
    <row r="52" spans="1:22">
      <c r="A52" t="s">
        <v>91</v>
      </c>
      <c r="B52" t="s">
        <v>90</v>
      </c>
      <c r="C52" t="s">
        <v>25</v>
      </c>
      <c r="D52" t="s">
        <v>33</v>
      </c>
      <c r="E52" t="s">
        <v>27</v>
      </c>
      <c r="F52" t="s">
        <v>28</v>
      </c>
      <c r="G52">
        <v>10.945047378540039</v>
      </c>
      <c r="H52">
        <v>10.682844161987305</v>
      </c>
      <c r="I52">
        <v>0.37081065773963928</v>
      </c>
      <c r="J52">
        <v>34535440</v>
      </c>
      <c r="K52">
        <v>40764508</v>
      </c>
      <c r="L52">
        <v>8809232</v>
      </c>
      <c r="M52" t="b">
        <v>0</v>
      </c>
      <c r="N52">
        <v>1.8</v>
      </c>
      <c r="O52" t="b">
        <v>1</v>
      </c>
      <c r="P52">
        <v>3</v>
      </c>
      <c r="Q52">
        <v>4</v>
      </c>
      <c r="R52">
        <v>84.843276977539062</v>
      </c>
      <c r="S52" t="s">
        <v>24</v>
      </c>
      <c r="T52" t="s">
        <v>24</v>
      </c>
      <c r="U52" t="s">
        <v>24</v>
      </c>
      <c r="V52" t="s">
        <v>29</v>
      </c>
    </row>
    <row r="53" spans="1:22">
      <c r="A53" t="s">
        <v>92</v>
      </c>
      <c r="B53" t="s">
        <v>93</v>
      </c>
      <c r="C53" t="s">
        <v>25</v>
      </c>
      <c r="D53" t="s">
        <v>33</v>
      </c>
      <c r="E53" t="s">
        <v>27</v>
      </c>
      <c r="F53" t="s">
        <v>28</v>
      </c>
      <c r="G53">
        <v>10.510276794433594</v>
      </c>
      <c r="H53">
        <v>10.389840126037598</v>
      </c>
      <c r="I53">
        <v>0.17032316327095032</v>
      </c>
      <c r="J53">
        <v>44583384</v>
      </c>
      <c r="K53">
        <v>47971320</v>
      </c>
      <c r="L53">
        <v>4791268</v>
      </c>
      <c r="M53" t="b">
        <v>0</v>
      </c>
      <c r="N53">
        <v>1.8</v>
      </c>
      <c r="O53" t="b">
        <v>1</v>
      </c>
      <c r="P53">
        <v>1</v>
      </c>
      <c r="Q53">
        <v>3</v>
      </c>
      <c r="R53">
        <v>85.035812377929688</v>
      </c>
      <c r="S53" t="s">
        <v>24</v>
      </c>
      <c r="T53" t="s">
        <v>24</v>
      </c>
      <c r="U53" t="s">
        <v>24</v>
      </c>
      <c r="V53" t="s">
        <v>29</v>
      </c>
    </row>
    <row r="54" spans="1:22">
      <c r="A54" t="s">
        <v>94</v>
      </c>
      <c r="B54" t="s">
        <v>93</v>
      </c>
      <c r="C54" t="s">
        <v>25</v>
      </c>
      <c r="D54" t="s">
        <v>33</v>
      </c>
      <c r="E54" t="s">
        <v>27</v>
      </c>
      <c r="F54" t="s">
        <v>28</v>
      </c>
      <c r="G54">
        <v>10.269403457641602</v>
      </c>
      <c r="H54">
        <v>10.389840126037598</v>
      </c>
      <c r="I54">
        <v>0.17032316327095032</v>
      </c>
      <c r="J54">
        <v>51359260</v>
      </c>
      <c r="K54">
        <v>47971320</v>
      </c>
      <c r="L54">
        <v>4791268</v>
      </c>
      <c r="M54" t="b">
        <v>0</v>
      </c>
      <c r="N54">
        <v>1.8</v>
      </c>
      <c r="O54" t="b">
        <v>1</v>
      </c>
      <c r="P54">
        <v>1</v>
      </c>
      <c r="Q54">
        <v>2</v>
      </c>
      <c r="R54">
        <v>85.035812377929688</v>
      </c>
      <c r="S54" t="s">
        <v>24</v>
      </c>
      <c r="T54" t="s">
        <v>24</v>
      </c>
      <c r="U54" t="s">
        <v>24</v>
      </c>
      <c r="V54" t="s">
        <v>29</v>
      </c>
    </row>
    <row r="55" spans="1:22">
      <c r="A55" t="s">
        <v>95</v>
      </c>
      <c r="B55" t="s">
        <v>803</v>
      </c>
      <c r="C55" t="s">
        <v>25</v>
      </c>
      <c r="D55" t="s">
        <v>33</v>
      </c>
      <c r="E55" t="s">
        <v>27</v>
      </c>
      <c r="F55" t="s">
        <v>28</v>
      </c>
      <c r="G55">
        <v>11.318316459655762</v>
      </c>
      <c r="H55">
        <v>10.745622634887695</v>
      </c>
      <c r="I55">
        <v>0.80991202592849731</v>
      </c>
      <c r="J55">
        <v>27736122</v>
      </c>
      <c r="K55">
        <v>41044920</v>
      </c>
      <c r="L55">
        <v>18821482</v>
      </c>
      <c r="M55" t="b">
        <v>0</v>
      </c>
      <c r="N55">
        <v>1.8</v>
      </c>
      <c r="O55" t="b">
        <v>1</v>
      </c>
      <c r="P55">
        <v>1</v>
      </c>
      <c r="Q55">
        <v>2</v>
      </c>
      <c r="R55">
        <v>84.650741577148438</v>
      </c>
      <c r="S55" t="s">
        <v>24</v>
      </c>
      <c r="T55" t="s">
        <v>24</v>
      </c>
      <c r="U55" t="s">
        <v>24</v>
      </c>
      <c r="V55" t="s">
        <v>114</v>
      </c>
    </row>
    <row r="56" spans="1:22">
      <c r="A56" t="s">
        <v>97</v>
      </c>
      <c r="B56" t="s">
        <v>803</v>
      </c>
      <c r="C56" t="s">
        <v>25</v>
      </c>
      <c r="D56" t="s">
        <v>33</v>
      </c>
      <c r="E56" t="s">
        <v>27</v>
      </c>
      <c r="F56" t="s">
        <v>28</v>
      </c>
      <c r="G56">
        <v>10.172927856445312</v>
      </c>
      <c r="H56">
        <v>10.745622634887695</v>
      </c>
      <c r="I56">
        <v>0.80991202592849731</v>
      </c>
      <c r="J56">
        <v>54353716</v>
      </c>
      <c r="K56">
        <v>41044920</v>
      </c>
      <c r="L56">
        <v>18821482</v>
      </c>
      <c r="M56" t="b">
        <v>0</v>
      </c>
      <c r="N56">
        <v>1.8</v>
      </c>
      <c r="O56" t="b">
        <v>1</v>
      </c>
      <c r="P56">
        <v>1</v>
      </c>
      <c r="Q56">
        <v>2</v>
      </c>
      <c r="R56">
        <v>84.650741577148438</v>
      </c>
      <c r="S56" t="s">
        <v>24</v>
      </c>
      <c r="T56" t="s">
        <v>24</v>
      </c>
      <c r="U56" t="s">
        <v>24</v>
      </c>
      <c r="V56" t="s">
        <v>114</v>
      </c>
    </row>
    <row r="57" spans="1:22">
      <c r="A57" t="s">
        <v>98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>
        <v>30.09984016418457</v>
      </c>
      <c r="H57">
        <v>29.930961608886719</v>
      </c>
      <c r="I57">
        <v>0.23883169889450073</v>
      </c>
      <c r="J57">
        <v>500</v>
      </c>
      <c r="K57" t="s">
        <v>24</v>
      </c>
      <c r="L57" t="s">
        <v>24</v>
      </c>
      <c r="M57" t="b">
        <v>0</v>
      </c>
      <c r="N57">
        <v>1.8</v>
      </c>
      <c r="O57" t="b">
        <v>1</v>
      </c>
      <c r="P57">
        <v>3</v>
      </c>
      <c r="Q57">
        <v>23</v>
      </c>
      <c r="R57">
        <v>85.035812377929688</v>
      </c>
      <c r="S57" t="s">
        <v>24</v>
      </c>
      <c r="T57" t="s">
        <v>24</v>
      </c>
      <c r="U57" t="s">
        <v>24</v>
      </c>
      <c r="V57" t="s">
        <v>29</v>
      </c>
    </row>
    <row r="58" spans="1:22">
      <c r="A58" t="s">
        <v>99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>
        <v>29.762081146240234</v>
      </c>
      <c r="H58">
        <v>29.930961608886719</v>
      </c>
      <c r="I58">
        <v>0.23883169889450073</v>
      </c>
      <c r="J58">
        <v>500</v>
      </c>
      <c r="K58" t="s">
        <v>24</v>
      </c>
      <c r="L58" t="s">
        <v>24</v>
      </c>
      <c r="M58" t="b">
        <v>0</v>
      </c>
      <c r="N58">
        <v>1.8</v>
      </c>
      <c r="O58" t="b">
        <v>1</v>
      </c>
      <c r="P58">
        <v>3</v>
      </c>
      <c r="Q58">
        <v>20</v>
      </c>
      <c r="R58">
        <v>85.035812377929688</v>
      </c>
      <c r="S58" t="s">
        <v>24</v>
      </c>
      <c r="T58" t="s">
        <v>24</v>
      </c>
      <c r="U58" t="s">
        <v>24</v>
      </c>
      <c r="V58" t="s">
        <v>29</v>
      </c>
    </row>
    <row r="59" spans="1:22">
      <c r="A59" t="s">
        <v>100</v>
      </c>
      <c r="B59" t="s">
        <v>101</v>
      </c>
      <c r="C59" t="s">
        <v>25</v>
      </c>
      <c r="D59" t="s">
        <v>33</v>
      </c>
      <c r="E59" t="s">
        <v>27</v>
      </c>
      <c r="F59" t="s">
        <v>28</v>
      </c>
      <c r="G59">
        <v>8.0300750732421875</v>
      </c>
      <c r="H59">
        <v>7.9783172607421875</v>
      </c>
      <c r="I59">
        <v>7.3196597397327423E-2</v>
      </c>
      <c r="J59">
        <v>191364512</v>
      </c>
      <c r="K59">
        <v>197362784</v>
      </c>
      <c r="L59">
        <v>8482838</v>
      </c>
      <c r="M59" t="b">
        <v>0</v>
      </c>
      <c r="N59">
        <v>1.8</v>
      </c>
      <c r="O59" t="b">
        <v>1</v>
      </c>
      <c r="P59">
        <v>1</v>
      </c>
      <c r="Q59">
        <v>2</v>
      </c>
      <c r="R59">
        <v>85.228355407714844</v>
      </c>
      <c r="S59" t="s">
        <v>24</v>
      </c>
      <c r="T59" t="s">
        <v>24</v>
      </c>
      <c r="U59" t="s">
        <v>24</v>
      </c>
      <c r="V59" t="s">
        <v>29</v>
      </c>
    </row>
    <row r="60" spans="1:22">
      <c r="A60" t="s">
        <v>102</v>
      </c>
      <c r="B60" t="s">
        <v>101</v>
      </c>
      <c r="C60" t="s">
        <v>25</v>
      </c>
      <c r="D60" t="s">
        <v>33</v>
      </c>
      <c r="E60" t="s">
        <v>27</v>
      </c>
      <c r="F60" t="s">
        <v>28</v>
      </c>
      <c r="G60">
        <v>7.9265594482421875</v>
      </c>
      <c r="H60">
        <v>7.9783172607421875</v>
      </c>
      <c r="I60">
        <v>7.3196597397327423E-2</v>
      </c>
      <c r="J60">
        <v>203361056</v>
      </c>
      <c r="K60">
        <v>197362784</v>
      </c>
      <c r="L60">
        <v>8482838</v>
      </c>
      <c r="M60" t="b">
        <v>0</v>
      </c>
      <c r="N60">
        <v>1.8</v>
      </c>
      <c r="O60" t="b">
        <v>1</v>
      </c>
      <c r="P60">
        <v>1</v>
      </c>
      <c r="Q60">
        <v>2</v>
      </c>
      <c r="R60">
        <v>85.228355407714844</v>
      </c>
      <c r="S60" t="s">
        <v>24</v>
      </c>
      <c r="T60" t="s">
        <v>24</v>
      </c>
      <c r="U60" t="s">
        <v>24</v>
      </c>
      <c r="V60" t="s">
        <v>29</v>
      </c>
    </row>
    <row r="61" spans="1:22">
      <c r="A61" t="s">
        <v>103</v>
      </c>
      <c r="B61" t="s">
        <v>104</v>
      </c>
      <c r="C61" t="s">
        <v>25</v>
      </c>
      <c r="D61" t="s">
        <v>33</v>
      </c>
      <c r="E61" t="s">
        <v>27</v>
      </c>
      <c r="F61" t="s">
        <v>28</v>
      </c>
      <c r="G61">
        <v>8.3412857055664062</v>
      </c>
      <c r="H61">
        <v>8.2991790771484375</v>
      </c>
      <c r="I61">
        <v>5.954776331782341E-2</v>
      </c>
      <c r="J61">
        <v>159394368</v>
      </c>
      <c r="K61">
        <v>163435728</v>
      </c>
      <c r="L61">
        <v>5715346</v>
      </c>
      <c r="M61" t="b">
        <v>0</v>
      </c>
      <c r="N61">
        <v>1.8</v>
      </c>
      <c r="O61" t="b">
        <v>1</v>
      </c>
      <c r="P61">
        <v>1</v>
      </c>
      <c r="Q61">
        <v>2</v>
      </c>
      <c r="R61">
        <v>85.228355407714844</v>
      </c>
      <c r="S61" t="s">
        <v>24</v>
      </c>
      <c r="T61" t="s">
        <v>24</v>
      </c>
      <c r="U61" t="s">
        <v>24</v>
      </c>
      <c r="V61" t="s">
        <v>29</v>
      </c>
    </row>
    <row r="62" spans="1:22">
      <c r="A62" t="s">
        <v>105</v>
      </c>
      <c r="B62" t="s">
        <v>104</v>
      </c>
      <c r="C62" t="s">
        <v>25</v>
      </c>
      <c r="D62" t="s">
        <v>33</v>
      </c>
      <c r="E62" t="s">
        <v>27</v>
      </c>
      <c r="F62" t="s">
        <v>28</v>
      </c>
      <c r="G62">
        <v>8.2570724487304688</v>
      </c>
      <c r="H62">
        <v>8.2991790771484375</v>
      </c>
      <c r="I62">
        <v>5.954776331782341E-2</v>
      </c>
      <c r="J62">
        <v>167477088</v>
      </c>
      <c r="K62">
        <v>163435728</v>
      </c>
      <c r="L62">
        <v>5715346</v>
      </c>
      <c r="M62" t="b">
        <v>0</v>
      </c>
      <c r="N62">
        <v>1.8</v>
      </c>
      <c r="O62" t="b">
        <v>1</v>
      </c>
      <c r="P62">
        <v>1</v>
      </c>
      <c r="Q62">
        <v>2</v>
      </c>
      <c r="R62">
        <v>85.228355407714844</v>
      </c>
      <c r="S62" t="s">
        <v>24</v>
      </c>
      <c r="T62" t="s">
        <v>24</v>
      </c>
      <c r="U62" t="s">
        <v>24</v>
      </c>
      <c r="V62" t="s">
        <v>29</v>
      </c>
    </row>
    <row r="63" spans="1:22">
      <c r="A63" t="s">
        <v>106</v>
      </c>
      <c r="B63" t="s">
        <v>107</v>
      </c>
      <c r="C63" t="s">
        <v>25</v>
      </c>
      <c r="D63" t="s">
        <v>33</v>
      </c>
      <c r="E63" t="s">
        <v>27</v>
      </c>
      <c r="F63" t="s">
        <v>28</v>
      </c>
      <c r="G63">
        <v>10.084408760070801</v>
      </c>
      <c r="H63">
        <v>10.04964542388916</v>
      </c>
      <c r="I63">
        <v>4.9162782728672028E-2</v>
      </c>
      <c r="J63">
        <v>57254556</v>
      </c>
      <c r="K63">
        <v>58447856</v>
      </c>
      <c r="L63">
        <v>1687578.25</v>
      </c>
      <c r="M63" t="b">
        <v>0</v>
      </c>
      <c r="N63">
        <v>1.8</v>
      </c>
      <c r="O63" t="b">
        <v>1</v>
      </c>
      <c r="P63">
        <v>1</v>
      </c>
      <c r="Q63">
        <v>2</v>
      </c>
      <c r="R63">
        <v>85.228355407714844</v>
      </c>
      <c r="S63" t="s">
        <v>24</v>
      </c>
      <c r="T63" t="s">
        <v>24</v>
      </c>
      <c r="U63" t="s">
        <v>24</v>
      </c>
      <c r="V63" t="s">
        <v>29</v>
      </c>
    </row>
    <row r="64" spans="1:22">
      <c r="A64" t="s">
        <v>108</v>
      </c>
      <c r="B64" t="s">
        <v>107</v>
      </c>
      <c r="C64" t="s">
        <v>25</v>
      </c>
      <c r="D64" t="s">
        <v>33</v>
      </c>
      <c r="E64" t="s">
        <v>27</v>
      </c>
      <c r="F64" t="s">
        <v>28</v>
      </c>
      <c r="G64">
        <v>10.01488208770752</v>
      </c>
      <c r="H64">
        <v>10.04964542388916</v>
      </c>
      <c r="I64">
        <v>4.9162782728672028E-2</v>
      </c>
      <c r="J64">
        <v>59641152</v>
      </c>
      <c r="K64">
        <v>58447856</v>
      </c>
      <c r="L64">
        <v>1687578.25</v>
      </c>
      <c r="M64" t="b">
        <v>0</v>
      </c>
      <c r="N64">
        <v>1.8</v>
      </c>
      <c r="O64" t="b">
        <v>1</v>
      </c>
      <c r="P64">
        <v>1</v>
      </c>
      <c r="Q64">
        <v>2</v>
      </c>
      <c r="R64">
        <v>85.420890808105469</v>
      </c>
      <c r="S64" t="s">
        <v>24</v>
      </c>
      <c r="T64" t="s">
        <v>24</v>
      </c>
      <c r="U64" t="s">
        <v>24</v>
      </c>
      <c r="V64" t="s">
        <v>29</v>
      </c>
    </row>
    <row r="65" spans="1:22">
      <c r="A65" t="s">
        <v>109</v>
      </c>
      <c r="B65" t="s">
        <v>110</v>
      </c>
      <c r="C65" t="s">
        <v>25</v>
      </c>
      <c r="D65" t="s">
        <v>33</v>
      </c>
      <c r="E65" t="s">
        <v>27</v>
      </c>
      <c r="F65" t="s">
        <v>28</v>
      </c>
      <c r="G65">
        <v>10.057233810424805</v>
      </c>
      <c r="H65">
        <v>10.038070678710938</v>
      </c>
      <c r="I65">
        <v>2.7101434767246246E-2</v>
      </c>
      <c r="J65">
        <v>58175788</v>
      </c>
      <c r="K65">
        <v>58838060</v>
      </c>
      <c r="L65">
        <v>936594.0625</v>
      </c>
      <c r="M65" t="b">
        <v>0</v>
      </c>
      <c r="N65">
        <v>1.8</v>
      </c>
      <c r="O65" t="b">
        <v>1</v>
      </c>
      <c r="P65">
        <v>1</v>
      </c>
      <c r="Q65">
        <v>2</v>
      </c>
      <c r="R65">
        <v>85.228355407714844</v>
      </c>
      <c r="S65" t="s">
        <v>24</v>
      </c>
      <c r="T65" t="s">
        <v>24</v>
      </c>
      <c r="U65" t="s">
        <v>24</v>
      </c>
      <c r="V65" t="s">
        <v>29</v>
      </c>
    </row>
    <row r="66" spans="1:22">
      <c r="A66" t="s">
        <v>111</v>
      </c>
      <c r="B66" t="s">
        <v>110</v>
      </c>
      <c r="C66" t="s">
        <v>25</v>
      </c>
      <c r="D66" t="s">
        <v>33</v>
      </c>
      <c r="E66" t="s">
        <v>27</v>
      </c>
      <c r="F66" t="s">
        <v>28</v>
      </c>
      <c r="G66">
        <v>10.018906593322754</v>
      </c>
      <c r="H66">
        <v>10.038070678710938</v>
      </c>
      <c r="I66">
        <v>2.7101434767246246E-2</v>
      </c>
      <c r="J66">
        <v>59500332</v>
      </c>
      <c r="K66">
        <v>58838060</v>
      </c>
      <c r="L66">
        <v>936594.0625</v>
      </c>
      <c r="M66" t="b">
        <v>0</v>
      </c>
      <c r="N66">
        <v>1.8</v>
      </c>
      <c r="O66" t="b">
        <v>1</v>
      </c>
      <c r="P66">
        <v>1</v>
      </c>
      <c r="Q66">
        <v>2</v>
      </c>
      <c r="R66">
        <v>85.228355407714844</v>
      </c>
      <c r="S66" t="s">
        <v>24</v>
      </c>
      <c r="T66" t="s">
        <v>24</v>
      </c>
      <c r="U66" t="s">
        <v>24</v>
      </c>
      <c r="V66" t="s">
        <v>29</v>
      </c>
    </row>
    <row r="67" spans="1:22">
      <c r="A67" t="s">
        <v>112</v>
      </c>
      <c r="B67" t="s">
        <v>804</v>
      </c>
      <c r="C67" t="s">
        <v>25</v>
      </c>
      <c r="D67" t="s">
        <v>33</v>
      </c>
      <c r="E67" t="s">
        <v>27</v>
      </c>
      <c r="F67" t="s">
        <v>28</v>
      </c>
      <c r="G67">
        <v>12.607536315917969</v>
      </c>
      <c r="H67">
        <v>12.90997314453125</v>
      </c>
      <c r="I67">
        <v>0.42770957946777344</v>
      </c>
      <c r="J67">
        <v>13006831</v>
      </c>
      <c r="K67">
        <v>11062117</v>
      </c>
      <c r="L67">
        <v>2750241</v>
      </c>
      <c r="M67" t="b">
        <v>0</v>
      </c>
      <c r="N67">
        <v>1.8</v>
      </c>
      <c r="O67" t="b">
        <v>1</v>
      </c>
      <c r="P67">
        <v>1</v>
      </c>
      <c r="Q67">
        <v>2</v>
      </c>
      <c r="R67">
        <v>84.650741577148438</v>
      </c>
      <c r="S67" t="s">
        <v>24</v>
      </c>
      <c r="T67" t="s">
        <v>24</v>
      </c>
      <c r="U67" t="s">
        <v>24</v>
      </c>
      <c r="V67" t="s">
        <v>29</v>
      </c>
    </row>
    <row r="68" spans="1:22">
      <c r="A68" t="s">
        <v>115</v>
      </c>
      <c r="B68" t="s">
        <v>804</v>
      </c>
      <c r="C68" t="s">
        <v>25</v>
      </c>
      <c r="D68" t="s">
        <v>33</v>
      </c>
      <c r="E68" t="s">
        <v>27</v>
      </c>
      <c r="F68" t="s">
        <v>28</v>
      </c>
      <c r="G68">
        <v>13.212409019470215</v>
      </c>
      <c r="H68">
        <v>12.90997314453125</v>
      </c>
      <c r="I68">
        <v>0.42770957946777344</v>
      </c>
      <c r="J68">
        <v>9117403</v>
      </c>
      <c r="K68">
        <v>11062117</v>
      </c>
      <c r="L68">
        <v>2750241</v>
      </c>
      <c r="M68" t="b">
        <v>0</v>
      </c>
      <c r="N68">
        <v>1.8</v>
      </c>
      <c r="O68" t="b">
        <v>1</v>
      </c>
      <c r="P68">
        <v>1</v>
      </c>
      <c r="Q68">
        <v>2</v>
      </c>
      <c r="R68">
        <v>84.650741577148438</v>
      </c>
      <c r="S68" t="s">
        <v>24</v>
      </c>
      <c r="T68" t="s">
        <v>24</v>
      </c>
      <c r="U68" t="s">
        <v>24</v>
      </c>
      <c r="V68" t="s">
        <v>29</v>
      </c>
    </row>
    <row r="69" spans="1:22">
      <c r="A69" t="s">
        <v>116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b">
        <v>0</v>
      </c>
      <c r="N69">
        <v>1.8</v>
      </c>
      <c r="O69" t="b">
        <v>1</v>
      </c>
      <c r="P69">
        <v>3</v>
      </c>
      <c r="Q69">
        <v>23</v>
      </c>
      <c r="R69" t="s">
        <v>24</v>
      </c>
      <c r="S69" t="s">
        <v>24</v>
      </c>
      <c r="T69" t="s">
        <v>24</v>
      </c>
      <c r="U69" t="s">
        <v>24</v>
      </c>
      <c r="V69" t="s">
        <v>29</v>
      </c>
    </row>
    <row r="70" spans="1:22">
      <c r="A70" t="s">
        <v>117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b">
        <v>0</v>
      </c>
      <c r="N70">
        <v>1.8</v>
      </c>
      <c r="O70" t="b">
        <v>1</v>
      </c>
      <c r="P70">
        <v>3</v>
      </c>
      <c r="Q70">
        <v>23</v>
      </c>
      <c r="R70" t="s">
        <v>24</v>
      </c>
      <c r="S70" t="s">
        <v>24</v>
      </c>
      <c r="T70" t="s">
        <v>24</v>
      </c>
      <c r="U70" t="s">
        <v>24</v>
      </c>
      <c r="V70" t="s">
        <v>29</v>
      </c>
    </row>
    <row r="71" spans="1:22">
      <c r="A71" t="s">
        <v>118</v>
      </c>
      <c r="B71" t="s">
        <v>119</v>
      </c>
      <c r="C71" t="s">
        <v>25</v>
      </c>
      <c r="D71" t="s">
        <v>33</v>
      </c>
      <c r="E71" t="s">
        <v>27</v>
      </c>
      <c r="F71" t="s">
        <v>28</v>
      </c>
      <c r="G71">
        <v>8.783442497253418</v>
      </c>
      <c r="H71">
        <v>8.9253625869750977</v>
      </c>
      <c r="I71">
        <v>0.20070531964302063</v>
      </c>
      <c r="J71">
        <v>122936472</v>
      </c>
      <c r="K71">
        <v>113497104</v>
      </c>
      <c r="L71">
        <v>13349282</v>
      </c>
      <c r="M71" t="b">
        <v>0</v>
      </c>
      <c r="N71">
        <v>1.8</v>
      </c>
      <c r="O71" t="b">
        <v>1</v>
      </c>
      <c r="P71">
        <v>1</v>
      </c>
      <c r="Q71">
        <v>2</v>
      </c>
      <c r="R71">
        <v>85.228355407714844</v>
      </c>
      <c r="S71" t="s">
        <v>24</v>
      </c>
      <c r="T71" t="s">
        <v>24</v>
      </c>
      <c r="U71" t="s">
        <v>24</v>
      </c>
      <c r="V71" t="s">
        <v>29</v>
      </c>
    </row>
    <row r="72" spans="1:22">
      <c r="A72" t="s">
        <v>120</v>
      </c>
      <c r="B72" t="s">
        <v>119</v>
      </c>
      <c r="C72" t="s">
        <v>25</v>
      </c>
      <c r="D72" t="s">
        <v>33</v>
      </c>
      <c r="E72" t="s">
        <v>27</v>
      </c>
      <c r="F72" t="s">
        <v>28</v>
      </c>
      <c r="G72">
        <v>9.0672826766967773</v>
      </c>
      <c r="H72">
        <v>8.9253625869750977</v>
      </c>
      <c r="I72">
        <v>0.20070531964302063</v>
      </c>
      <c r="J72">
        <v>104057736</v>
      </c>
      <c r="K72">
        <v>113497104</v>
      </c>
      <c r="L72">
        <v>13349282</v>
      </c>
      <c r="M72" t="b">
        <v>0</v>
      </c>
      <c r="N72">
        <v>1.8</v>
      </c>
      <c r="O72" t="b">
        <v>1</v>
      </c>
      <c r="P72">
        <v>1</v>
      </c>
      <c r="Q72">
        <v>2</v>
      </c>
      <c r="R72">
        <v>85.228355407714844</v>
      </c>
      <c r="S72" t="s">
        <v>24</v>
      </c>
      <c r="T72" t="s">
        <v>24</v>
      </c>
      <c r="U72" t="s">
        <v>24</v>
      </c>
      <c r="V72" t="s">
        <v>29</v>
      </c>
    </row>
    <row r="73" spans="1:22">
      <c r="A73" t="s">
        <v>121</v>
      </c>
      <c r="B73" t="s">
        <v>122</v>
      </c>
      <c r="C73" t="s">
        <v>25</v>
      </c>
      <c r="D73" t="s">
        <v>33</v>
      </c>
      <c r="E73" t="s">
        <v>27</v>
      </c>
      <c r="F73" t="s">
        <v>28</v>
      </c>
      <c r="G73">
        <v>8.954742431640625</v>
      </c>
      <c r="H73">
        <v>8.9346942901611328</v>
      </c>
      <c r="I73">
        <v>2.8351679444313049E-2</v>
      </c>
      <c r="J73">
        <v>111168792</v>
      </c>
      <c r="K73">
        <v>112493408</v>
      </c>
      <c r="L73">
        <v>1873289.875</v>
      </c>
      <c r="M73" t="b">
        <v>0</v>
      </c>
      <c r="N73">
        <v>1.8</v>
      </c>
      <c r="O73" t="b">
        <v>1</v>
      </c>
      <c r="P73">
        <v>1</v>
      </c>
      <c r="Q73">
        <v>2</v>
      </c>
      <c r="R73">
        <v>85.228355407714844</v>
      </c>
      <c r="S73" t="s">
        <v>24</v>
      </c>
      <c r="T73" t="s">
        <v>24</v>
      </c>
      <c r="U73" t="s">
        <v>24</v>
      </c>
      <c r="V73" t="s">
        <v>29</v>
      </c>
    </row>
    <row r="74" spans="1:22">
      <c r="A74" t="s">
        <v>123</v>
      </c>
      <c r="B74" t="s">
        <v>122</v>
      </c>
      <c r="C74" t="s">
        <v>25</v>
      </c>
      <c r="D74" t="s">
        <v>33</v>
      </c>
      <c r="E74" t="s">
        <v>27</v>
      </c>
      <c r="F74" t="s">
        <v>28</v>
      </c>
      <c r="G74">
        <v>8.914647102355957</v>
      </c>
      <c r="H74">
        <v>8.9346942901611328</v>
      </c>
      <c r="I74">
        <v>2.8351679444313049E-2</v>
      </c>
      <c r="J74">
        <v>113818024</v>
      </c>
      <c r="K74">
        <v>112493408</v>
      </c>
      <c r="L74">
        <v>1873289.875</v>
      </c>
      <c r="M74" t="b">
        <v>0</v>
      </c>
      <c r="N74">
        <v>1.8</v>
      </c>
      <c r="O74" t="b">
        <v>1</v>
      </c>
      <c r="P74">
        <v>1</v>
      </c>
      <c r="Q74">
        <v>2</v>
      </c>
      <c r="R74">
        <v>85.420890808105469</v>
      </c>
      <c r="S74" t="s">
        <v>24</v>
      </c>
      <c r="T74" t="s">
        <v>24</v>
      </c>
      <c r="U74" t="s">
        <v>24</v>
      </c>
      <c r="V74" t="s">
        <v>29</v>
      </c>
    </row>
    <row r="75" spans="1:22">
      <c r="A75" t="s">
        <v>124</v>
      </c>
      <c r="B75" t="s">
        <v>125</v>
      </c>
      <c r="C75" t="s">
        <v>25</v>
      </c>
      <c r="D75" t="s">
        <v>33</v>
      </c>
      <c r="E75" t="s">
        <v>27</v>
      </c>
      <c r="F75" t="s">
        <v>28</v>
      </c>
      <c r="G75">
        <v>9.392852783203125</v>
      </c>
      <c r="H75">
        <v>9.2763271331787109</v>
      </c>
      <c r="I75">
        <v>0.16479215025901794</v>
      </c>
      <c r="J75">
        <v>85945456</v>
      </c>
      <c r="K75">
        <v>92249616</v>
      </c>
      <c r="L75">
        <v>8915429</v>
      </c>
      <c r="M75" t="b">
        <v>0</v>
      </c>
      <c r="N75">
        <v>1.8</v>
      </c>
      <c r="O75" t="b">
        <v>1</v>
      </c>
      <c r="P75">
        <v>1</v>
      </c>
      <c r="Q75">
        <v>2</v>
      </c>
      <c r="R75">
        <v>85.420890808105469</v>
      </c>
      <c r="S75" t="s">
        <v>24</v>
      </c>
      <c r="T75" t="s">
        <v>24</v>
      </c>
      <c r="U75" t="s">
        <v>24</v>
      </c>
      <c r="V75" t="s">
        <v>29</v>
      </c>
    </row>
    <row r="76" spans="1:22">
      <c r="A76" t="s">
        <v>126</v>
      </c>
      <c r="B76" t="s">
        <v>125</v>
      </c>
      <c r="C76" t="s">
        <v>25</v>
      </c>
      <c r="D76" t="s">
        <v>33</v>
      </c>
      <c r="E76" t="s">
        <v>27</v>
      </c>
      <c r="F76" t="s">
        <v>28</v>
      </c>
      <c r="G76">
        <v>9.1598014831542969</v>
      </c>
      <c r="H76">
        <v>9.2763271331787109</v>
      </c>
      <c r="I76">
        <v>0.16479215025901794</v>
      </c>
      <c r="J76">
        <v>98553776</v>
      </c>
      <c r="K76">
        <v>92249616</v>
      </c>
      <c r="L76">
        <v>8915429</v>
      </c>
      <c r="M76" t="b">
        <v>0</v>
      </c>
      <c r="N76">
        <v>1.8</v>
      </c>
      <c r="O76" t="b">
        <v>1</v>
      </c>
      <c r="P76">
        <v>1</v>
      </c>
      <c r="Q76">
        <v>2</v>
      </c>
      <c r="R76">
        <v>85.420890808105469</v>
      </c>
      <c r="S76" t="s">
        <v>24</v>
      </c>
      <c r="T76" t="s">
        <v>24</v>
      </c>
      <c r="U76" t="s">
        <v>24</v>
      </c>
      <c r="V76" t="s">
        <v>29</v>
      </c>
    </row>
    <row r="77" spans="1:22">
      <c r="A77" t="s">
        <v>127</v>
      </c>
      <c r="B77" t="s">
        <v>128</v>
      </c>
      <c r="C77" t="s">
        <v>25</v>
      </c>
      <c r="D77" t="s">
        <v>33</v>
      </c>
      <c r="E77" t="s">
        <v>27</v>
      </c>
      <c r="F77" t="s">
        <v>28</v>
      </c>
      <c r="G77">
        <v>9.7254257202148438</v>
      </c>
      <c r="H77">
        <v>9.8054122924804688</v>
      </c>
      <c r="I77">
        <v>0.11311741918325424</v>
      </c>
      <c r="J77">
        <v>70694400</v>
      </c>
      <c r="K77">
        <v>67524296</v>
      </c>
      <c r="L77">
        <v>4483204</v>
      </c>
      <c r="M77" t="b">
        <v>0</v>
      </c>
      <c r="N77">
        <v>1.8</v>
      </c>
      <c r="O77" t="b">
        <v>1</v>
      </c>
      <c r="P77">
        <v>1</v>
      </c>
      <c r="Q77">
        <v>2</v>
      </c>
      <c r="R77">
        <v>85.420890808105469</v>
      </c>
      <c r="S77" t="s">
        <v>24</v>
      </c>
      <c r="T77" t="s">
        <v>24</v>
      </c>
      <c r="U77" t="s">
        <v>24</v>
      </c>
      <c r="V77" t="s">
        <v>29</v>
      </c>
    </row>
    <row r="78" spans="1:22">
      <c r="A78" t="s">
        <v>129</v>
      </c>
      <c r="B78" t="s">
        <v>128</v>
      </c>
      <c r="C78" t="s">
        <v>25</v>
      </c>
      <c r="D78" t="s">
        <v>33</v>
      </c>
      <c r="E78" t="s">
        <v>27</v>
      </c>
      <c r="F78" t="s">
        <v>28</v>
      </c>
      <c r="G78">
        <v>9.8853979110717773</v>
      </c>
      <c r="H78">
        <v>9.8054122924804688</v>
      </c>
      <c r="I78">
        <v>0.11311741918325424</v>
      </c>
      <c r="J78">
        <v>64354192</v>
      </c>
      <c r="K78">
        <v>67524296</v>
      </c>
      <c r="L78">
        <v>4483204</v>
      </c>
      <c r="M78" t="b">
        <v>0</v>
      </c>
      <c r="N78">
        <v>1.8</v>
      </c>
      <c r="O78" t="b">
        <v>1</v>
      </c>
      <c r="P78">
        <v>1</v>
      </c>
      <c r="Q78">
        <v>2</v>
      </c>
      <c r="R78">
        <v>85.420890808105469</v>
      </c>
      <c r="S78" t="s">
        <v>24</v>
      </c>
      <c r="T78" t="s">
        <v>24</v>
      </c>
      <c r="U78" t="s">
        <v>24</v>
      </c>
      <c r="V78" t="s">
        <v>29</v>
      </c>
    </row>
    <row r="79" spans="1:22">
      <c r="A79" t="s">
        <v>130</v>
      </c>
      <c r="B79" t="s">
        <v>805</v>
      </c>
      <c r="C79" t="s">
        <v>25</v>
      </c>
      <c r="D79" t="s">
        <v>33</v>
      </c>
      <c r="E79" t="s">
        <v>27</v>
      </c>
      <c r="F79" t="s">
        <v>28</v>
      </c>
      <c r="G79">
        <v>10.970192909240723</v>
      </c>
      <c r="H79">
        <v>17.006282806396484</v>
      </c>
      <c r="I79">
        <v>8.5363197326660156</v>
      </c>
      <c r="J79">
        <v>34029100</v>
      </c>
      <c r="K79">
        <v>17028716</v>
      </c>
      <c r="L79">
        <v>24042172</v>
      </c>
      <c r="M79" t="b">
        <v>0</v>
      </c>
      <c r="N79">
        <v>1.8</v>
      </c>
      <c r="O79" t="b">
        <v>1</v>
      </c>
      <c r="P79">
        <v>1</v>
      </c>
      <c r="Q79">
        <v>3</v>
      </c>
      <c r="R79">
        <v>85.035812377929688</v>
      </c>
      <c r="S79" t="s">
        <v>24</v>
      </c>
      <c r="T79" t="s">
        <v>24</v>
      </c>
      <c r="U79" t="s">
        <v>24</v>
      </c>
      <c r="V79" t="s">
        <v>114</v>
      </c>
    </row>
    <row r="80" spans="1:22">
      <c r="A80" t="s">
        <v>132</v>
      </c>
      <c r="B80" t="s">
        <v>805</v>
      </c>
      <c r="C80" t="s">
        <v>25</v>
      </c>
      <c r="D80" t="s">
        <v>33</v>
      </c>
      <c r="E80" t="s">
        <v>27</v>
      </c>
      <c r="F80" t="s">
        <v>28</v>
      </c>
      <c r="G80">
        <v>23.04237174987793</v>
      </c>
      <c r="H80">
        <v>17.006282806396484</v>
      </c>
      <c r="I80">
        <v>8.5363197326660156</v>
      </c>
      <c r="J80">
        <v>28332.935546875</v>
      </c>
      <c r="K80">
        <v>17028716</v>
      </c>
      <c r="L80">
        <v>24042172</v>
      </c>
      <c r="M80" t="b">
        <v>0</v>
      </c>
      <c r="N80">
        <v>1.8</v>
      </c>
      <c r="O80" t="b">
        <v>1</v>
      </c>
      <c r="P80">
        <v>3</v>
      </c>
      <c r="Q80">
        <v>6</v>
      </c>
      <c r="R80">
        <v>84.458206176757812</v>
      </c>
      <c r="S80" t="s">
        <v>24</v>
      </c>
      <c r="T80" t="s">
        <v>24</v>
      </c>
      <c r="U80" t="s">
        <v>24</v>
      </c>
      <c r="V80" t="s">
        <v>114</v>
      </c>
    </row>
    <row r="81" spans="1:22">
      <c r="A81" t="s">
        <v>133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>
        <v>10.788805961608887</v>
      </c>
      <c r="H81">
        <v>10.723119735717773</v>
      </c>
      <c r="I81">
        <v>9.28950235247612E-2</v>
      </c>
      <c r="J81">
        <v>50000000</v>
      </c>
      <c r="K81" t="s">
        <v>24</v>
      </c>
      <c r="L81" t="s">
        <v>24</v>
      </c>
      <c r="M81" t="b">
        <v>0</v>
      </c>
      <c r="N81">
        <v>1.8</v>
      </c>
      <c r="O81" t="b">
        <v>1</v>
      </c>
      <c r="P81">
        <v>1</v>
      </c>
      <c r="Q81">
        <v>2</v>
      </c>
      <c r="R81">
        <v>84.843276977539062</v>
      </c>
      <c r="S81" t="s">
        <v>24</v>
      </c>
      <c r="T81" t="s">
        <v>24</v>
      </c>
      <c r="U81" t="s">
        <v>24</v>
      </c>
      <c r="V81" t="s">
        <v>29</v>
      </c>
    </row>
    <row r="82" spans="1:22">
      <c r="A82" t="s">
        <v>134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>
        <v>10.657432556152344</v>
      </c>
      <c r="H82">
        <v>10.723119735717773</v>
      </c>
      <c r="I82">
        <v>9.28950235247612E-2</v>
      </c>
      <c r="J82">
        <v>50000000</v>
      </c>
      <c r="K82" t="s">
        <v>24</v>
      </c>
      <c r="L82" t="s">
        <v>24</v>
      </c>
      <c r="M82" t="b">
        <v>0</v>
      </c>
      <c r="N82">
        <v>1.8</v>
      </c>
      <c r="O82" t="b">
        <v>1</v>
      </c>
      <c r="P82">
        <v>1</v>
      </c>
      <c r="Q82">
        <v>2</v>
      </c>
      <c r="R82">
        <v>85.035812377929688</v>
      </c>
      <c r="S82" t="s">
        <v>24</v>
      </c>
      <c r="T82" t="s">
        <v>24</v>
      </c>
      <c r="U82" t="s">
        <v>24</v>
      </c>
      <c r="V82" t="s">
        <v>29</v>
      </c>
    </row>
    <row r="83" spans="1:22">
      <c r="A83" t="s">
        <v>135</v>
      </c>
      <c r="B83" t="s">
        <v>136</v>
      </c>
      <c r="C83" t="s">
        <v>25</v>
      </c>
      <c r="D83" t="s">
        <v>33</v>
      </c>
      <c r="E83" t="s">
        <v>27</v>
      </c>
      <c r="F83" t="s">
        <v>28</v>
      </c>
      <c r="G83">
        <v>8.8288717269897461</v>
      </c>
      <c r="H83">
        <v>8.6557540893554688</v>
      </c>
      <c r="I83">
        <v>0.24482598900794983</v>
      </c>
      <c r="J83">
        <v>119699392</v>
      </c>
      <c r="K83">
        <v>133197192</v>
      </c>
      <c r="L83">
        <v>19088772</v>
      </c>
      <c r="M83" t="b">
        <v>0</v>
      </c>
      <c r="N83">
        <v>1.8</v>
      </c>
      <c r="O83" t="b">
        <v>1</v>
      </c>
      <c r="P83">
        <v>1</v>
      </c>
      <c r="Q83">
        <v>2</v>
      </c>
      <c r="R83">
        <v>85.035812377929688</v>
      </c>
      <c r="S83" t="s">
        <v>24</v>
      </c>
      <c r="T83" t="s">
        <v>24</v>
      </c>
      <c r="U83" t="s">
        <v>24</v>
      </c>
      <c r="V83" t="s">
        <v>29</v>
      </c>
    </row>
    <row r="84" spans="1:22">
      <c r="A84" t="s">
        <v>137</v>
      </c>
      <c r="B84" t="s">
        <v>136</v>
      </c>
      <c r="C84" t="s">
        <v>25</v>
      </c>
      <c r="D84" t="s">
        <v>33</v>
      </c>
      <c r="E84" t="s">
        <v>27</v>
      </c>
      <c r="F84" t="s">
        <v>28</v>
      </c>
      <c r="G84">
        <v>8.482635498046875</v>
      </c>
      <c r="H84">
        <v>8.6557540893554688</v>
      </c>
      <c r="I84">
        <v>0.24482598900794983</v>
      </c>
      <c r="J84">
        <v>146694992</v>
      </c>
      <c r="K84">
        <v>133197192</v>
      </c>
      <c r="L84">
        <v>19088772</v>
      </c>
      <c r="M84" t="b">
        <v>0</v>
      </c>
      <c r="N84">
        <v>1.8</v>
      </c>
      <c r="O84" t="b">
        <v>1</v>
      </c>
      <c r="P84">
        <v>1</v>
      </c>
      <c r="Q84">
        <v>2</v>
      </c>
      <c r="R84">
        <v>85.228355407714844</v>
      </c>
      <c r="S84" t="s">
        <v>24</v>
      </c>
      <c r="T84" t="s">
        <v>24</v>
      </c>
      <c r="U84" t="s">
        <v>24</v>
      </c>
      <c r="V84" t="s">
        <v>29</v>
      </c>
    </row>
    <row r="85" spans="1:22">
      <c r="A85" t="s">
        <v>138</v>
      </c>
      <c r="B85" t="s">
        <v>139</v>
      </c>
      <c r="C85" t="s">
        <v>25</v>
      </c>
      <c r="D85" t="s">
        <v>33</v>
      </c>
      <c r="E85" t="s">
        <v>27</v>
      </c>
      <c r="F85" t="s">
        <v>28</v>
      </c>
      <c r="G85">
        <v>10.082225799560547</v>
      </c>
      <c r="H85">
        <v>10.042876243591309</v>
      </c>
      <c r="I85">
        <v>5.5648677051067352E-2</v>
      </c>
      <c r="J85">
        <v>57328020</v>
      </c>
      <c r="K85">
        <v>58684152</v>
      </c>
      <c r="L85">
        <v>1917857.5</v>
      </c>
      <c r="M85" t="b">
        <v>0</v>
      </c>
      <c r="N85">
        <v>1.8</v>
      </c>
      <c r="O85" t="b">
        <v>1</v>
      </c>
      <c r="P85">
        <v>1</v>
      </c>
      <c r="Q85">
        <v>2</v>
      </c>
      <c r="R85">
        <v>85.228355407714844</v>
      </c>
      <c r="S85" t="s">
        <v>24</v>
      </c>
      <c r="T85" t="s">
        <v>24</v>
      </c>
      <c r="U85" t="s">
        <v>24</v>
      </c>
      <c r="V85" t="s">
        <v>29</v>
      </c>
    </row>
    <row r="86" spans="1:22">
      <c r="A86" t="s">
        <v>140</v>
      </c>
      <c r="B86" t="s">
        <v>139</v>
      </c>
      <c r="C86" t="s">
        <v>25</v>
      </c>
      <c r="D86" t="s">
        <v>33</v>
      </c>
      <c r="E86" t="s">
        <v>27</v>
      </c>
      <c r="F86" t="s">
        <v>28</v>
      </c>
      <c r="G86">
        <v>10.00352668762207</v>
      </c>
      <c r="H86">
        <v>10.042876243591309</v>
      </c>
      <c r="I86">
        <v>5.5648677051067352E-2</v>
      </c>
      <c r="J86">
        <v>60040280</v>
      </c>
      <c r="K86">
        <v>58684152</v>
      </c>
      <c r="L86">
        <v>1917857.5</v>
      </c>
      <c r="M86" t="b">
        <v>0</v>
      </c>
      <c r="N86">
        <v>1.8</v>
      </c>
      <c r="O86" t="b">
        <v>1</v>
      </c>
      <c r="P86">
        <v>1</v>
      </c>
      <c r="Q86">
        <v>3</v>
      </c>
      <c r="R86">
        <v>85.228355407714844</v>
      </c>
      <c r="S86" t="s">
        <v>24</v>
      </c>
      <c r="T86" t="s">
        <v>24</v>
      </c>
      <c r="U86" t="s">
        <v>24</v>
      </c>
      <c r="V86" t="s">
        <v>29</v>
      </c>
    </row>
    <row r="87" spans="1:22">
      <c r="A87" t="s">
        <v>141</v>
      </c>
      <c r="B87" t="s">
        <v>142</v>
      </c>
      <c r="C87" t="s">
        <v>25</v>
      </c>
      <c r="D87" t="s">
        <v>33</v>
      </c>
      <c r="E87" t="s">
        <v>27</v>
      </c>
      <c r="F87" t="s">
        <v>28</v>
      </c>
      <c r="G87">
        <v>10.337493896484375</v>
      </c>
      <c r="H87">
        <v>10.339517593383789</v>
      </c>
      <c r="I87">
        <v>2.8626138810068369E-3</v>
      </c>
      <c r="J87">
        <v>49345684</v>
      </c>
      <c r="K87">
        <v>49287084</v>
      </c>
      <c r="L87">
        <v>82872.9140625</v>
      </c>
      <c r="M87" t="b">
        <v>0</v>
      </c>
      <c r="N87">
        <v>1.8</v>
      </c>
      <c r="O87" t="b">
        <v>1</v>
      </c>
      <c r="P87">
        <v>1</v>
      </c>
      <c r="Q87">
        <v>2</v>
      </c>
      <c r="R87">
        <v>85.613433837890625</v>
      </c>
      <c r="S87" t="s">
        <v>24</v>
      </c>
      <c r="T87" t="s">
        <v>24</v>
      </c>
      <c r="U87" t="s">
        <v>24</v>
      </c>
      <c r="V87" t="s">
        <v>29</v>
      </c>
    </row>
    <row r="88" spans="1:22">
      <c r="A88" t="s">
        <v>143</v>
      </c>
      <c r="B88" t="s">
        <v>142</v>
      </c>
      <c r="C88" t="s">
        <v>25</v>
      </c>
      <c r="D88" t="s">
        <v>33</v>
      </c>
      <c r="E88" t="s">
        <v>27</v>
      </c>
      <c r="F88" t="s">
        <v>28</v>
      </c>
      <c r="G88">
        <v>10.34154224395752</v>
      </c>
      <c r="H88">
        <v>10.339517593383789</v>
      </c>
      <c r="I88">
        <v>2.8626138810068369E-3</v>
      </c>
      <c r="J88">
        <v>49228484</v>
      </c>
      <c r="K88">
        <v>49287084</v>
      </c>
      <c r="L88">
        <v>82872.9140625</v>
      </c>
      <c r="M88" t="b">
        <v>0</v>
      </c>
      <c r="N88">
        <v>1.8</v>
      </c>
      <c r="O88" t="b">
        <v>1</v>
      </c>
      <c r="P88">
        <v>1</v>
      </c>
      <c r="Q88">
        <v>2</v>
      </c>
      <c r="R88">
        <v>85.613433837890625</v>
      </c>
      <c r="S88" t="s">
        <v>24</v>
      </c>
      <c r="T88" t="s">
        <v>24</v>
      </c>
      <c r="U88" t="s">
        <v>24</v>
      </c>
      <c r="V88" t="s">
        <v>29</v>
      </c>
    </row>
    <row r="89" spans="1:22">
      <c r="A89" t="s">
        <v>144</v>
      </c>
      <c r="B89" t="s">
        <v>145</v>
      </c>
      <c r="C89" t="s">
        <v>25</v>
      </c>
      <c r="D89" t="s">
        <v>33</v>
      </c>
      <c r="E89" t="s">
        <v>27</v>
      </c>
      <c r="F89" t="s">
        <v>28</v>
      </c>
      <c r="G89">
        <v>9.6774845123291016</v>
      </c>
      <c r="H89">
        <v>9.6826238632202148</v>
      </c>
      <c r="I89">
        <v>7.2681396268308163E-3</v>
      </c>
      <c r="J89">
        <v>72713432</v>
      </c>
      <c r="K89">
        <v>72494592</v>
      </c>
      <c r="L89">
        <v>309492.15625</v>
      </c>
      <c r="M89" t="b">
        <v>0</v>
      </c>
      <c r="N89">
        <v>1.8</v>
      </c>
      <c r="O89" t="b">
        <v>1</v>
      </c>
      <c r="P89">
        <v>1</v>
      </c>
      <c r="Q89">
        <v>3</v>
      </c>
      <c r="R89">
        <v>85.420890808105469</v>
      </c>
      <c r="S89" t="s">
        <v>24</v>
      </c>
      <c r="T89" t="s">
        <v>24</v>
      </c>
      <c r="U89" t="s">
        <v>24</v>
      </c>
      <c r="V89" t="s">
        <v>29</v>
      </c>
    </row>
    <row r="90" spans="1:22">
      <c r="A90" t="s">
        <v>146</v>
      </c>
      <c r="B90" t="s">
        <v>145</v>
      </c>
      <c r="C90" t="s">
        <v>25</v>
      </c>
      <c r="D90" t="s">
        <v>33</v>
      </c>
      <c r="E90" t="s">
        <v>27</v>
      </c>
      <c r="F90" t="s">
        <v>28</v>
      </c>
      <c r="G90">
        <v>9.6877632141113281</v>
      </c>
      <c r="H90">
        <v>9.6826238632202148</v>
      </c>
      <c r="I90">
        <v>7.2681396268308163E-3</v>
      </c>
      <c r="J90">
        <v>72275744</v>
      </c>
      <c r="K90">
        <v>72494592</v>
      </c>
      <c r="L90">
        <v>309492.15625</v>
      </c>
      <c r="M90" t="b">
        <v>0</v>
      </c>
      <c r="N90">
        <v>1.8</v>
      </c>
      <c r="O90" t="b">
        <v>1</v>
      </c>
      <c r="P90">
        <v>1</v>
      </c>
      <c r="Q90">
        <v>2</v>
      </c>
      <c r="R90">
        <v>85.420890808105469</v>
      </c>
      <c r="S90" t="s">
        <v>24</v>
      </c>
      <c r="T90" t="s">
        <v>24</v>
      </c>
      <c r="U90" t="s">
        <v>24</v>
      </c>
      <c r="V90" t="s">
        <v>29</v>
      </c>
    </row>
    <row r="91" spans="1:22">
      <c r="A91" t="s">
        <v>147</v>
      </c>
      <c r="B91" t="s">
        <v>148</v>
      </c>
      <c r="C91" t="s">
        <v>25</v>
      </c>
      <c r="D91" t="s">
        <v>33</v>
      </c>
      <c r="E91" t="s">
        <v>27</v>
      </c>
      <c r="F91" t="s">
        <v>28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b">
        <v>0</v>
      </c>
      <c r="N91">
        <v>1.8</v>
      </c>
      <c r="O91" t="b">
        <v>1</v>
      </c>
      <c r="P91">
        <v>3</v>
      </c>
      <c r="Q91">
        <v>48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</row>
    <row r="92" spans="1:22">
      <c r="A92" t="s">
        <v>149</v>
      </c>
      <c r="B92" t="s">
        <v>148</v>
      </c>
      <c r="C92" t="s">
        <v>25</v>
      </c>
      <c r="D92" t="s">
        <v>33</v>
      </c>
      <c r="E92" t="s">
        <v>27</v>
      </c>
      <c r="F92" t="s">
        <v>28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b">
        <v>0</v>
      </c>
      <c r="N92">
        <v>1.8</v>
      </c>
      <c r="O92" t="b">
        <v>1</v>
      </c>
      <c r="P92">
        <v>3</v>
      </c>
      <c r="Q92">
        <v>43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</row>
    <row r="93" spans="1:22">
      <c r="A93" t="s">
        <v>150</v>
      </c>
      <c r="B93" t="s">
        <v>24</v>
      </c>
      <c r="C93" t="s">
        <v>25</v>
      </c>
      <c r="D93" t="s">
        <v>151</v>
      </c>
      <c r="E93" t="s">
        <v>27</v>
      </c>
      <c r="F93" t="s">
        <v>28</v>
      </c>
      <c r="G93">
        <v>36.469089508056641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b">
        <v>0</v>
      </c>
      <c r="N93">
        <v>1.8</v>
      </c>
      <c r="O93" t="b">
        <v>1</v>
      </c>
      <c r="P93">
        <v>3</v>
      </c>
      <c r="Q93">
        <v>29</v>
      </c>
      <c r="R93">
        <v>77.526863098144531</v>
      </c>
      <c r="S93" t="s">
        <v>24</v>
      </c>
      <c r="T93" t="s">
        <v>24</v>
      </c>
      <c r="U93" t="s">
        <v>24</v>
      </c>
      <c r="V93" t="s">
        <v>29</v>
      </c>
    </row>
    <row r="94" spans="1:22">
      <c r="A94" t="s">
        <v>152</v>
      </c>
      <c r="B94" t="s">
        <v>24</v>
      </c>
      <c r="C94" t="s">
        <v>25</v>
      </c>
      <c r="D94" t="s">
        <v>151</v>
      </c>
      <c r="E94" t="s">
        <v>27</v>
      </c>
      <c r="F94" t="s">
        <v>28</v>
      </c>
      <c r="G94">
        <v>38.321067810058594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b">
        <v>0</v>
      </c>
      <c r="N94">
        <v>1.8</v>
      </c>
      <c r="O94" t="b">
        <v>1</v>
      </c>
      <c r="P94">
        <v>3</v>
      </c>
      <c r="Q94">
        <v>31</v>
      </c>
      <c r="R94">
        <v>77.719398498535156</v>
      </c>
      <c r="S94" t="s">
        <v>24</v>
      </c>
      <c r="T94" t="s">
        <v>24</v>
      </c>
      <c r="U94" t="s">
        <v>24</v>
      </c>
      <c r="V94" t="s">
        <v>29</v>
      </c>
    </row>
    <row r="95" spans="1:22">
      <c r="A95" t="s">
        <v>153</v>
      </c>
      <c r="B95" t="s">
        <v>154</v>
      </c>
      <c r="C95" t="s">
        <v>25</v>
      </c>
      <c r="D95" t="s">
        <v>33</v>
      </c>
      <c r="E95" t="s">
        <v>27</v>
      </c>
      <c r="F95" t="s">
        <v>28</v>
      </c>
      <c r="G95">
        <v>8.6155862808227539</v>
      </c>
      <c r="H95">
        <v>8.4153261184692383</v>
      </c>
      <c r="I95">
        <v>0.2832106351852417</v>
      </c>
      <c r="J95">
        <v>135675088</v>
      </c>
      <c r="K95">
        <v>153667936</v>
      </c>
      <c r="L95">
        <v>25445718</v>
      </c>
      <c r="M95" t="b">
        <v>0</v>
      </c>
      <c r="N95">
        <v>1.8</v>
      </c>
      <c r="O95" t="b">
        <v>1</v>
      </c>
      <c r="P95">
        <v>1</v>
      </c>
      <c r="Q95">
        <v>2</v>
      </c>
      <c r="R95">
        <v>84.843276977539062</v>
      </c>
      <c r="S95" t="s">
        <v>24</v>
      </c>
      <c r="T95" t="s">
        <v>24</v>
      </c>
      <c r="U95" t="s">
        <v>24</v>
      </c>
      <c r="V95" t="s">
        <v>29</v>
      </c>
    </row>
    <row r="96" spans="1:22">
      <c r="A96" t="s">
        <v>155</v>
      </c>
      <c r="B96" t="s">
        <v>154</v>
      </c>
      <c r="C96" t="s">
        <v>25</v>
      </c>
      <c r="D96" t="s">
        <v>33</v>
      </c>
      <c r="E96" t="s">
        <v>27</v>
      </c>
      <c r="F96" t="s">
        <v>28</v>
      </c>
      <c r="G96">
        <v>8.2150659561157227</v>
      </c>
      <c r="H96">
        <v>8.4153261184692383</v>
      </c>
      <c r="I96">
        <v>0.2832106351852417</v>
      </c>
      <c r="J96">
        <v>171660768</v>
      </c>
      <c r="K96">
        <v>153667936</v>
      </c>
      <c r="L96">
        <v>25445718</v>
      </c>
      <c r="M96" t="b">
        <v>0</v>
      </c>
      <c r="N96">
        <v>1.8</v>
      </c>
      <c r="O96" t="b">
        <v>1</v>
      </c>
      <c r="P96">
        <v>1</v>
      </c>
      <c r="Q96">
        <v>2</v>
      </c>
      <c r="R96">
        <v>84.843276977539062</v>
      </c>
      <c r="S96" t="s">
        <v>24</v>
      </c>
      <c r="T96" t="s">
        <v>24</v>
      </c>
      <c r="U96" t="s">
        <v>24</v>
      </c>
      <c r="V96" t="s">
        <v>29</v>
      </c>
    </row>
    <row r="97" spans="1:22">
      <c r="A97" t="s">
        <v>156</v>
      </c>
      <c r="B97" t="s">
        <v>157</v>
      </c>
      <c r="C97" t="s">
        <v>25</v>
      </c>
      <c r="D97" t="s">
        <v>33</v>
      </c>
      <c r="E97" t="s">
        <v>27</v>
      </c>
      <c r="F97" t="s">
        <v>28</v>
      </c>
      <c r="G97">
        <v>10.357789039611816</v>
      </c>
      <c r="H97">
        <v>10.458208084106445</v>
      </c>
      <c r="I97">
        <v>0.14201398193836212</v>
      </c>
      <c r="J97">
        <v>48760928</v>
      </c>
      <c r="K97">
        <v>46047976</v>
      </c>
      <c r="L97">
        <v>3836690.75</v>
      </c>
      <c r="M97" t="b">
        <v>0</v>
      </c>
      <c r="N97">
        <v>1.8</v>
      </c>
      <c r="O97" t="b">
        <v>1</v>
      </c>
      <c r="P97">
        <v>1</v>
      </c>
      <c r="Q97">
        <v>2</v>
      </c>
      <c r="R97">
        <v>85.228355407714844</v>
      </c>
      <c r="S97" t="s">
        <v>24</v>
      </c>
      <c r="T97" t="s">
        <v>24</v>
      </c>
      <c r="U97" t="s">
        <v>24</v>
      </c>
      <c r="V97" t="s">
        <v>29</v>
      </c>
    </row>
    <row r="98" spans="1:22">
      <c r="A98" t="s">
        <v>158</v>
      </c>
      <c r="B98" t="s">
        <v>157</v>
      </c>
      <c r="C98" t="s">
        <v>25</v>
      </c>
      <c r="D98" t="s">
        <v>33</v>
      </c>
      <c r="E98" t="s">
        <v>27</v>
      </c>
      <c r="F98" t="s">
        <v>28</v>
      </c>
      <c r="G98">
        <v>10.558627128601074</v>
      </c>
      <c r="H98">
        <v>10.458208084106445</v>
      </c>
      <c r="I98">
        <v>0.14201398193836212</v>
      </c>
      <c r="J98">
        <v>43335028</v>
      </c>
      <c r="K98">
        <v>46047976</v>
      </c>
      <c r="L98">
        <v>3836690.75</v>
      </c>
      <c r="M98" t="b">
        <v>0</v>
      </c>
      <c r="N98">
        <v>1.8</v>
      </c>
      <c r="O98" t="b">
        <v>1</v>
      </c>
      <c r="P98">
        <v>1</v>
      </c>
      <c r="Q98">
        <v>2</v>
      </c>
      <c r="R98">
        <v>85.228355407714844</v>
      </c>
      <c r="S98" t="s">
        <v>24</v>
      </c>
      <c r="T98" t="s">
        <v>24</v>
      </c>
      <c r="U98" t="s">
        <v>24</v>
      </c>
      <c r="V98" t="s">
        <v>29</v>
      </c>
    </row>
    <row r="99" spans="1:22">
      <c r="A99" t="s">
        <v>159</v>
      </c>
      <c r="B99" t="s">
        <v>160</v>
      </c>
      <c r="C99" t="s">
        <v>25</v>
      </c>
      <c r="D99" t="s">
        <v>33</v>
      </c>
      <c r="E99" t="s">
        <v>27</v>
      </c>
      <c r="F99" t="s">
        <v>28</v>
      </c>
      <c r="G99">
        <v>12.624889373779297</v>
      </c>
      <c r="H99">
        <v>12.460941314697266</v>
      </c>
      <c r="I99">
        <v>0.23185689747333527</v>
      </c>
      <c r="J99">
        <v>12874928</v>
      </c>
      <c r="K99">
        <v>14242222</v>
      </c>
      <c r="L99">
        <v>1933645</v>
      </c>
      <c r="M99" t="b">
        <v>0</v>
      </c>
      <c r="N99">
        <v>1.8</v>
      </c>
      <c r="O99" t="b">
        <v>1</v>
      </c>
      <c r="P99">
        <v>3</v>
      </c>
      <c r="Q99">
        <v>6</v>
      </c>
      <c r="R99">
        <v>85.420890808105469</v>
      </c>
      <c r="S99" t="s">
        <v>24</v>
      </c>
      <c r="T99" t="s">
        <v>24</v>
      </c>
      <c r="U99" t="s">
        <v>24</v>
      </c>
      <c r="V99" t="s">
        <v>29</v>
      </c>
    </row>
    <row r="100" spans="1:22">
      <c r="A100" t="s">
        <v>161</v>
      </c>
      <c r="B100" t="s">
        <v>160</v>
      </c>
      <c r="C100" t="s">
        <v>25</v>
      </c>
      <c r="D100" t="s">
        <v>33</v>
      </c>
      <c r="E100" t="s">
        <v>27</v>
      </c>
      <c r="F100" t="s">
        <v>28</v>
      </c>
      <c r="G100">
        <v>12.296994209289551</v>
      </c>
      <c r="H100">
        <v>12.460941314697266</v>
      </c>
      <c r="I100">
        <v>0.23185689747333527</v>
      </c>
      <c r="J100">
        <v>15609515</v>
      </c>
      <c r="K100">
        <v>14242222</v>
      </c>
      <c r="L100">
        <v>1933645</v>
      </c>
      <c r="M100" t="b">
        <v>0</v>
      </c>
      <c r="N100">
        <v>1.8</v>
      </c>
      <c r="O100" t="b">
        <v>1</v>
      </c>
      <c r="P100">
        <v>3</v>
      </c>
      <c r="Q100">
        <v>5</v>
      </c>
      <c r="R100">
        <v>85.420890808105469</v>
      </c>
      <c r="S100" t="s">
        <v>24</v>
      </c>
      <c r="T100" t="s">
        <v>24</v>
      </c>
      <c r="U100" t="s">
        <v>24</v>
      </c>
      <c r="V100" t="s">
        <v>29</v>
      </c>
    </row>
    <row r="101" spans="1:22">
      <c r="A101" t="s">
        <v>162</v>
      </c>
      <c r="B101" t="s">
        <v>163</v>
      </c>
      <c r="C101" t="s">
        <v>25</v>
      </c>
      <c r="D101" t="s">
        <v>33</v>
      </c>
      <c r="E101" t="s">
        <v>27</v>
      </c>
      <c r="F101" t="s">
        <v>28</v>
      </c>
      <c r="G101">
        <v>11.266829490661621</v>
      </c>
      <c r="H101">
        <v>11.352777481079102</v>
      </c>
      <c r="I101">
        <v>0.12154881656169891</v>
      </c>
      <c r="J101">
        <v>28587740</v>
      </c>
      <c r="K101">
        <v>27214984</v>
      </c>
      <c r="L101">
        <v>1941371.625</v>
      </c>
      <c r="M101" t="b">
        <v>0</v>
      </c>
      <c r="N101">
        <v>1.8</v>
      </c>
      <c r="O101" t="b">
        <v>1</v>
      </c>
      <c r="P101">
        <v>1</v>
      </c>
      <c r="Q101">
        <v>2</v>
      </c>
      <c r="R101">
        <v>84.843276977539062</v>
      </c>
      <c r="S101" t="s">
        <v>24</v>
      </c>
      <c r="T101" t="s">
        <v>24</v>
      </c>
      <c r="U101" t="s">
        <v>24</v>
      </c>
      <c r="V101" t="s">
        <v>29</v>
      </c>
    </row>
    <row r="102" spans="1:22">
      <c r="A102" t="s">
        <v>164</v>
      </c>
      <c r="B102" t="s">
        <v>163</v>
      </c>
      <c r="C102" t="s">
        <v>25</v>
      </c>
      <c r="D102" t="s">
        <v>33</v>
      </c>
      <c r="E102" t="s">
        <v>27</v>
      </c>
      <c r="F102" t="s">
        <v>28</v>
      </c>
      <c r="G102">
        <v>11.438725471496582</v>
      </c>
      <c r="H102">
        <v>11.352777481079102</v>
      </c>
      <c r="I102">
        <v>0.12154881656169891</v>
      </c>
      <c r="J102">
        <v>25842226</v>
      </c>
      <c r="K102">
        <v>27214984</v>
      </c>
      <c r="L102">
        <v>1941371.625</v>
      </c>
      <c r="M102" t="b">
        <v>0</v>
      </c>
      <c r="N102">
        <v>1.8</v>
      </c>
      <c r="O102" t="b">
        <v>1</v>
      </c>
      <c r="P102">
        <v>1</v>
      </c>
      <c r="Q102">
        <v>3</v>
      </c>
      <c r="R102">
        <v>84.843276977539062</v>
      </c>
      <c r="S102" t="s">
        <v>24</v>
      </c>
      <c r="T102" t="s">
        <v>24</v>
      </c>
      <c r="U102" t="s">
        <v>24</v>
      </c>
      <c r="V102" t="s">
        <v>29</v>
      </c>
    </row>
    <row r="103" spans="1:22">
      <c r="A103" t="s">
        <v>165</v>
      </c>
      <c r="B103" t="s">
        <v>166</v>
      </c>
      <c r="C103" t="s">
        <v>25</v>
      </c>
      <c r="D103" t="s">
        <v>33</v>
      </c>
      <c r="E103" t="s">
        <v>27</v>
      </c>
      <c r="F103" t="s">
        <v>28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b">
        <v>0</v>
      </c>
      <c r="N103">
        <v>1.8</v>
      </c>
      <c r="O103" t="b">
        <v>1</v>
      </c>
      <c r="P103">
        <v>3</v>
      </c>
      <c r="Q103">
        <v>34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</row>
    <row r="104" spans="1:22">
      <c r="A104" t="s">
        <v>167</v>
      </c>
      <c r="B104" t="s">
        <v>166</v>
      </c>
      <c r="C104" t="s">
        <v>25</v>
      </c>
      <c r="D104" t="s">
        <v>33</v>
      </c>
      <c r="E104" t="s">
        <v>27</v>
      </c>
      <c r="F104" t="s">
        <v>28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b">
        <v>0</v>
      </c>
      <c r="N104">
        <v>1.8</v>
      </c>
      <c r="O104" t="b">
        <v>1</v>
      </c>
      <c r="P104">
        <v>3</v>
      </c>
      <c r="Q104">
        <v>18</v>
      </c>
      <c r="R104" t="s">
        <v>24</v>
      </c>
      <c r="S104" t="s">
        <v>24</v>
      </c>
      <c r="T104" t="s">
        <v>24</v>
      </c>
      <c r="U104" t="s">
        <v>24</v>
      </c>
      <c r="V104" t="s">
        <v>29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4"/>
  <sheetViews>
    <sheetView workbookViewId="0">
      <selection activeCell="A8" sqref="A8:K104"/>
    </sheetView>
  </sheetViews>
  <sheetFormatPr baseColWidth="10" defaultColWidth="9.1640625" defaultRowHeight="15"/>
  <cols>
    <col min="1" max="1" width="9.1640625" customWidth="1"/>
  </cols>
  <sheetData>
    <row r="1" spans="1:25">
      <c r="A1" t="s">
        <v>784</v>
      </c>
      <c r="B1" t="s">
        <v>785</v>
      </c>
    </row>
    <row r="2" spans="1:25">
      <c r="A2" t="s">
        <v>786</v>
      </c>
      <c r="B2" t="s">
        <v>787</v>
      </c>
    </row>
    <row r="3" spans="1:25">
      <c r="A3" t="s">
        <v>788</v>
      </c>
      <c r="B3" t="s">
        <v>789</v>
      </c>
    </row>
    <row r="4" spans="1:25">
      <c r="A4" t="s">
        <v>222</v>
      </c>
      <c r="B4" t="s">
        <v>790</v>
      </c>
    </row>
    <row r="5" spans="1:25">
      <c r="A5" t="s">
        <v>791</v>
      </c>
      <c r="B5" t="s">
        <v>792</v>
      </c>
    </row>
    <row r="6" spans="1:25">
      <c r="A6" t="s">
        <v>793</v>
      </c>
      <c r="B6" t="s">
        <v>794</v>
      </c>
    </row>
    <row r="8" spans="1: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169</v>
      </c>
      <c r="X8" t="s">
        <v>182</v>
      </c>
      <c r="Y8" t="s">
        <v>183</v>
      </c>
    </row>
    <row r="9" spans="1:25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10.54257869720459</v>
      </c>
      <c r="H9">
        <v>10.44045352935791</v>
      </c>
      <c r="I9">
        <v>0.14442679286003113</v>
      </c>
      <c r="J9">
        <v>50000000</v>
      </c>
      <c r="K9" t="s">
        <v>24</v>
      </c>
      <c r="L9" t="s">
        <v>24</v>
      </c>
      <c r="M9" t="b">
        <v>0</v>
      </c>
      <c r="N9">
        <v>2</v>
      </c>
      <c r="O9" t="b">
        <v>0</v>
      </c>
      <c r="P9">
        <v>1</v>
      </c>
      <c r="Q9">
        <v>2</v>
      </c>
      <c r="R9">
        <v>84.54925537109375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  <c r="X9" t="s">
        <v>29</v>
      </c>
      <c r="Y9" t="s">
        <v>29</v>
      </c>
    </row>
    <row r="10" spans="1:25">
      <c r="A10" t="s">
        <v>30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10.33832836151123</v>
      </c>
      <c r="H10">
        <v>10.44045352935791</v>
      </c>
      <c r="I10">
        <v>0.14442679286003113</v>
      </c>
      <c r="J10">
        <v>50000000</v>
      </c>
      <c r="K10" t="s">
        <v>24</v>
      </c>
      <c r="L10" t="s">
        <v>24</v>
      </c>
      <c r="M10" t="b">
        <v>0</v>
      </c>
      <c r="N10">
        <v>2</v>
      </c>
      <c r="O10" t="b">
        <v>1</v>
      </c>
      <c r="P10">
        <v>1</v>
      </c>
      <c r="Q10">
        <v>2</v>
      </c>
      <c r="R10">
        <v>84.54925537109375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  <c r="X10" t="s">
        <v>29</v>
      </c>
      <c r="Y10" t="s">
        <v>29</v>
      </c>
    </row>
    <row r="11" spans="1:25">
      <c r="A11" t="s">
        <v>31</v>
      </c>
      <c r="B11" t="s">
        <v>32</v>
      </c>
      <c r="C11" t="s">
        <v>25</v>
      </c>
      <c r="D11" t="s">
        <v>33</v>
      </c>
      <c r="E11" t="s">
        <v>27</v>
      </c>
      <c r="F11" t="s">
        <v>28</v>
      </c>
      <c r="G11">
        <v>8.6155519485473633</v>
      </c>
      <c r="H11">
        <v>8.5719213485717773</v>
      </c>
      <c r="I11">
        <v>6.1702985316514969E-2</v>
      </c>
      <c r="J11">
        <v>122546656</v>
      </c>
      <c r="K11">
        <v>125800976</v>
      </c>
      <c r="L11">
        <v>4602298</v>
      </c>
      <c r="M11" t="b">
        <v>0</v>
      </c>
      <c r="N11">
        <v>2</v>
      </c>
      <c r="O11" t="b">
        <v>1</v>
      </c>
      <c r="P11">
        <v>1</v>
      </c>
      <c r="Q11">
        <v>2</v>
      </c>
      <c r="R11">
        <v>84.9305419921875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  <c r="X11" t="s">
        <v>29</v>
      </c>
      <c r="Y11" t="s">
        <v>29</v>
      </c>
    </row>
    <row r="12" spans="1:25">
      <c r="A12" t="s">
        <v>34</v>
      </c>
      <c r="B12" t="s">
        <v>32</v>
      </c>
      <c r="C12" t="s">
        <v>25</v>
      </c>
      <c r="D12" t="s">
        <v>33</v>
      </c>
      <c r="E12" t="s">
        <v>27</v>
      </c>
      <c r="F12" t="s">
        <v>28</v>
      </c>
      <c r="G12">
        <v>8.5282907485961914</v>
      </c>
      <c r="H12">
        <v>8.5719213485717773</v>
      </c>
      <c r="I12">
        <v>6.1702985316514969E-2</v>
      </c>
      <c r="J12">
        <v>129055288</v>
      </c>
      <c r="K12">
        <v>125800976</v>
      </c>
      <c r="L12">
        <v>4602298</v>
      </c>
      <c r="M12" t="b">
        <v>0</v>
      </c>
      <c r="N12">
        <v>2</v>
      </c>
      <c r="O12" t="b">
        <v>1</v>
      </c>
      <c r="P12">
        <v>1</v>
      </c>
      <c r="Q12">
        <v>2</v>
      </c>
      <c r="R12">
        <v>84.9305419921875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  <c r="X12" t="s">
        <v>29</v>
      </c>
      <c r="Y12" t="s">
        <v>29</v>
      </c>
    </row>
    <row r="13" spans="1:25">
      <c r="A13" t="s">
        <v>35</v>
      </c>
      <c r="B13" t="s">
        <v>36</v>
      </c>
      <c r="C13" t="s">
        <v>25</v>
      </c>
      <c r="D13" t="s">
        <v>33</v>
      </c>
      <c r="E13" t="s">
        <v>27</v>
      </c>
      <c r="F13" t="s">
        <v>28</v>
      </c>
      <c r="G13">
        <v>9.5279445648193359</v>
      </c>
      <c r="H13">
        <v>9.4642505645751953</v>
      </c>
      <c r="I13">
        <v>9.0076245367527008E-2</v>
      </c>
      <c r="J13">
        <v>71336576</v>
      </c>
      <c r="K13">
        <v>74135536</v>
      </c>
      <c r="L13">
        <v>3958327.25</v>
      </c>
      <c r="M13" t="b">
        <v>0</v>
      </c>
      <c r="N13">
        <v>2</v>
      </c>
      <c r="O13" t="b">
        <v>1</v>
      </c>
      <c r="P13">
        <v>1</v>
      </c>
      <c r="Q13">
        <v>2</v>
      </c>
      <c r="R13">
        <v>84.9305419921875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  <c r="X13" t="s">
        <v>29</v>
      </c>
      <c r="Y13" t="s">
        <v>29</v>
      </c>
    </row>
    <row r="14" spans="1:25">
      <c r="A14" t="s">
        <v>37</v>
      </c>
      <c r="B14" t="s">
        <v>36</v>
      </c>
      <c r="C14" t="s">
        <v>25</v>
      </c>
      <c r="D14" t="s">
        <v>33</v>
      </c>
      <c r="E14" t="s">
        <v>27</v>
      </c>
      <c r="F14" t="s">
        <v>28</v>
      </c>
      <c r="G14">
        <v>9.4005575180053711</v>
      </c>
      <c r="H14">
        <v>9.4642505645751953</v>
      </c>
      <c r="I14">
        <v>9.0076245367527008E-2</v>
      </c>
      <c r="J14">
        <v>76934496</v>
      </c>
      <c r="K14">
        <v>74135536</v>
      </c>
      <c r="L14">
        <v>3958327.25</v>
      </c>
      <c r="M14" t="b">
        <v>0</v>
      </c>
      <c r="N14">
        <v>2</v>
      </c>
      <c r="O14" t="b">
        <v>1</v>
      </c>
      <c r="P14">
        <v>1</v>
      </c>
      <c r="Q14">
        <v>2</v>
      </c>
      <c r="R14">
        <v>84.739898681640625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  <c r="X14" t="s">
        <v>29</v>
      </c>
      <c r="Y14" t="s">
        <v>29</v>
      </c>
    </row>
    <row r="15" spans="1:25">
      <c r="A15" t="s">
        <v>38</v>
      </c>
      <c r="B15" t="s">
        <v>39</v>
      </c>
      <c r="C15" t="s">
        <v>25</v>
      </c>
      <c r="D15" t="s">
        <v>33</v>
      </c>
      <c r="E15" t="s">
        <v>27</v>
      </c>
      <c r="F15" t="s">
        <v>28</v>
      </c>
      <c r="G15">
        <v>10.316147804260254</v>
      </c>
      <c r="H15">
        <v>10.258161544799805</v>
      </c>
      <c r="I15">
        <v>8.2004278898239136E-2</v>
      </c>
      <c r="J15">
        <v>44700084</v>
      </c>
      <c r="K15">
        <v>46291312</v>
      </c>
      <c r="L15">
        <v>2250333.5</v>
      </c>
      <c r="M15" t="b">
        <v>0</v>
      </c>
      <c r="N15">
        <v>2</v>
      </c>
      <c r="O15" t="b">
        <v>1</v>
      </c>
      <c r="P15">
        <v>1</v>
      </c>
      <c r="Q15">
        <v>2</v>
      </c>
      <c r="R15">
        <v>84.358612060546875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  <c r="X15" t="s">
        <v>29</v>
      </c>
      <c r="Y15" t="s">
        <v>29</v>
      </c>
    </row>
    <row r="16" spans="1:25">
      <c r="A16" t="s">
        <v>40</v>
      </c>
      <c r="B16" t="s">
        <v>39</v>
      </c>
      <c r="C16" t="s">
        <v>25</v>
      </c>
      <c r="D16" t="s">
        <v>33</v>
      </c>
      <c r="E16" t="s">
        <v>27</v>
      </c>
      <c r="F16" t="s">
        <v>28</v>
      </c>
      <c r="G16">
        <v>10.200176239013672</v>
      </c>
      <c r="H16">
        <v>10.258161544799805</v>
      </c>
      <c r="I16">
        <v>8.2004278898239136E-2</v>
      </c>
      <c r="J16">
        <v>47882536</v>
      </c>
      <c r="K16">
        <v>46291312</v>
      </c>
      <c r="L16">
        <v>2250333.5</v>
      </c>
      <c r="M16" t="b">
        <v>0</v>
      </c>
      <c r="N16">
        <v>2</v>
      </c>
      <c r="O16" t="b">
        <v>1</v>
      </c>
      <c r="P16">
        <v>1</v>
      </c>
      <c r="Q16">
        <v>2</v>
      </c>
      <c r="R16">
        <v>84.167976379394531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  <c r="X16" t="s">
        <v>29</v>
      </c>
      <c r="Y16" t="s">
        <v>29</v>
      </c>
    </row>
    <row r="17" spans="1:25">
      <c r="A17" t="s">
        <v>41</v>
      </c>
      <c r="B17" t="s">
        <v>42</v>
      </c>
      <c r="C17" t="s">
        <v>25</v>
      </c>
      <c r="D17" t="s">
        <v>33</v>
      </c>
      <c r="E17" t="s">
        <v>27</v>
      </c>
      <c r="F17" t="s">
        <v>28</v>
      </c>
      <c r="G17">
        <v>8.602482795715332</v>
      </c>
      <c r="H17">
        <v>8.7189035415649414</v>
      </c>
      <c r="I17">
        <v>0.164643794298172</v>
      </c>
      <c r="J17">
        <v>123500136</v>
      </c>
      <c r="K17">
        <v>115535976</v>
      </c>
      <c r="L17">
        <v>11263023</v>
      </c>
      <c r="M17" t="b">
        <v>0</v>
      </c>
      <c r="N17">
        <v>2</v>
      </c>
      <c r="O17" t="b">
        <v>1</v>
      </c>
      <c r="P17">
        <v>1</v>
      </c>
      <c r="Q17">
        <v>2</v>
      </c>
      <c r="R17">
        <v>83.977340698242188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  <c r="X17" t="s">
        <v>29</v>
      </c>
      <c r="Y17" t="s">
        <v>29</v>
      </c>
    </row>
    <row r="18" spans="1:25">
      <c r="A18" t="s">
        <v>43</v>
      </c>
      <c r="B18" t="s">
        <v>42</v>
      </c>
      <c r="C18" t="s">
        <v>25</v>
      </c>
      <c r="D18" t="s">
        <v>33</v>
      </c>
      <c r="E18" t="s">
        <v>27</v>
      </c>
      <c r="F18" t="s">
        <v>28</v>
      </c>
      <c r="G18">
        <v>8.8353242874145508</v>
      </c>
      <c r="H18">
        <v>8.7189035415649414</v>
      </c>
      <c r="I18">
        <v>0.164643794298172</v>
      </c>
      <c r="J18">
        <v>107571816</v>
      </c>
      <c r="K18">
        <v>115535976</v>
      </c>
      <c r="L18">
        <v>11263023</v>
      </c>
      <c r="M18" t="b">
        <v>0</v>
      </c>
      <c r="N18">
        <v>2</v>
      </c>
      <c r="O18" t="b">
        <v>1</v>
      </c>
      <c r="P18">
        <v>1</v>
      </c>
      <c r="Q18">
        <v>2</v>
      </c>
      <c r="R18">
        <v>83.977340698242188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  <c r="X18" t="s">
        <v>29</v>
      </c>
      <c r="Y18" t="s">
        <v>29</v>
      </c>
    </row>
    <row r="19" spans="1:25">
      <c r="A19" t="s">
        <v>44</v>
      </c>
      <c r="B19" t="s">
        <v>45</v>
      </c>
      <c r="C19" t="s">
        <v>25</v>
      </c>
      <c r="D19" t="s">
        <v>33</v>
      </c>
      <c r="E19" t="s">
        <v>27</v>
      </c>
      <c r="F19" t="s">
        <v>28</v>
      </c>
      <c r="G19">
        <v>10.764914512634277</v>
      </c>
      <c r="H19">
        <v>10.965457916259766</v>
      </c>
      <c r="I19">
        <v>0.28361120820045471</v>
      </c>
      <c r="J19">
        <v>34255260</v>
      </c>
      <c r="K19">
        <v>30629572</v>
      </c>
      <c r="L19">
        <v>5127497</v>
      </c>
      <c r="M19" t="b">
        <v>0</v>
      </c>
      <c r="N19">
        <v>2</v>
      </c>
      <c r="O19" t="b">
        <v>1</v>
      </c>
      <c r="P19">
        <v>1</v>
      </c>
      <c r="Q19">
        <v>2</v>
      </c>
      <c r="R19">
        <v>83.596054077148438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  <c r="X19" t="s">
        <v>29</v>
      </c>
      <c r="Y19" t="s">
        <v>29</v>
      </c>
    </row>
    <row r="20" spans="1:25">
      <c r="A20" t="s">
        <v>46</v>
      </c>
      <c r="B20" t="s">
        <v>45</v>
      </c>
      <c r="C20" t="s">
        <v>25</v>
      </c>
      <c r="D20" t="s">
        <v>33</v>
      </c>
      <c r="E20" t="s">
        <v>27</v>
      </c>
      <c r="F20" t="s">
        <v>28</v>
      </c>
      <c r="G20">
        <v>11.166001319885254</v>
      </c>
      <c r="H20">
        <v>10.965457916259766</v>
      </c>
      <c r="I20">
        <v>0.28361120820045471</v>
      </c>
      <c r="J20">
        <v>27003884</v>
      </c>
      <c r="K20">
        <v>30629572</v>
      </c>
      <c r="L20">
        <v>5127497</v>
      </c>
      <c r="M20" t="b">
        <v>0</v>
      </c>
      <c r="N20">
        <v>2</v>
      </c>
      <c r="O20" t="b">
        <v>1</v>
      </c>
      <c r="P20">
        <v>1</v>
      </c>
      <c r="Q20">
        <v>3</v>
      </c>
      <c r="R20">
        <v>83.596054077148438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  <c r="X20" t="s">
        <v>29</v>
      </c>
      <c r="Y20" t="s">
        <v>29</v>
      </c>
    </row>
    <row r="21" spans="1:25">
      <c r="A21" t="s">
        <v>47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13.698519706726074</v>
      </c>
      <c r="H21">
        <v>13.591079711914062</v>
      </c>
      <c r="I21">
        <v>0.15194310247898102</v>
      </c>
      <c r="J21">
        <v>5000000</v>
      </c>
      <c r="K21" t="s">
        <v>24</v>
      </c>
      <c r="L21" t="s">
        <v>24</v>
      </c>
      <c r="M21" t="b">
        <v>0</v>
      </c>
      <c r="N21">
        <v>2</v>
      </c>
      <c r="O21" t="b">
        <v>1</v>
      </c>
      <c r="P21">
        <v>3</v>
      </c>
      <c r="Q21">
        <v>6</v>
      </c>
      <c r="R21">
        <v>84.9305419921875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  <c r="X21" t="s">
        <v>29</v>
      </c>
      <c r="Y21" t="s">
        <v>29</v>
      </c>
    </row>
    <row r="22" spans="1:25">
      <c r="A22" t="s">
        <v>48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13.483639717102051</v>
      </c>
      <c r="H22">
        <v>13.591079711914062</v>
      </c>
      <c r="I22">
        <v>0.15194310247898102</v>
      </c>
      <c r="J22">
        <v>5000000</v>
      </c>
      <c r="K22" t="s">
        <v>24</v>
      </c>
      <c r="L22" t="s">
        <v>24</v>
      </c>
      <c r="M22" t="b">
        <v>0</v>
      </c>
      <c r="N22">
        <v>2</v>
      </c>
      <c r="O22" t="b">
        <v>1</v>
      </c>
      <c r="P22">
        <v>3</v>
      </c>
      <c r="Q22">
        <v>5</v>
      </c>
      <c r="R22">
        <v>84.9305419921875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  <c r="X22" t="s">
        <v>29</v>
      </c>
      <c r="Y22" t="s">
        <v>29</v>
      </c>
    </row>
    <row r="23" spans="1:25">
      <c r="A23" t="s">
        <v>49</v>
      </c>
      <c r="B23" t="s">
        <v>50</v>
      </c>
      <c r="C23" t="s">
        <v>25</v>
      </c>
      <c r="D23" t="s">
        <v>33</v>
      </c>
      <c r="E23" t="s">
        <v>27</v>
      </c>
      <c r="F23" t="s">
        <v>28</v>
      </c>
      <c r="G23">
        <v>8.9652824401855469</v>
      </c>
      <c r="H23">
        <v>8.9763526916503906</v>
      </c>
      <c r="I23">
        <v>1.5655700117349625E-2</v>
      </c>
      <c r="J23">
        <v>99592680</v>
      </c>
      <c r="K23">
        <v>98943120</v>
      </c>
      <c r="L23">
        <v>918616.5625</v>
      </c>
      <c r="M23" t="b">
        <v>0</v>
      </c>
      <c r="N23">
        <v>2</v>
      </c>
      <c r="O23" t="b">
        <v>1</v>
      </c>
      <c r="P23">
        <v>1</v>
      </c>
      <c r="Q23">
        <v>2</v>
      </c>
      <c r="R23">
        <v>85.121177673339844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  <c r="X23" t="s">
        <v>29</v>
      </c>
      <c r="Y23" t="s">
        <v>29</v>
      </c>
    </row>
    <row r="24" spans="1:25">
      <c r="A24" t="s">
        <v>51</v>
      </c>
      <c r="B24" t="s">
        <v>50</v>
      </c>
      <c r="C24" t="s">
        <v>25</v>
      </c>
      <c r="D24" t="s">
        <v>33</v>
      </c>
      <c r="E24" t="s">
        <v>27</v>
      </c>
      <c r="F24" t="s">
        <v>28</v>
      </c>
      <c r="G24">
        <v>8.9874229431152344</v>
      </c>
      <c r="H24">
        <v>8.9763526916503906</v>
      </c>
      <c r="I24">
        <v>1.5655700117349625E-2</v>
      </c>
      <c r="J24">
        <v>98293560</v>
      </c>
      <c r="K24">
        <v>98943120</v>
      </c>
      <c r="L24">
        <v>918616.5625</v>
      </c>
      <c r="M24" t="b">
        <v>0</v>
      </c>
      <c r="N24">
        <v>2</v>
      </c>
      <c r="O24" t="b">
        <v>1</v>
      </c>
      <c r="P24">
        <v>1</v>
      </c>
      <c r="Q24">
        <v>2</v>
      </c>
      <c r="R24">
        <v>85.121177673339844</v>
      </c>
      <c r="S24" t="s">
        <v>24</v>
      </c>
      <c r="T24" t="s">
        <v>24</v>
      </c>
      <c r="U24" t="s">
        <v>24</v>
      </c>
      <c r="V24" t="s">
        <v>29</v>
      </c>
      <c r="W24" t="s">
        <v>29</v>
      </c>
      <c r="X24" t="s">
        <v>29</v>
      </c>
      <c r="Y24" t="s">
        <v>29</v>
      </c>
    </row>
    <row r="25" spans="1:25">
      <c r="A25" t="s">
        <v>52</v>
      </c>
      <c r="B25" t="s">
        <v>53</v>
      </c>
      <c r="C25" t="s">
        <v>25</v>
      </c>
      <c r="D25" t="s">
        <v>33</v>
      </c>
      <c r="E25" t="s">
        <v>27</v>
      </c>
      <c r="F25" t="s">
        <v>28</v>
      </c>
      <c r="G25">
        <v>8.7177181243896484</v>
      </c>
      <c r="H25">
        <v>8.5416450500488281</v>
      </c>
      <c r="I25">
        <v>0.24900425970554352</v>
      </c>
      <c r="J25">
        <v>115342208</v>
      </c>
      <c r="K25">
        <v>128735856</v>
      </c>
      <c r="L25">
        <v>18941478</v>
      </c>
      <c r="M25" t="b">
        <v>0</v>
      </c>
      <c r="N25">
        <v>2</v>
      </c>
      <c r="O25" t="b">
        <v>1</v>
      </c>
      <c r="P25">
        <v>1</v>
      </c>
      <c r="Q25">
        <v>2</v>
      </c>
      <c r="R25">
        <v>84.9305419921875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  <c r="X25" t="s">
        <v>29</v>
      </c>
      <c r="Y25" t="s">
        <v>29</v>
      </c>
    </row>
    <row r="26" spans="1:25">
      <c r="A26" t="s">
        <v>54</v>
      </c>
      <c r="B26" t="s">
        <v>53</v>
      </c>
      <c r="C26" t="s">
        <v>25</v>
      </c>
      <c r="D26" t="s">
        <v>33</v>
      </c>
      <c r="E26" t="s">
        <v>27</v>
      </c>
      <c r="F26" t="s">
        <v>28</v>
      </c>
      <c r="G26">
        <v>8.3655729293823242</v>
      </c>
      <c r="H26">
        <v>8.5416450500488281</v>
      </c>
      <c r="I26">
        <v>0.24900425970554352</v>
      </c>
      <c r="J26">
        <v>142129504</v>
      </c>
      <c r="K26">
        <v>128735856</v>
      </c>
      <c r="L26">
        <v>18941478</v>
      </c>
      <c r="M26" t="b">
        <v>0</v>
      </c>
      <c r="N26">
        <v>2</v>
      </c>
      <c r="O26" t="b">
        <v>1</v>
      </c>
      <c r="P26">
        <v>1</v>
      </c>
      <c r="Q26">
        <v>2</v>
      </c>
      <c r="R26">
        <v>84.739898681640625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  <c r="X26" t="s">
        <v>29</v>
      </c>
      <c r="Y26" t="s">
        <v>29</v>
      </c>
    </row>
    <row r="27" spans="1:25">
      <c r="A27" t="s">
        <v>55</v>
      </c>
      <c r="B27" t="s">
        <v>56</v>
      </c>
      <c r="C27" t="s">
        <v>25</v>
      </c>
      <c r="D27" t="s">
        <v>33</v>
      </c>
      <c r="E27" t="s">
        <v>27</v>
      </c>
      <c r="F27" t="s">
        <v>28</v>
      </c>
      <c r="G27">
        <v>14.173172950744629</v>
      </c>
      <c r="H27">
        <v>12.266063690185547</v>
      </c>
      <c r="I27">
        <v>2.6970603466033936</v>
      </c>
      <c r="J27">
        <v>4538590</v>
      </c>
      <c r="K27">
        <v>24059116</v>
      </c>
      <c r="L27">
        <v>27606192</v>
      </c>
      <c r="M27" t="b">
        <v>0</v>
      </c>
      <c r="N27">
        <v>2</v>
      </c>
      <c r="O27" t="b">
        <v>1</v>
      </c>
      <c r="P27">
        <v>1</v>
      </c>
      <c r="Q27">
        <v>2</v>
      </c>
      <c r="R27">
        <v>84.358612060546875</v>
      </c>
      <c r="S27" t="s">
        <v>24</v>
      </c>
      <c r="T27" t="s">
        <v>24</v>
      </c>
      <c r="U27" t="s">
        <v>24</v>
      </c>
      <c r="V27" t="s">
        <v>29</v>
      </c>
      <c r="W27" t="s">
        <v>114</v>
      </c>
      <c r="X27" t="s">
        <v>29</v>
      </c>
      <c r="Y27" t="s">
        <v>29</v>
      </c>
    </row>
    <row r="28" spans="1:25">
      <c r="A28" t="s">
        <v>57</v>
      </c>
      <c r="B28" t="s">
        <v>56</v>
      </c>
      <c r="C28" t="s">
        <v>25</v>
      </c>
      <c r="D28" t="s">
        <v>33</v>
      </c>
      <c r="E28" t="s">
        <v>27</v>
      </c>
      <c r="F28" t="s">
        <v>28</v>
      </c>
      <c r="G28">
        <v>10.358953475952148</v>
      </c>
      <c r="H28">
        <v>12.266063690185547</v>
      </c>
      <c r="I28">
        <v>2.6970603466033936</v>
      </c>
      <c r="J28">
        <v>43579640</v>
      </c>
      <c r="K28">
        <v>24059116</v>
      </c>
      <c r="L28">
        <v>27606192</v>
      </c>
      <c r="M28" t="b">
        <v>0</v>
      </c>
      <c r="N28">
        <v>2</v>
      </c>
      <c r="O28" t="b">
        <v>1</v>
      </c>
      <c r="P28">
        <v>1</v>
      </c>
      <c r="Q28">
        <v>2</v>
      </c>
      <c r="R28">
        <v>84.358612060546875</v>
      </c>
      <c r="S28" t="s">
        <v>24</v>
      </c>
      <c r="T28" t="s">
        <v>24</v>
      </c>
      <c r="U28" t="s">
        <v>24</v>
      </c>
      <c r="V28" t="s">
        <v>29</v>
      </c>
      <c r="W28" t="s">
        <v>114</v>
      </c>
      <c r="X28" t="s">
        <v>29</v>
      </c>
      <c r="Y28" t="s">
        <v>29</v>
      </c>
    </row>
    <row r="29" spans="1:25">
      <c r="A29" t="s">
        <v>58</v>
      </c>
      <c r="B29" t="s">
        <v>59</v>
      </c>
      <c r="C29" t="s">
        <v>25</v>
      </c>
      <c r="D29" t="s">
        <v>33</v>
      </c>
      <c r="E29" t="s">
        <v>27</v>
      </c>
      <c r="F29" t="s">
        <v>28</v>
      </c>
      <c r="G29">
        <v>7.652677059173584</v>
      </c>
      <c r="H29">
        <v>7.8178434371948242</v>
      </c>
      <c r="I29">
        <v>0.23358087241649628</v>
      </c>
      <c r="J29">
        <v>216916464</v>
      </c>
      <c r="K29">
        <v>197621152</v>
      </c>
      <c r="L29">
        <v>27287692</v>
      </c>
      <c r="M29" t="b">
        <v>0</v>
      </c>
      <c r="N29">
        <v>2</v>
      </c>
      <c r="O29" t="b">
        <v>1</v>
      </c>
      <c r="P29">
        <v>1</v>
      </c>
      <c r="Q29">
        <v>2</v>
      </c>
      <c r="R29">
        <v>83.977340698242188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  <c r="X29" t="s">
        <v>29</v>
      </c>
      <c r="Y29" t="s">
        <v>29</v>
      </c>
    </row>
    <row r="30" spans="1:25">
      <c r="A30" t="s">
        <v>60</v>
      </c>
      <c r="B30" t="s">
        <v>59</v>
      </c>
      <c r="C30" t="s">
        <v>25</v>
      </c>
      <c r="D30" t="s">
        <v>33</v>
      </c>
      <c r="E30" t="s">
        <v>27</v>
      </c>
      <c r="F30" t="s">
        <v>28</v>
      </c>
      <c r="G30">
        <v>7.9830102920532227</v>
      </c>
      <c r="H30">
        <v>7.8178434371948242</v>
      </c>
      <c r="I30">
        <v>0.23358087241649628</v>
      </c>
      <c r="J30">
        <v>178325840</v>
      </c>
      <c r="K30">
        <v>197621152</v>
      </c>
      <c r="L30">
        <v>27287692</v>
      </c>
      <c r="M30" t="b">
        <v>0</v>
      </c>
      <c r="N30">
        <v>2</v>
      </c>
      <c r="O30" t="b">
        <v>1</v>
      </c>
      <c r="P30">
        <v>1</v>
      </c>
      <c r="Q30">
        <v>2</v>
      </c>
      <c r="R30">
        <v>83.786697387695312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  <c r="X30" t="s">
        <v>29</v>
      </c>
      <c r="Y30" t="s">
        <v>29</v>
      </c>
    </row>
    <row r="31" spans="1:25">
      <c r="A31" t="s">
        <v>61</v>
      </c>
      <c r="B31" t="s">
        <v>62</v>
      </c>
      <c r="C31" t="s">
        <v>25</v>
      </c>
      <c r="D31" t="s">
        <v>33</v>
      </c>
      <c r="E31" t="s">
        <v>27</v>
      </c>
      <c r="F31" t="s">
        <v>28</v>
      </c>
      <c r="G31">
        <v>20.522472381591797</v>
      </c>
      <c r="H31">
        <v>21.068496704101562</v>
      </c>
      <c r="I31">
        <v>0.77219367027282715</v>
      </c>
      <c r="J31">
        <v>105109.3984375</v>
      </c>
      <c r="K31">
        <v>80055.9140625</v>
      </c>
      <c r="L31">
        <v>35430.9765625</v>
      </c>
      <c r="M31" t="b">
        <v>0</v>
      </c>
      <c r="N31">
        <v>2</v>
      </c>
      <c r="O31" t="b">
        <v>1</v>
      </c>
      <c r="P31">
        <v>3</v>
      </c>
      <c r="Q31">
        <v>13</v>
      </c>
      <c r="R31">
        <v>83.405410766601562</v>
      </c>
      <c r="S31" t="s">
        <v>24</v>
      </c>
      <c r="T31" t="s">
        <v>24</v>
      </c>
      <c r="U31" t="s">
        <v>24</v>
      </c>
      <c r="V31" t="s">
        <v>29</v>
      </c>
      <c r="W31" t="s">
        <v>114</v>
      </c>
      <c r="X31" t="s">
        <v>29</v>
      </c>
      <c r="Y31" t="s">
        <v>29</v>
      </c>
    </row>
    <row r="32" spans="1:25">
      <c r="A32" t="s">
        <v>63</v>
      </c>
      <c r="B32" t="s">
        <v>62</v>
      </c>
      <c r="C32" t="s">
        <v>25</v>
      </c>
      <c r="D32" t="s">
        <v>33</v>
      </c>
      <c r="E32" t="s">
        <v>27</v>
      </c>
      <c r="F32" t="s">
        <v>28</v>
      </c>
      <c r="G32">
        <v>21.614519119262695</v>
      </c>
      <c r="H32">
        <v>21.068496704101562</v>
      </c>
      <c r="I32">
        <v>0.77219367027282715</v>
      </c>
      <c r="J32">
        <v>55002.43359375</v>
      </c>
      <c r="K32">
        <v>80055.9140625</v>
      </c>
      <c r="L32">
        <v>35430.9765625</v>
      </c>
      <c r="M32" t="b">
        <v>0</v>
      </c>
      <c r="N32">
        <v>2</v>
      </c>
      <c r="O32" t="b">
        <v>1</v>
      </c>
      <c r="P32">
        <v>3</v>
      </c>
      <c r="Q32">
        <v>13</v>
      </c>
      <c r="R32">
        <v>83.214775085449219</v>
      </c>
      <c r="S32" t="s">
        <v>24</v>
      </c>
      <c r="T32" t="s">
        <v>24</v>
      </c>
      <c r="U32" t="s">
        <v>24</v>
      </c>
      <c r="V32" t="s">
        <v>29</v>
      </c>
      <c r="W32" t="s">
        <v>114</v>
      </c>
      <c r="X32" t="s">
        <v>29</v>
      </c>
      <c r="Y32" t="s">
        <v>29</v>
      </c>
    </row>
    <row r="33" spans="1:25">
      <c r="A33" t="s">
        <v>64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>
        <v>18.000095367431641</v>
      </c>
      <c r="H33">
        <v>18.03654670715332</v>
      </c>
      <c r="I33">
        <v>5.154997855424881E-2</v>
      </c>
      <c r="J33">
        <v>500000</v>
      </c>
      <c r="K33" t="s">
        <v>24</v>
      </c>
      <c r="L33" t="s">
        <v>24</v>
      </c>
      <c r="M33" t="b">
        <v>0</v>
      </c>
      <c r="N33">
        <v>2</v>
      </c>
      <c r="O33" t="b">
        <v>1</v>
      </c>
      <c r="P33">
        <v>3</v>
      </c>
      <c r="Q33">
        <v>9</v>
      </c>
      <c r="R33">
        <v>84.9305419921875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  <c r="X33" t="s">
        <v>29</v>
      </c>
      <c r="Y33" t="s">
        <v>29</v>
      </c>
    </row>
    <row r="34" spans="1:25">
      <c r="A34" t="s">
        <v>65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>
        <v>18.072998046875</v>
      </c>
      <c r="H34">
        <v>18.03654670715332</v>
      </c>
      <c r="I34">
        <v>5.154997855424881E-2</v>
      </c>
      <c r="J34">
        <v>500000</v>
      </c>
      <c r="K34" t="s">
        <v>24</v>
      </c>
      <c r="L34" t="s">
        <v>24</v>
      </c>
      <c r="M34" t="b">
        <v>0</v>
      </c>
      <c r="N34">
        <v>2</v>
      </c>
      <c r="O34" t="b">
        <v>1</v>
      </c>
      <c r="P34">
        <v>3</v>
      </c>
      <c r="Q34">
        <v>11</v>
      </c>
      <c r="R34">
        <v>84.9305419921875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  <c r="X34" t="s">
        <v>29</v>
      </c>
      <c r="Y34" t="s">
        <v>29</v>
      </c>
    </row>
    <row r="35" spans="1:25">
      <c r="A35" t="s">
        <v>66</v>
      </c>
      <c r="B35" t="s">
        <v>67</v>
      </c>
      <c r="C35" t="s">
        <v>25</v>
      </c>
      <c r="D35" t="s">
        <v>33</v>
      </c>
      <c r="E35" t="s">
        <v>27</v>
      </c>
      <c r="F35" t="s">
        <v>28</v>
      </c>
      <c r="G35">
        <v>10.464415550231934</v>
      </c>
      <c r="H35">
        <v>10.487971305847168</v>
      </c>
      <c r="I35">
        <v>3.331286832690239E-2</v>
      </c>
      <c r="J35">
        <v>40937524</v>
      </c>
      <c r="K35">
        <v>40373564</v>
      </c>
      <c r="L35">
        <v>797559.875</v>
      </c>
      <c r="M35" t="b">
        <v>0</v>
      </c>
      <c r="N35">
        <v>2</v>
      </c>
      <c r="O35" t="b">
        <v>1</v>
      </c>
      <c r="P35">
        <v>1</v>
      </c>
      <c r="Q35">
        <v>2</v>
      </c>
      <c r="R35">
        <v>85.311820983886719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  <c r="X35" t="s">
        <v>29</v>
      </c>
      <c r="Y35" t="s">
        <v>29</v>
      </c>
    </row>
    <row r="36" spans="1:25">
      <c r="A36" t="s">
        <v>68</v>
      </c>
      <c r="B36" t="s">
        <v>67</v>
      </c>
      <c r="C36" t="s">
        <v>25</v>
      </c>
      <c r="D36" t="s">
        <v>33</v>
      </c>
      <c r="E36" t="s">
        <v>27</v>
      </c>
      <c r="F36" t="s">
        <v>28</v>
      </c>
      <c r="G36">
        <v>10.511527061462402</v>
      </c>
      <c r="H36">
        <v>10.487971305847168</v>
      </c>
      <c r="I36">
        <v>3.331286832690239E-2</v>
      </c>
      <c r="J36">
        <v>39809604</v>
      </c>
      <c r="K36">
        <v>40373564</v>
      </c>
      <c r="L36">
        <v>797559.875</v>
      </c>
      <c r="M36" t="b">
        <v>0</v>
      </c>
      <c r="N36">
        <v>2</v>
      </c>
      <c r="O36" t="b">
        <v>1</v>
      </c>
      <c r="P36">
        <v>1</v>
      </c>
      <c r="Q36">
        <v>3</v>
      </c>
      <c r="R36">
        <v>85.121177673339844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  <c r="X36" t="s">
        <v>114</v>
      </c>
      <c r="Y36" t="s">
        <v>114</v>
      </c>
    </row>
    <row r="37" spans="1:25">
      <c r="A37" t="s">
        <v>69</v>
      </c>
      <c r="B37" t="s">
        <v>70</v>
      </c>
      <c r="C37" t="s">
        <v>25</v>
      </c>
      <c r="D37" t="s">
        <v>33</v>
      </c>
      <c r="E37" t="s">
        <v>27</v>
      </c>
      <c r="F37" t="s">
        <v>28</v>
      </c>
      <c r="G37">
        <v>9.4727592468261719</v>
      </c>
      <c r="H37">
        <v>9.5802984237670898</v>
      </c>
      <c r="I37">
        <v>0.15208336710929871</v>
      </c>
      <c r="J37">
        <v>73709824</v>
      </c>
      <c r="K37">
        <v>69296448</v>
      </c>
      <c r="L37">
        <v>6241462</v>
      </c>
      <c r="M37" t="b">
        <v>0</v>
      </c>
      <c r="N37">
        <v>2</v>
      </c>
      <c r="O37" t="b">
        <v>1</v>
      </c>
      <c r="P37">
        <v>1</v>
      </c>
      <c r="Q37">
        <v>2</v>
      </c>
      <c r="R37">
        <v>85.121177673339844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  <c r="X37" t="s">
        <v>29</v>
      </c>
      <c r="Y37" t="s">
        <v>29</v>
      </c>
    </row>
    <row r="38" spans="1:25">
      <c r="A38" t="s">
        <v>71</v>
      </c>
      <c r="B38" t="s">
        <v>70</v>
      </c>
      <c r="C38" t="s">
        <v>25</v>
      </c>
      <c r="D38" t="s">
        <v>33</v>
      </c>
      <c r="E38" t="s">
        <v>27</v>
      </c>
      <c r="F38" t="s">
        <v>28</v>
      </c>
      <c r="G38">
        <v>9.6878376007080078</v>
      </c>
      <c r="H38">
        <v>9.5802984237670898</v>
      </c>
      <c r="I38">
        <v>0.15208336710929871</v>
      </c>
      <c r="J38">
        <v>64883064</v>
      </c>
      <c r="K38">
        <v>69296448</v>
      </c>
      <c r="L38">
        <v>6241462</v>
      </c>
      <c r="M38" t="b">
        <v>0</v>
      </c>
      <c r="N38">
        <v>2</v>
      </c>
      <c r="O38" t="b">
        <v>1</v>
      </c>
      <c r="P38">
        <v>1</v>
      </c>
      <c r="Q38">
        <v>2</v>
      </c>
      <c r="R38">
        <v>84.9305419921875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  <c r="X38" t="s">
        <v>29</v>
      </c>
      <c r="Y38" t="s">
        <v>29</v>
      </c>
    </row>
    <row r="39" spans="1:25">
      <c r="A39" t="s">
        <v>72</v>
      </c>
      <c r="B39" t="s">
        <v>73</v>
      </c>
      <c r="C39" t="s">
        <v>25</v>
      </c>
      <c r="D39" t="s">
        <v>33</v>
      </c>
      <c r="E39" t="s">
        <v>27</v>
      </c>
      <c r="F39" t="s">
        <v>28</v>
      </c>
      <c r="G39">
        <v>9.7032489776611328</v>
      </c>
      <c r="H39">
        <v>9.6902484893798828</v>
      </c>
      <c r="I39">
        <v>1.8386140465736389E-2</v>
      </c>
      <c r="J39">
        <v>64292764</v>
      </c>
      <c r="K39">
        <v>64792308</v>
      </c>
      <c r="L39">
        <v>706461.875</v>
      </c>
      <c r="M39" t="b">
        <v>0</v>
      </c>
      <c r="N39">
        <v>2</v>
      </c>
      <c r="O39" t="b">
        <v>1</v>
      </c>
      <c r="P39">
        <v>1</v>
      </c>
      <c r="Q39">
        <v>2</v>
      </c>
      <c r="R39">
        <v>84.54925537109375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  <c r="X39" t="s">
        <v>29</v>
      </c>
      <c r="Y39" t="s">
        <v>29</v>
      </c>
    </row>
    <row r="40" spans="1:25">
      <c r="A40" t="s">
        <v>74</v>
      </c>
      <c r="B40" t="s">
        <v>73</v>
      </c>
      <c r="C40" t="s">
        <v>25</v>
      </c>
      <c r="D40" t="s">
        <v>33</v>
      </c>
      <c r="E40" t="s">
        <v>27</v>
      </c>
      <c r="F40" t="s">
        <v>28</v>
      </c>
      <c r="G40">
        <v>9.6772470474243164</v>
      </c>
      <c r="H40">
        <v>9.6902484893798828</v>
      </c>
      <c r="I40">
        <v>1.8386140465736389E-2</v>
      </c>
      <c r="J40">
        <v>65291852</v>
      </c>
      <c r="K40">
        <v>64792308</v>
      </c>
      <c r="L40">
        <v>706461.875</v>
      </c>
      <c r="M40" t="b">
        <v>0</v>
      </c>
      <c r="N40">
        <v>2</v>
      </c>
      <c r="O40" t="b">
        <v>1</v>
      </c>
      <c r="P40">
        <v>1</v>
      </c>
      <c r="Q40">
        <v>2</v>
      </c>
      <c r="R40">
        <v>84.167976379394531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  <c r="X40" t="s">
        <v>29</v>
      </c>
      <c r="Y40" t="s">
        <v>29</v>
      </c>
    </row>
    <row r="41" spans="1:25">
      <c r="A41" t="s">
        <v>75</v>
      </c>
      <c r="B41" t="s">
        <v>76</v>
      </c>
      <c r="C41" t="s">
        <v>25</v>
      </c>
      <c r="D41" t="s">
        <v>33</v>
      </c>
      <c r="E41" t="s">
        <v>27</v>
      </c>
      <c r="F41" t="s">
        <v>28</v>
      </c>
      <c r="G41">
        <v>9.5578708648681641</v>
      </c>
      <c r="H41">
        <v>9.4892559051513672</v>
      </c>
      <c r="I41">
        <v>9.7035534679889679E-2</v>
      </c>
      <c r="J41">
        <v>70081704</v>
      </c>
      <c r="K41">
        <v>73052640</v>
      </c>
      <c r="L41">
        <v>4201543.5</v>
      </c>
      <c r="M41" t="b">
        <v>0</v>
      </c>
      <c r="N41">
        <v>2</v>
      </c>
      <c r="O41" t="b">
        <v>1</v>
      </c>
      <c r="P41">
        <v>1</v>
      </c>
      <c r="Q41">
        <v>3</v>
      </c>
      <c r="R41">
        <v>84.167976379394531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  <c r="X41" t="s">
        <v>29</v>
      </c>
      <c r="Y41" t="s">
        <v>29</v>
      </c>
    </row>
    <row r="42" spans="1:25">
      <c r="A42" t="s">
        <v>77</v>
      </c>
      <c r="B42" t="s">
        <v>76</v>
      </c>
      <c r="C42" t="s">
        <v>25</v>
      </c>
      <c r="D42" t="s">
        <v>33</v>
      </c>
      <c r="E42" t="s">
        <v>27</v>
      </c>
      <c r="F42" t="s">
        <v>28</v>
      </c>
      <c r="G42">
        <v>9.4206418991088867</v>
      </c>
      <c r="H42">
        <v>9.4892559051513672</v>
      </c>
      <c r="I42">
        <v>9.7035534679889679E-2</v>
      </c>
      <c r="J42">
        <v>76023584</v>
      </c>
      <c r="K42">
        <v>73052640</v>
      </c>
      <c r="L42">
        <v>4201543.5</v>
      </c>
      <c r="M42" t="b">
        <v>0</v>
      </c>
      <c r="N42">
        <v>2</v>
      </c>
      <c r="O42" t="b">
        <v>1</v>
      </c>
      <c r="P42">
        <v>1</v>
      </c>
      <c r="Q42">
        <v>2</v>
      </c>
      <c r="R42">
        <v>83.977340698242188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  <c r="X42" t="s">
        <v>29</v>
      </c>
      <c r="Y42" t="s">
        <v>29</v>
      </c>
    </row>
    <row r="43" spans="1:25">
      <c r="A43" t="s">
        <v>78</v>
      </c>
      <c r="B43" t="s">
        <v>79</v>
      </c>
      <c r="C43" t="s">
        <v>25</v>
      </c>
      <c r="D43" t="s">
        <v>33</v>
      </c>
      <c r="E43" t="s">
        <v>27</v>
      </c>
      <c r="F43" t="s">
        <v>28</v>
      </c>
      <c r="G43">
        <v>10.837577819824219</v>
      </c>
      <c r="H43">
        <v>10.793464660644531</v>
      </c>
      <c r="I43">
        <v>6.2384754419326782E-2</v>
      </c>
      <c r="J43">
        <v>32810482</v>
      </c>
      <c r="K43">
        <v>33691672</v>
      </c>
      <c r="L43">
        <v>1246189.375</v>
      </c>
      <c r="M43" t="b">
        <v>0</v>
      </c>
      <c r="N43">
        <v>2</v>
      </c>
      <c r="O43" t="b">
        <v>1</v>
      </c>
      <c r="P43">
        <v>1</v>
      </c>
      <c r="Q43">
        <v>2</v>
      </c>
      <c r="R43">
        <v>83.214775085449219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  <c r="X43" t="s">
        <v>29</v>
      </c>
      <c r="Y43" t="s">
        <v>29</v>
      </c>
    </row>
    <row r="44" spans="1:25">
      <c r="A44" t="s">
        <v>80</v>
      </c>
      <c r="B44" t="s">
        <v>79</v>
      </c>
      <c r="C44" t="s">
        <v>25</v>
      </c>
      <c r="D44" t="s">
        <v>33</v>
      </c>
      <c r="E44" t="s">
        <v>27</v>
      </c>
      <c r="F44" t="s">
        <v>28</v>
      </c>
      <c r="G44">
        <v>10.74935245513916</v>
      </c>
      <c r="H44">
        <v>10.793464660644531</v>
      </c>
      <c r="I44">
        <v>6.2384754419326782E-2</v>
      </c>
      <c r="J44">
        <v>34572860</v>
      </c>
      <c r="K44">
        <v>33691672</v>
      </c>
      <c r="L44">
        <v>1246189.375</v>
      </c>
      <c r="M44" t="b">
        <v>0</v>
      </c>
      <c r="N44">
        <v>2</v>
      </c>
      <c r="O44" t="b">
        <v>1</v>
      </c>
      <c r="P44">
        <v>1</v>
      </c>
      <c r="Q44">
        <v>2</v>
      </c>
      <c r="R44">
        <v>83.214775085449219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  <c r="X44" t="s">
        <v>29</v>
      </c>
      <c r="Y44" t="s">
        <v>29</v>
      </c>
    </row>
    <row r="45" spans="1:25">
      <c r="A45" t="s">
        <v>81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>
        <v>21.441452026367188</v>
      </c>
      <c r="H45">
        <v>21.549625396728516</v>
      </c>
      <c r="I45">
        <v>0.15297889709472656</v>
      </c>
      <c r="J45">
        <v>50000</v>
      </c>
      <c r="K45" t="s">
        <v>24</v>
      </c>
      <c r="L45" t="s">
        <v>24</v>
      </c>
      <c r="M45" t="b">
        <v>0</v>
      </c>
      <c r="N45">
        <v>2</v>
      </c>
      <c r="O45" t="b">
        <v>1</v>
      </c>
      <c r="P45">
        <v>3</v>
      </c>
      <c r="Q45">
        <v>13</v>
      </c>
      <c r="R45">
        <v>85.121177673339844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  <c r="X45" t="s">
        <v>29</v>
      </c>
      <c r="Y45" t="s">
        <v>29</v>
      </c>
    </row>
    <row r="46" spans="1:25">
      <c r="A46" t="s">
        <v>82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>
        <v>21.657796859741211</v>
      </c>
      <c r="H46">
        <v>21.549625396728516</v>
      </c>
      <c r="I46">
        <v>0.15297889709472656</v>
      </c>
      <c r="J46">
        <v>50000</v>
      </c>
      <c r="K46" t="s">
        <v>24</v>
      </c>
      <c r="L46" t="s">
        <v>24</v>
      </c>
      <c r="M46" t="b">
        <v>0</v>
      </c>
      <c r="N46">
        <v>2</v>
      </c>
      <c r="O46" t="b">
        <v>1</v>
      </c>
      <c r="P46">
        <v>3</v>
      </c>
      <c r="Q46">
        <v>14</v>
      </c>
      <c r="R46">
        <v>85.121177673339844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  <c r="X46" t="s">
        <v>29</v>
      </c>
      <c r="Y46" t="s">
        <v>29</v>
      </c>
    </row>
    <row r="47" spans="1:25">
      <c r="A47" t="s">
        <v>83</v>
      </c>
      <c r="B47" t="s">
        <v>84</v>
      </c>
      <c r="C47" t="s">
        <v>25</v>
      </c>
      <c r="D47" t="s">
        <v>33</v>
      </c>
      <c r="E47" t="s">
        <v>27</v>
      </c>
      <c r="F47" t="s">
        <v>28</v>
      </c>
      <c r="G47">
        <v>10.45798397064209</v>
      </c>
      <c r="H47">
        <v>10.512075424194336</v>
      </c>
      <c r="I47">
        <v>7.6497539877891541E-2</v>
      </c>
      <c r="J47">
        <v>41093964</v>
      </c>
      <c r="K47">
        <v>39817128</v>
      </c>
      <c r="L47">
        <v>1805718.75</v>
      </c>
      <c r="M47" t="b">
        <v>0</v>
      </c>
      <c r="N47">
        <v>2</v>
      </c>
      <c r="O47" t="b">
        <v>1</v>
      </c>
      <c r="P47">
        <v>1</v>
      </c>
      <c r="Q47">
        <v>2</v>
      </c>
      <c r="R47">
        <v>85.311820983886719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  <c r="X47" t="s">
        <v>29</v>
      </c>
      <c r="Y47" t="s">
        <v>29</v>
      </c>
    </row>
    <row r="48" spans="1:25">
      <c r="A48" t="s">
        <v>85</v>
      </c>
      <c r="B48" t="s">
        <v>84</v>
      </c>
      <c r="C48" t="s">
        <v>25</v>
      </c>
      <c r="D48" t="s">
        <v>33</v>
      </c>
      <c r="E48" t="s">
        <v>27</v>
      </c>
      <c r="F48" t="s">
        <v>28</v>
      </c>
      <c r="G48">
        <v>10.566167831420898</v>
      </c>
      <c r="H48">
        <v>10.512075424194336</v>
      </c>
      <c r="I48">
        <v>7.6497539877891541E-2</v>
      </c>
      <c r="J48">
        <v>38540292</v>
      </c>
      <c r="K48">
        <v>39817128</v>
      </c>
      <c r="L48">
        <v>1805718.75</v>
      </c>
      <c r="M48" t="b">
        <v>0</v>
      </c>
      <c r="N48">
        <v>2</v>
      </c>
      <c r="O48" t="b">
        <v>1</v>
      </c>
      <c r="P48">
        <v>1</v>
      </c>
      <c r="Q48">
        <v>3</v>
      </c>
      <c r="R48">
        <v>85.502456665039062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  <c r="X48" t="s">
        <v>29</v>
      </c>
      <c r="Y48" t="s">
        <v>29</v>
      </c>
    </row>
    <row r="49" spans="1:25">
      <c r="A49" t="s">
        <v>86</v>
      </c>
      <c r="B49" t="s">
        <v>87</v>
      </c>
      <c r="C49" t="s">
        <v>25</v>
      </c>
      <c r="D49" t="s">
        <v>33</v>
      </c>
      <c r="E49" t="s">
        <v>27</v>
      </c>
      <c r="F49" t="s">
        <v>28</v>
      </c>
      <c r="G49">
        <v>8.9554662704467773</v>
      </c>
      <c r="H49">
        <v>8.9022054672241211</v>
      </c>
      <c r="I49">
        <v>7.5322151184082031E-2</v>
      </c>
      <c r="J49">
        <v>100174136</v>
      </c>
      <c r="K49">
        <v>103440272</v>
      </c>
      <c r="L49">
        <v>4619019.5</v>
      </c>
      <c r="M49" t="b">
        <v>0</v>
      </c>
      <c r="N49">
        <v>2</v>
      </c>
      <c r="O49" t="b">
        <v>1</v>
      </c>
      <c r="P49">
        <v>1</v>
      </c>
      <c r="Q49">
        <v>2</v>
      </c>
      <c r="R49">
        <v>85.121177673339844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  <c r="X49" t="s">
        <v>29</v>
      </c>
      <c r="Y49" t="s">
        <v>29</v>
      </c>
    </row>
    <row r="50" spans="1:25">
      <c r="A50" t="s">
        <v>88</v>
      </c>
      <c r="B50" t="s">
        <v>87</v>
      </c>
      <c r="C50" t="s">
        <v>25</v>
      </c>
      <c r="D50" t="s">
        <v>33</v>
      </c>
      <c r="E50" t="s">
        <v>27</v>
      </c>
      <c r="F50" t="s">
        <v>28</v>
      </c>
      <c r="G50">
        <v>8.8489446640014648</v>
      </c>
      <c r="H50">
        <v>8.9022054672241211</v>
      </c>
      <c r="I50">
        <v>7.5322151184082031E-2</v>
      </c>
      <c r="J50">
        <v>106706416</v>
      </c>
      <c r="K50">
        <v>103440272</v>
      </c>
      <c r="L50">
        <v>4619019.5</v>
      </c>
      <c r="M50" t="b">
        <v>0</v>
      </c>
      <c r="N50">
        <v>2</v>
      </c>
      <c r="O50" t="b">
        <v>1</v>
      </c>
      <c r="P50">
        <v>1</v>
      </c>
      <c r="Q50">
        <v>2</v>
      </c>
      <c r="R50">
        <v>84.9305419921875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  <c r="X50" t="s">
        <v>29</v>
      </c>
      <c r="Y50" t="s">
        <v>29</v>
      </c>
    </row>
    <row r="51" spans="1:25">
      <c r="A51" t="s">
        <v>89</v>
      </c>
      <c r="B51" t="s">
        <v>90</v>
      </c>
      <c r="C51" t="s">
        <v>25</v>
      </c>
      <c r="D51" t="s">
        <v>33</v>
      </c>
      <c r="E51" t="s">
        <v>27</v>
      </c>
      <c r="F51" t="s">
        <v>28</v>
      </c>
      <c r="G51">
        <v>10.142441749572754</v>
      </c>
      <c r="H51">
        <v>10.796910285949707</v>
      </c>
      <c r="I51">
        <v>0.92555826902389526</v>
      </c>
      <c r="J51">
        <v>49550360</v>
      </c>
      <c r="K51">
        <v>36174960</v>
      </c>
      <c r="L51">
        <v>18915670</v>
      </c>
      <c r="M51" t="b">
        <v>0</v>
      </c>
      <c r="N51">
        <v>2</v>
      </c>
      <c r="O51" t="b">
        <v>1</v>
      </c>
      <c r="P51">
        <v>1</v>
      </c>
      <c r="Q51">
        <v>2</v>
      </c>
      <c r="R51">
        <v>84.739898681640625</v>
      </c>
      <c r="S51" t="s">
        <v>24</v>
      </c>
      <c r="T51" t="s">
        <v>24</v>
      </c>
      <c r="U51" t="s">
        <v>24</v>
      </c>
      <c r="V51" t="s">
        <v>29</v>
      </c>
      <c r="W51" t="s">
        <v>114</v>
      </c>
      <c r="X51" t="s">
        <v>29</v>
      </c>
      <c r="Y51" t="s">
        <v>29</v>
      </c>
    </row>
    <row r="52" spans="1:25">
      <c r="A52" t="s">
        <v>91</v>
      </c>
      <c r="B52" t="s">
        <v>90</v>
      </c>
      <c r="C52" t="s">
        <v>25</v>
      </c>
      <c r="D52" t="s">
        <v>33</v>
      </c>
      <c r="E52" t="s">
        <v>27</v>
      </c>
      <c r="F52" t="s">
        <v>28</v>
      </c>
      <c r="G52">
        <v>11.45137882232666</v>
      </c>
      <c r="H52">
        <v>10.796910285949707</v>
      </c>
      <c r="I52">
        <v>0.92555826902389526</v>
      </c>
      <c r="J52">
        <v>22799562</v>
      </c>
      <c r="K52">
        <v>36174960</v>
      </c>
      <c r="L52">
        <v>18915670</v>
      </c>
      <c r="M52" t="b">
        <v>0</v>
      </c>
      <c r="N52">
        <v>2</v>
      </c>
      <c r="O52" t="b">
        <v>1</v>
      </c>
      <c r="P52">
        <v>3</v>
      </c>
      <c r="Q52">
        <v>4</v>
      </c>
      <c r="R52">
        <v>84.167976379394531</v>
      </c>
      <c r="S52" t="s">
        <v>24</v>
      </c>
      <c r="T52" t="s">
        <v>24</v>
      </c>
      <c r="U52" t="s">
        <v>24</v>
      </c>
      <c r="V52" t="s">
        <v>29</v>
      </c>
      <c r="W52" t="s">
        <v>114</v>
      </c>
      <c r="X52" t="s">
        <v>29</v>
      </c>
      <c r="Y52" t="s">
        <v>29</v>
      </c>
    </row>
    <row r="53" spans="1:25">
      <c r="A53" t="s">
        <v>92</v>
      </c>
      <c r="B53" t="s">
        <v>93</v>
      </c>
      <c r="C53" t="s">
        <v>25</v>
      </c>
      <c r="D53" t="s">
        <v>33</v>
      </c>
      <c r="E53" t="s">
        <v>27</v>
      </c>
      <c r="F53" t="s">
        <v>28</v>
      </c>
      <c r="G53">
        <v>11.998898506164551</v>
      </c>
      <c r="H53">
        <v>12.476031303405762</v>
      </c>
      <c r="I53">
        <v>0.67476767301559448</v>
      </c>
      <c r="J53">
        <v>16478258</v>
      </c>
      <c r="K53">
        <v>12917640</v>
      </c>
      <c r="L53">
        <v>5035475</v>
      </c>
      <c r="M53" t="b">
        <v>0</v>
      </c>
      <c r="N53">
        <v>2</v>
      </c>
      <c r="O53" t="b">
        <v>1</v>
      </c>
      <c r="P53">
        <v>1</v>
      </c>
      <c r="Q53">
        <v>2</v>
      </c>
      <c r="R53">
        <v>84.167976379394531</v>
      </c>
      <c r="S53" t="s">
        <v>24</v>
      </c>
      <c r="T53" t="s">
        <v>24</v>
      </c>
      <c r="U53" t="s">
        <v>24</v>
      </c>
      <c r="V53" t="s">
        <v>29</v>
      </c>
      <c r="W53" t="s">
        <v>114</v>
      </c>
      <c r="X53" t="s">
        <v>29</v>
      </c>
      <c r="Y53" t="s">
        <v>29</v>
      </c>
    </row>
    <row r="54" spans="1:25">
      <c r="A54" t="s">
        <v>94</v>
      </c>
      <c r="B54" t="s">
        <v>93</v>
      </c>
      <c r="C54" t="s">
        <v>25</v>
      </c>
      <c r="D54" t="s">
        <v>33</v>
      </c>
      <c r="E54" t="s">
        <v>27</v>
      </c>
      <c r="F54" t="s">
        <v>28</v>
      </c>
      <c r="G54">
        <v>12.953164100646973</v>
      </c>
      <c r="H54">
        <v>12.476031303405762</v>
      </c>
      <c r="I54">
        <v>0.67476767301559448</v>
      </c>
      <c r="J54">
        <v>9357021</v>
      </c>
      <c r="K54">
        <v>12917640</v>
      </c>
      <c r="L54">
        <v>5035475</v>
      </c>
      <c r="M54" t="b">
        <v>0</v>
      </c>
      <c r="N54">
        <v>2</v>
      </c>
      <c r="O54" t="b">
        <v>1</v>
      </c>
      <c r="P54">
        <v>1</v>
      </c>
      <c r="Q54">
        <v>3</v>
      </c>
      <c r="R54">
        <v>83.786697387695312</v>
      </c>
      <c r="S54" t="s">
        <v>24</v>
      </c>
      <c r="T54" t="s">
        <v>24</v>
      </c>
      <c r="U54" t="s">
        <v>24</v>
      </c>
      <c r="V54" t="s">
        <v>29</v>
      </c>
      <c r="W54" t="s">
        <v>114</v>
      </c>
      <c r="X54" t="s">
        <v>29</v>
      </c>
      <c r="Y54" t="s">
        <v>29</v>
      </c>
    </row>
    <row r="55" spans="1:25">
      <c r="A55" t="s">
        <v>95</v>
      </c>
      <c r="B55" t="s">
        <v>96</v>
      </c>
      <c r="C55" t="s">
        <v>25</v>
      </c>
      <c r="D55" t="s">
        <v>33</v>
      </c>
      <c r="E55" t="s">
        <v>27</v>
      </c>
      <c r="F55" t="s">
        <v>28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b">
        <v>0</v>
      </c>
      <c r="N55">
        <v>2</v>
      </c>
      <c r="O55" t="b">
        <v>1</v>
      </c>
      <c r="P55">
        <v>3</v>
      </c>
      <c r="Q55">
        <v>29</v>
      </c>
      <c r="R55" t="s">
        <v>24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  <c r="X55" t="s">
        <v>29</v>
      </c>
      <c r="Y55" t="s">
        <v>29</v>
      </c>
    </row>
    <row r="56" spans="1:25">
      <c r="A56" t="s">
        <v>97</v>
      </c>
      <c r="B56" t="s">
        <v>96</v>
      </c>
      <c r="C56" t="s">
        <v>25</v>
      </c>
      <c r="D56" t="s">
        <v>33</v>
      </c>
      <c r="E56" t="s">
        <v>27</v>
      </c>
      <c r="F56" t="s">
        <v>28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b">
        <v>0</v>
      </c>
      <c r="N56">
        <v>2</v>
      </c>
      <c r="O56" t="b">
        <v>1</v>
      </c>
      <c r="P56">
        <v>3</v>
      </c>
      <c r="Q56">
        <v>28</v>
      </c>
      <c r="R56" t="s">
        <v>24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  <c r="X56" t="s">
        <v>29</v>
      </c>
      <c r="Y56" t="s">
        <v>29</v>
      </c>
    </row>
    <row r="57" spans="1:25">
      <c r="A57" t="s">
        <v>98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>
        <v>25.917966842651367</v>
      </c>
      <c r="H57">
        <v>25.783432006835938</v>
      </c>
      <c r="I57">
        <v>0.19025963544845581</v>
      </c>
      <c r="J57">
        <v>5000</v>
      </c>
      <c r="K57" t="s">
        <v>24</v>
      </c>
      <c r="L57" t="s">
        <v>24</v>
      </c>
      <c r="M57" t="b">
        <v>0</v>
      </c>
      <c r="N57">
        <v>2</v>
      </c>
      <c r="O57" t="b">
        <v>1</v>
      </c>
      <c r="P57">
        <v>3</v>
      </c>
      <c r="Q57">
        <v>18</v>
      </c>
      <c r="R57">
        <v>85.121177673339844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  <c r="X57" t="s">
        <v>29</v>
      </c>
      <c r="Y57" t="s">
        <v>29</v>
      </c>
    </row>
    <row r="58" spans="1:25">
      <c r="A58" t="s">
        <v>99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>
        <v>25.648899078369141</v>
      </c>
      <c r="H58">
        <v>25.783432006835938</v>
      </c>
      <c r="I58">
        <v>0.19025963544845581</v>
      </c>
      <c r="J58">
        <v>5000</v>
      </c>
      <c r="K58" t="s">
        <v>24</v>
      </c>
      <c r="L58" t="s">
        <v>24</v>
      </c>
      <c r="M58" t="b">
        <v>0</v>
      </c>
      <c r="N58">
        <v>2</v>
      </c>
      <c r="O58" t="b">
        <v>1</v>
      </c>
      <c r="P58">
        <v>3</v>
      </c>
      <c r="Q58">
        <v>16</v>
      </c>
      <c r="R58">
        <v>85.121177673339844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  <c r="X58" t="s">
        <v>29</v>
      </c>
      <c r="Y58" t="s">
        <v>29</v>
      </c>
    </row>
    <row r="59" spans="1:25">
      <c r="A59" t="s">
        <v>100</v>
      </c>
      <c r="B59" t="s">
        <v>101</v>
      </c>
      <c r="C59" t="s">
        <v>25</v>
      </c>
      <c r="D59" t="s">
        <v>33</v>
      </c>
      <c r="E59" t="s">
        <v>27</v>
      </c>
      <c r="F59" t="s">
        <v>28</v>
      </c>
      <c r="G59">
        <v>8.5897741317749023</v>
      </c>
      <c r="H59">
        <v>8.5332241058349609</v>
      </c>
      <c r="I59">
        <v>7.997448742389679E-2</v>
      </c>
      <c r="J59">
        <v>124434440</v>
      </c>
      <c r="K59">
        <v>128750672</v>
      </c>
      <c r="L59">
        <v>6104079.5</v>
      </c>
      <c r="M59" t="b">
        <v>0</v>
      </c>
      <c r="N59">
        <v>2</v>
      </c>
      <c r="O59" t="b">
        <v>1</v>
      </c>
      <c r="P59">
        <v>1</v>
      </c>
      <c r="Q59">
        <v>2</v>
      </c>
      <c r="R59">
        <v>85.311820983886719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  <c r="X59" t="s">
        <v>29</v>
      </c>
      <c r="Y59" t="s">
        <v>29</v>
      </c>
    </row>
    <row r="60" spans="1:25">
      <c r="A60" t="s">
        <v>102</v>
      </c>
      <c r="B60" t="s">
        <v>101</v>
      </c>
      <c r="C60" t="s">
        <v>25</v>
      </c>
      <c r="D60" t="s">
        <v>33</v>
      </c>
      <c r="E60" t="s">
        <v>27</v>
      </c>
      <c r="F60" t="s">
        <v>28</v>
      </c>
      <c r="G60">
        <v>8.4766731262207031</v>
      </c>
      <c r="H60">
        <v>8.5332241058349609</v>
      </c>
      <c r="I60">
        <v>7.997448742389679E-2</v>
      </c>
      <c r="J60">
        <v>133066912</v>
      </c>
      <c r="K60">
        <v>128750672</v>
      </c>
      <c r="L60">
        <v>6104079.5</v>
      </c>
      <c r="M60" t="b">
        <v>0</v>
      </c>
      <c r="N60">
        <v>2</v>
      </c>
      <c r="O60" t="b">
        <v>1</v>
      </c>
      <c r="P60">
        <v>1</v>
      </c>
      <c r="Q60">
        <v>2</v>
      </c>
      <c r="R60">
        <v>85.311820983886719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  <c r="X60" t="s">
        <v>29</v>
      </c>
      <c r="Y60" t="s">
        <v>29</v>
      </c>
    </row>
    <row r="61" spans="1:25">
      <c r="A61" t="s">
        <v>103</v>
      </c>
      <c r="B61" t="s">
        <v>104</v>
      </c>
      <c r="C61" t="s">
        <v>25</v>
      </c>
      <c r="D61" t="s">
        <v>33</v>
      </c>
      <c r="E61" t="s">
        <v>27</v>
      </c>
      <c r="F61" t="s">
        <v>28</v>
      </c>
      <c r="G61">
        <v>8.8676023483276367</v>
      </c>
      <c r="H61">
        <v>8.8624229431152344</v>
      </c>
      <c r="I61">
        <v>7.3254592716693878E-3</v>
      </c>
      <c r="J61">
        <v>105532248</v>
      </c>
      <c r="K61">
        <v>105857424</v>
      </c>
      <c r="L61">
        <v>459868.3125</v>
      </c>
      <c r="M61" t="b">
        <v>0</v>
      </c>
      <c r="N61">
        <v>2</v>
      </c>
      <c r="O61" t="b">
        <v>1</v>
      </c>
      <c r="P61">
        <v>1</v>
      </c>
      <c r="Q61">
        <v>2</v>
      </c>
      <c r="R61">
        <v>85.121177673339844</v>
      </c>
      <c r="S61" t="s">
        <v>24</v>
      </c>
      <c r="T61" t="s">
        <v>24</v>
      </c>
      <c r="U61" t="s">
        <v>24</v>
      </c>
      <c r="V61" t="s">
        <v>29</v>
      </c>
      <c r="W61" t="s">
        <v>29</v>
      </c>
      <c r="X61" t="s">
        <v>29</v>
      </c>
      <c r="Y61" t="s">
        <v>29</v>
      </c>
    </row>
    <row r="62" spans="1:25">
      <c r="A62" t="s">
        <v>105</v>
      </c>
      <c r="B62" t="s">
        <v>104</v>
      </c>
      <c r="C62" t="s">
        <v>25</v>
      </c>
      <c r="D62" t="s">
        <v>33</v>
      </c>
      <c r="E62" t="s">
        <v>27</v>
      </c>
      <c r="F62" t="s">
        <v>28</v>
      </c>
      <c r="G62">
        <v>8.8572425842285156</v>
      </c>
      <c r="H62">
        <v>8.8624229431152344</v>
      </c>
      <c r="I62">
        <v>7.3254592716693878E-3</v>
      </c>
      <c r="J62">
        <v>106182600</v>
      </c>
      <c r="K62">
        <v>105857424</v>
      </c>
      <c r="L62">
        <v>459868.3125</v>
      </c>
      <c r="M62" t="b">
        <v>0</v>
      </c>
      <c r="N62">
        <v>2</v>
      </c>
      <c r="O62" t="b">
        <v>1</v>
      </c>
      <c r="P62">
        <v>1</v>
      </c>
      <c r="Q62">
        <v>2</v>
      </c>
      <c r="R62">
        <v>85.121177673339844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  <c r="X62" t="s">
        <v>29</v>
      </c>
      <c r="Y62" t="s">
        <v>29</v>
      </c>
    </row>
    <row r="63" spans="1:25">
      <c r="A63" t="s">
        <v>106</v>
      </c>
      <c r="B63" t="s">
        <v>107</v>
      </c>
      <c r="C63" t="s">
        <v>25</v>
      </c>
      <c r="D63" t="s">
        <v>33</v>
      </c>
      <c r="E63" t="s">
        <v>27</v>
      </c>
      <c r="F63" t="s">
        <v>28</v>
      </c>
      <c r="G63">
        <v>9.8300180435180664</v>
      </c>
      <c r="H63">
        <v>18.926687240600586</v>
      </c>
      <c r="I63">
        <v>12.864632606506348</v>
      </c>
      <c r="J63">
        <v>59636532</v>
      </c>
      <c r="K63">
        <v>29818880</v>
      </c>
      <c r="L63">
        <v>42168528</v>
      </c>
      <c r="M63" t="b">
        <v>0</v>
      </c>
      <c r="N63">
        <v>2</v>
      </c>
      <c r="O63" t="b">
        <v>1</v>
      </c>
      <c r="P63">
        <v>1</v>
      </c>
      <c r="Q63">
        <v>2</v>
      </c>
      <c r="R63">
        <v>84.9305419921875</v>
      </c>
      <c r="S63" t="s">
        <v>24</v>
      </c>
      <c r="T63" t="s">
        <v>24</v>
      </c>
      <c r="U63" t="s">
        <v>24</v>
      </c>
      <c r="V63" t="s">
        <v>29</v>
      </c>
      <c r="W63" t="s">
        <v>114</v>
      </c>
      <c r="X63" t="s">
        <v>29</v>
      </c>
      <c r="Y63" t="s">
        <v>29</v>
      </c>
    </row>
    <row r="64" spans="1:25">
      <c r="A64" t="s">
        <v>108</v>
      </c>
      <c r="B64" t="s">
        <v>107</v>
      </c>
      <c r="C64" t="s">
        <v>25</v>
      </c>
      <c r="D64" t="s">
        <v>33</v>
      </c>
      <c r="E64" t="s">
        <v>27</v>
      </c>
      <c r="F64" t="s">
        <v>28</v>
      </c>
      <c r="G64">
        <v>28.023355484008789</v>
      </c>
      <c r="H64">
        <v>18.926687240600586</v>
      </c>
      <c r="I64">
        <v>12.864632606506348</v>
      </c>
      <c r="J64">
        <v>1229.6134033203125</v>
      </c>
      <c r="K64">
        <v>29818880</v>
      </c>
      <c r="L64">
        <v>42168528</v>
      </c>
      <c r="M64" t="b">
        <v>0</v>
      </c>
      <c r="N64">
        <v>2</v>
      </c>
      <c r="O64" t="b">
        <v>1</v>
      </c>
      <c r="P64">
        <v>3</v>
      </c>
      <c r="Q64">
        <v>20</v>
      </c>
      <c r="R64">
        <v>81.499008178710938</v>
      </c>
      <c r="S64" t="s">
        <v>24</v>
      </c>
      <c r="T64" t="s">
        <v>24</v>
      </c>
      <c r="U64" t="s">
        <v>24</v>
      </c>
      <c r="V64" t="s">
        <v>29</v>
      </c>
      <c r="W64" t="s">
        <v>114</v>
      </c>
      <c r="X64" t="s">
        <v>29</v>
      </c>
      <c r="Y64" t="s">
        <v>29</v>
      </c>
    </row>
    <row r="65" spans="1:25">
      <c r="A65" t="s">
        <v>109</v>
      </c>
      <c r="B65" t="s">
        <v>110</v>
      </c>
      <c r="C65" t="s">
        <v>25</v>
      </c>
      <c r="D65" t="s">
        <v>33</v>
      </c>
      <c r="E65" t="s">
        <v>27</v>
      </c>
      <c r="F65" t="s">
        <v>28</v>
      </c>
      <c r="G65">
        <v>10.940055847167969</v>
      </c>
      <c r="H65">
        <v>11.516824722290039</v>
      </c>
      <c r="I65">
        <v>0.81567370891571045</v>
      </c>
      <c r="J65">
        <v>30875864</v>
      </c>
      <c r="K65">
        <v>23227128</v>
      </c>
      <c r="L65">
        <v>10816948</v>
      </c>
      <c r="M65" t="b">
        <v>0</v>
      </c>
      <c r="N65">
        <v>2</v>
      </c>
      <c r="O65" t="b">
        <v>1</v>
      </c>
      <c r="P65">
        <v>1</v>
      </c>
      <c r="Q65">
        <v>2</v>
      </c>
      <c r="R65">
        <v>84.358612060546875</v>
      </c>
      <c r="S65" t="s">
        <v>24</v>
      </c>
      <c r="T65" t="s">
        <v>24</v>
      </c>
      <c r="U65" t="s">
        <v>24</v>
      </c>
      <c r="V65" t="s">
        <v>29</v>
      </c>
      <c r="W65" t="s">
        <v>114</v>
      </c>
      <c r="X65" t="s">
        <v>29</v>
      </c>
      <c r="Y65" t="s">
        <v>29</v>
      </c>
    </row>
    <row r="66" spans="1:25">
      <c r="A66" t="s">
        <v>111</v>
      </c>
      <c r="B66" t="s">
        <v>110</v>
      </c>
      <c r="C66" t="s">
        <v>25</v>
      </c>
      <c r="D66" t="s">
        <v>33</v>
      </c>
      <c r="E66" t="s">
        <v>27</v>
      </c>
      <c r="F66" t="s">
        <v>28</v>
      </c>
      <c r="G66">
        <v>12.093592643737793</v>
      </c>
      <c r="H66">
        <v>11.516824722290039</v>
      </c>
      <c r="I66">
        <v>0.81567370891571045</v>
      </c>
      <c r="J66">
        <v>15578390</v>
      </c>
      <c r="K66">
        <v>23227128</v>
      </c>
      <c r="L66">
        <v>10816948</v>
      </c>
      <c r="M66" t="b">
        <v>0</v>
      </c>
      <c r="N66">
        <v>2</v>
      </c>
      <c r="O66" t="b">
        <v>1</v>
      </c>
      <c r="P66">
        <v>1</v>
      </c>
      <c r="Q66">
        <v>3</v>
      </c>
      <c r="R66">
        <v>84.167976379394531</v>
      </c>
      <c r="S66" t="s">
        <v>24</v>
      </c>
      <c r="T66" t="s">
        <v>24</v>
      </c>
      <c r="U66" t="s">
        <v>24</v>
      </c>
      <c r="V66" t="s">
        <v>29</v>
      </c>
      <c r="W66" t="s">
        <v>114</v>
      </c>
      <c r="X66" t="s">
        <v>29</v>
      </c>
      <c r="Y66" t="s">
        <v>29</v>
      </c>
    </row>
    <row r="67" spans="1:25">
      <c r="A67" t="s">
        <v>112</v>
      </c>
      <c r="B67" t="s">
        <v>113</v>
      </c>
      <c r="C67" t="s">
        <v>25</v>
      </c>
      <c r="D67" t="s">
        <v>33</v>
      </c>
      <c r="E67" t="s">
        <v>27</v>
      </c>
      <c r="F67" t="s">
        <v>28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b">
        <v>0</v>
      </c>
      <c r="N67">
        <v>2</v>
      </c>
      <c r="O67" t="b">
        <v>1</v>
      </c>
      <c r="P67">
        <v>3</v>
      </c>
      <c r="Q67">
        <v>27</v>
      </c>
      <c r="R67" t="s">
        <v>24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  <c r="X67" t="s">
        <v>29</v>
      </c>
      <c r="Y67" t="s">
        <v>29</v>
      </c>
    </row>
    <row r="68" spans="1:25">
      <c r="A68" t="s">
        <v>115</v>
      </c>
      <c r="B68" t="s">
        <v>113</v>
      </c>
      <c r="C68" t="s">
        <v>25</v>
      </c>
      <c r="D68" t="s">
        <v>33</v>
      </c>
      <c r="E68" t="s">
        <v>27</v>
      </c>
      <c r="F68" t="s">
        <v>28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b">
        <v>0</v>
      </c>
      <c r="N68">
        <v>2</v>
      </c>
      <c r="O68" t="b">
        <v>1</v>
      </c>
      <c r="P68">
        <v>3</v>
      </c>
      <c r="Q68">
        <v>49</v>
      </c>
      <c r="R68" t="s">
        <v>24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  <c r="X68" t="s">
        <v>29</v>
      </c>
      <c r="Y68" t="s">
        <v>29</v>
      </c>
    </row>
    <row r="69" spans="1:25">
      <c r="A69" t="s">
        <v>116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>
        <v>29.574541091918945</v>
      </c>
      <c r="H69">
        <v>29.601589202880859</v>
      </c>
      <c r="I69">
        <v>3.825315460562706E-2</v>
      </c>
      <c r="J69">
        <v>500</v>
      </c>
      <c r="K69" t="s">
        <v>24</v>
      </c>
      <c r="L69" t="s">
        <v>24</v>
      </c>
      <c r="M69" t="b">
        <v>0</v>
      </c>
      <c r="N69">
        <v>2</v>
      </c>
      <c r="O69" t="b">
        <v>1</v>
      </c>
      <c r="P69">
        <v>3</v>
      </c>
      <c r="Q69">
        <v>23</v>
      </c>
      <c r="R69">
        <v>85.121177673339844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  <c r="X69" t="s">
        <v>29</v>
      </c>
      <c r="Y69" t="s">
        <v>29</v>
      </c>
    </row>
    <row r="70" spans="1:25">
      <c r="A70" t="s">
        <v>117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>
        <v>29.628639221191406</v>
      </c>
      <c r="H70">
        <v>29.601589202880859</v>
      </c>
      <c r="I70">
        <v>3.825315460562706E-2</v>
      </c>
      <c r="J70">
        <v>500</v>
      </c>
      <c r="K70" t="s">
        <v>24</v>
      </c>
      <c r="L70" t="s">
        <v>24</v>
      </c>
      <c r="M70" t="b">
        <v>0</v>
      </c>
      <c r="N70">
        <v>2</v>
      </c>
      <c r="O70" t="b">
        <v>1</v>
      </c>
      <c r="P70">
        <v>3</v>
      </c>
      <c r="Q70">
        <v>22</v>
      </c>
      <c r="R70">
        <v>85.121177673339844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  <c r="X70" t="s">
        <v>29</v>
      </c>
      <c r="Y70" t="s">
        <v>29</v>
      </c>
    </row>
    <row r="71" spans="1:25">
      <c r="A71" t="s">
        <v>118</v>
      </c>
      <c r="B71" t="s">
        <v>119</v>
      </c>
      <c r="C71" t="s">
        <v>25</v>
      </c>
      <c r="D71" t="s">
        <v>33</v>
      </c>
      <c r="E71" t="s">
        <v>27</v>
      </c>
      <c r="F71" t="s">
        <v>28</v>
      </c>
      <c r="G71">
        <v>9.5246829986572266</v>
      </c>
      <c r="H71">
        <v>9.4804697036743164</v>
      </c>
      <c r="I71">
        <v>6.2527038156986237E-2</v>
      </c>
      <c r="J71">
        <v>71474688</v>
      </c>
      <c r="K71">
        <v>73398768</v>
      </c>
      <c r="L71">
        <v>2721065.75</v>
      </c>
      <c r="M71" t="b">
        <v>0</v>
      </c>
      <c r="N71">
        <v>2</v>
      </c>
      <c r="O71" t="b">
        <v>1</v>
      </c>
      <c r="P71">
        <v>1</v>
      </c>
      <c r="Q71">
        <v>2</v>
      </c>
      <c r="R71">
        <v>85.311820983886719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  <c r="X71" t="s">
        <v>29</v>
      </c>
      <c r="Y71" t="s">
        <v>29</v>
      </c>
    </row>
    <row r="72" spans="1:25">
      <c r="A72" t="s">
        <v>120</v>
      </c>
      <c r="B72" t="s">
        <v>119</v>
      </c>
      <c r="C72" t="s">
        <v>25</v>
      </c>
      <c r="D72" t="s">
        <v>33</v>
      </c>
      <c r="E72" t="s">
        <v>27</v>
      </c>
      <c r="F72" t="s">
        <v>28</v>
      </c>
      <c r="G72">
        <v>9.4362564086914062</v>
      </c>
      <c r="H72">
        <v>9.4804697036743164</v>
      </c>
      <c r="I72">
        <v>6.2527038156986237E-2</v>
      </c>
      <c r="J72">
        <v>75322856</v>
      </c>
      <c r="K72">
        <v>73398768</v>
      </c>
      <c r="L72">
        <v>2721065.75</v>
      </c>
      <c r="M72" t="b">
        <v>0</v>
      </c>
      <c r="N72">
        <v>2</v>
      </c>
      <c r="O72" t="b">
        <v>1</v>
      </c>
      <c r="P72">
        <v>1</v>
      </c>
      <c r="Q72">
        <v>2</v>
      </c>
      <c r="R72">
        <v>85.311820983886719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  <c r="X72" t="s">
        <v>29</v>
      </c>
      <c r="Y72" t="s">
        <v>29</v>
      </c>
    </row>
    <row r="73" spans="1:25">
      <c r="A73" t="s">
        <v>121</v>
      </c>
      <c r="B73" t="s">
        <v>122</v>
      </c>
      <c r="C73" t="s">
        <v>25</v>
      </c>
      <c r="D73" t="s">
        <v>33</v>
      </c>
      <c r="E73" t="s">
        <v>27</v>
      </c>
      <c r="F73" t="s">
        <v>28</v>
      </c>
      <c r="G73">
        <v>8.8623628616333008</v>
      </c>
      <c r="H73">
        <v>8.7695417404174805</v>
      </c>
      <c r="I73">
        <v>0.13126888871192932</v>
      </c>
      <c r="J73">
        <v>105860664</v>
      </c>
      <c r="K73">
        <v>112020784</v>
      </c>
      <c r="L73">
        <v>8711725</v>
      </c>
      <c r="M73" t="b">
        <v>0</v>
      </c>
      <c r="N73">
        <v>2</v>
      </c>
      <c r="O73" t="b">
        <v>1</v>
      </c>
      <c r="P73">
        <v>1</v>
      </c>
      <c r="Q73">
        <v>2</v>
      </c>
      <c r="R73">
        <v>85.121177673339844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  <c r="X73" t="s">
        <v>29</v>
      </c>
      <c r="Y73" t="s">
        <v>29</v>
      </c>
    </row>
    <row r="74" spans="1:25">
      <c r="A74" t="s">
        <v>123</v>
      </c>
      <c r="B74" t="s">
        <v>122</v>
      </c>
      <c r="C74" t="s">
        <v>25</v>
      </c>
      <c r="D74" t="s">
        <v>33</v>
      </c>
      <c r="E74" t="s">
        <v>27</v>
      </c>
      <c r="F74" t="s">
        <v>28</v>
      </c>
      <c r="G74">
        <v>8.6767206192016602</v>
      </c>
      <c r="H74">
        <v>8.7695417404174805</v>
      </c>
      <c r="I74">
        <v>0.13126888871192932</v>
      </c>
      <c r="J74">
        <v>118180904</v>
      </c>
      <c r="K74">
        <v>112020784</v>
      </c>
      <c r="L74">
        <v>8711725</v>
      </c>
      <c r="M74" t="b">
        <v>0</v>
      </c>
      <c r="N74">
        <v>2</v>
      </c>
      <c r="O74" t="b">
        <v>1</v>
      </c>
      <c r="P74">
        <v>1</v>
      </c>
      <c r="Q74">
        <v>2</v>
      </c>
      <c r="R74">
        <v>84.9305419921875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  <c r="X74" t="s">
        <v>29</v>
      </c>
      <c r="Y74" t="s">
        <v>29</v>
      </c>
    </row>
    <row r="75" spans="1:25">
      <c r="A75" t="s">
        <v>124</v>
      </c>
      <c r="B75" t="s">
        <v>125</v>
      </c>
      <c r="C75" t="s">
        <v>25</v>
      </c>
      <c r="D75" t="s">
        <v>33</v>
      </c>
      <c r="E75" t="s">
        <v>27</v>
      </c>
      <c r="F75" t="s">
        <v>28</v>
      </c>
      <c r="G75">
        <v>9.8007011413574219</v>
      </c>
      <c r="H75">
        <v>9.7544689178466797</v>
      </c>
      <c r="I75">
        <v>6.5382912755012512E-2</v>
      </c>
      <c r="J75">
        <v>60682440</v>
      </c>
      <c r="K75">
        <v>62392676</v>
      </c>
      <c r="L75">
        <v>2418639</v>
      </c>
      <c r="M75" t="b">
        <v>0</v>
      </c>
      <c r="N75">
        <v>2</v>
      </c>
      <c r="O75" t="b">
        <v>1</v>
      </c>
      <c r="P75">
        <v>1</v>
      </c>
      <c r="Q75">
        <v>2</v>
      </c>
      <c r="R75">
        <v>85.121177673339844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  <c r="X75" t="s">
        <v>29</v>
      </c>
      <c r="Y75" t="s">
        <v>29</v>
      </c>
    </row>
    <row r="76" spans="1:25">
      <c r="A76" t="s">
        <v>126</v>
      </c>
      <c r="B76" t="s">
        <v>125</v>
      </c>
      <c r="C76" t="s">
        <v>25</v>
      </c>
      <c r="D76" t="s">
        <v>33</v>
      </c>
      <c r="E76" t="s">
        <v>27</v>
      </c>
      <c r="F76" t="s">
        <v>28</v>
      </c>
      <c r="G76">
        <v>9.7082357406616211</v>
      </c>
      <c r="H76">
        <v>9.7544689178466797</v>
      </c>
      <c r="I76">
        <v>6.5382912755012512E-2</v>
      </c>
      <c r="J76">
        <v>64102912</v>
      </c>
      <c r="K76">
        <v>62392676</v>
      </c>
      <c r="L76">
        <v>2418639</v>
      </c>
      <c r="M76" t="b">
        <v>0</v>
      </c>
      <c r="N76">
        <v>2</v>
      </c>
      <c r="O76" t="b">
        <v>1</v>
      </c>
      <c r="P76">
        <v>1</v>
      </c>
      <c r="Q76">
        <v>2</v>
      </c>
      <c r="R76">
        <v>84.9305419921875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  <c r="X76" t="s">
        <v>29</v>
      </c>
      <c r="Y76" t="s">
        <v>29</v>
      </c>
    </row>
    <row r="77" spans="1:25">
      <c r="A77" t="s">
        <v>127</v>
      </c>
      <c r="B77" t="s">
        <v>128</v>
      </c>
      <c r="C77" t="s">
        <v>25</v>
      </c>
      <c r="D77" t="s">
        <v>33</v>
      </c>
      <c r="E77" t="s">
        <v>27</v>
      </c>
      <c r="F77" t="s">
        <v>28</v>
      </c>
      <c r="G77">
        <v>9.4409370422363281</v>
      </c>
      <c r="H77">
        <v>9.4628448486328125</v>
      </c>
      <c r="I77">
        <v>3.0981643125414848E-2</v>
      </c>
      <c r="J77">
        <v>75114064</v>
      </c>
      <c r="K77">
        <v>74150768</v>
      </c>
      <c r="L77">
        <v>1362311.875</v>
      </c>
      <c r="M77" t="b">
        <v>0</v>
      </c>
      <c r="N77">
        <v>2</v>
      </c>
      <c r="O77" t="b">
        <v>1</v>
      </c>
      <c r="P77">
        <v>1</v>
      </c>
      <c r="Q77">
        <v>2</v>
      </c>
      <c r="R77">
        <v>84.739898681640625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  <c r="X77" t="s">
        <v>29</v>
      </c>
      <c r="Y77" t="s">
        <v>29</v>
      </c>
    </row>
    <row r="78" spans="1:25">
      <c r="A78" t="s">
        <v>129</v>
      </c>
      <c r="B78" t="s">
        <v>128</v>
      </c>
      <c r="C78" t="s">
        <v>25</v>
      </c>
      <c r="D78" t="s">
        <v>33</v>
      </c>
      <c r="E78" t="s">
        <v>27</v>
      </c>
      <c r="F78" t="s">
        <v>28</v>
      </c>
      <c r="G78">
        <v>9.4847517013549805</v>
      </c>
      <c r="H78">
        <v>9.4628448486328125</v>
      </c>
      <c r="I78">
        <v>3.0981643125414848E-2</v>
      </c>
      <c r="J78">
        <v>73187464</v>
      </c>
      <c r="K78">
        <v>74150768</v>
      </c>
      <c r="L78">
        <v>1362311.875</v>
      </c>
      <c r="M78" t="b">
        <v>0</v>
      </c>
      <c r="N78">
        <v>2</v>
      </c>
      <c r="O78" t="b">
        <v>1</v>
      </c>
      <c r="P78">
        <v>1</v>
      </c>
      <c r="Q78">
        <v>2</v>
      </c>
      <c r="R78">
        <v>84.54925537109375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  <c r="X78" t="s">
        <v>29</v>
      </c>
      <c r="Y78" t="s">
        <v>29</v>
      </c>
    </row>
    <row r="79" spans="1:25">
      <c r="A79" t="s">
        <v>130</v>
      </c>
      <c r="B79" t="s">
        <v>131</v>
      </c>
      <c r="C79" t="s">
        <v>25</v>
      </c>
      <c r="D79" t="s">
        <v>33</v>
      </c>
      <c r="E79" t="s">
        <v>27</v>
      </c>
      <c r="F79" t="s">
        <v>28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b">
        <v>0</v>
      </c>
      <c r="N79">
        <v>2</v>
      </c>
      <c r="O79" t="b">
        <v>1</v>
      </c>
      <c r="P79">
        <v>3</v>
      </c>
      <c r="Q79">
        <v>34</v>
      </c>
      <c r="R79" t="s">
        <v>24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  <c r="X79" t="s">
        <v>29</v>
      </c>
      <c r="Y79" t="s">
        <v>29</v>
      </c>
    </row>
    <row r="80" spans="1:25">
      <c r="A80" t="s">
        <v>132</v>
      </c>
      <c r="B80" t="s">
        <v>131</v>
      </c>
      <c r="C80" t="s">
        <v>25</v>
      </c>
      <c r="D80" t="s">
        <v>33</v>
      </c>
      <c r="E80" t="s">
        <v>27</v>
      </c>
      <c r="F80" t="s">
        <v>28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b">
        <v>0</v>
      </c>
      <c r="N80">
        <v>2</v>
      </c>
      <c r="O80" t="b">
        <v>1</v>
      </c>
      <c r="P80">
        <v>3</v>
      </c>
      <c r="Q80">
        <v>35</v>
      </c>
      <c r="R80" t="s">
        <v>24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  <c r="X80" t="s">
        <v>29</v>
      </c>
      <c r="Y80" t="s">
        <v>29</v>
      </c>
    </row>
    <row r="81" spans="1:25">
      <c r="A81" t="s">
        <v>133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b">
        <v>0</v>
      </c>
      <c r="N81">
        <v>2</v>
      </c>
      <c r="O81" t="b">
        <v>1</v>
      </c>
      <c r="P81">
        <v>3</v>
      </c>
      <c r="Q81">
        <v>23</v>
      </c>
      <c r="R81" t="s">
        <v>24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  <c r="X81" t="s">
        <v>29</v>
      </c>
      <c r="Y81" t="s">
        <v>29</v>
      </c>
    </row>
    <row r="82" spans="1:25">
      <c r="A82" t="s">
        <v>134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b">
        <v>0</v>
      </c>
      <c r="N82">
        <v>2</v>
      </c>
      <c r="O82" t="b">
        <v>1</v>
      </c>
      <c r="P82">
        <v>3</v>
      </c>
      <c r="Q82">
        <v>23</v>
      </c>
      <c r="R82" t="s">
        <v>24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  <c r="X82" t="s">
        <v>29</v>
      </c>
      <c r="Y82" t="s">
        <v>29</v>
      </c>
    </row>
    <row r="83" spans="1:25">
      <c r="A83" t="s">
        <v>135</v>
      </c>
      <c r="B83" t="s">
        <v>136</v>
      </c>
      <c r="C83" t="s">
        <v>25</v>
      </c>
      <c r="D83" t="s">
        <v>33</v>
      </c>
      <c r="E83" t="s">
        <v>27</v>
      </c>
      <c r="F83" t="s">
        <v>28</v>
      </c>
      <c r="G83">
        <v>9.3694534301757812</v>
      </c>
      <c r="H83">
        <v>9.2743721008300781</v>
      </c>
      <c r="I83">
        <v>0.13446530699729919</v>
      </c>
      <c r="J83">
        <v>78366792</v>
      </c>
      <c r="K83">
        <v>83044440</v>
      </c>
      <c r="L83">
        <v>6615193</v>
      </c>
      <c r="M83" t="b">
        <v>0</v>
      </c>
      <c r="N83">
        <v>2</v>
      </c>
      <c r="O83" t="b">
        <v>1</v>
      </c>
      <c r="P83">
        <v>1</v>
      </c>
      <c r="Q83">
        <v>2</v>
      </c>
      <c r="R83">
        <v>85.311820983886719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  <c r="X83" t="s">
        <v>29</v>
      </c>
      <c r="Y83" t="s">
        <v>29</v>
      </c>
    </row>
    <row r="84" spans="1:25">
      <c r="A84" t="s">
        <v>137</v>
      </c>
      <c r="B84" t="s">
        <v>136</v>
      </c>
      <c r="C84" t="s">
        <v>25</v>
      </c>
      <c r="D84" t="s">
        <v>33</v>
      </c>
      <c r="E84" t="s">
        <v>27</v>
      </c>
      <c r="F84" t="s">
        <v>28</v>
      </c>
      <c r="G84">
        <v>9.179290771484375</v>
      </c>
      <c r="H84">
        <v>9.2743721008300781</v>
      </c>
      <c r="I84">
        <v>0.13446530699729919</v>
      </c>
      <c r="J84">
        <v>87722088</v>
      </c>
      <c r="K84">
        <v>83044440</v>
      </c>
      <c r="L84">
        <v>6615193</v>
      </c>
      <c r="M84" t="b">
        <v>0</v>
      </c>
      <c r="N84">
        <v>2</v>
      </c>
      <c r="O84" t="b">
        <v>1</v>
      </c>
      <c r="P84">
        <v>1</v>
      </c>
      <c r="Q84">
        <v>2</v>
      </c>
      <c r="R84">
        <v>85.121177673339844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  <c r="X84" t="s">
        <v>29</v>
      </c>
      <c r="Y84" t="s">
        <v>29</v>
      </c>
    </row>
    <row r="85" spans="1:25">
      <c r="A85" t="s">
        <v>138</v>
      </c>
      <c r="B85" t="s">
        <v>139</v>
      </c>
      <c r="C85" t="s">
        <v>25</v>
      </c>
      <c r="D85" t="s">
        <v>33</v>
      </c>
      <c r="E85" t="s">
        <v>27</v>
      </c>
      <c r="F85" t="s">
        <v>28</v>
      </c>
      <c r="G85">
        <v>9.7742652893066406</v>
      </c>
      <c r="H85">
        <v>9.7409286499023438</v>
      </c>
      <c r="I85">
        <v>4.714512825012207E-2</v>
      </c>
      <c r="J85">
        <v>61641284</v>
      </c>
      <c r="K85">
        <v>62884336</v>
      </c>
      <c r="L85">
        <v>1757941</v>
      </c>
      <c r="M85" t="b">
        <v>0</v>
      </c>
      <c r="N85">
        <v>2</v>
      </c>
      <c r="O85" t="b">
        <v>1</v>
      </c>
      <c r="P85">
        <v>1</v>
      </c>
      <c r="Q85">
        <v>2</v>
      </c>
      <c r="R85">
        <v>84.9305419921875</v>
      </c>
      <c r="S85" t="s">
        <v>24</v>
      </c>
      <c r="T85" t="s">
        <v>24</v>
      </c>
      <c r="U85" t="s">
        <v>24</v>
      </c>
      <c r="V85" t="s">
        <v>29</v>
      </c>
      <c r="W85" t="s">
        <v>29</v>
      </c>
      <c r="X85" t="s">
        <v>29</v>
      </c>
      <c r="Y85" t="s">
        <v>29</v>
      </c>
    </row>
    <row r="86" spans="1:25">
      <c r="A86" t="s">
        <v>140</v>
      </c>
      <c r="B86" t="s">
        <v>139</v>
      </c>
      <c r="C86" t="s">
        <v>25</v>
      </c>
      <c r="D86" t="s">
        <v>33</v>
      </c>
      <c r="E86" t="s">
        <v>27</v>
      </c>
      <c r="F86" t="s">
        <v>28</v>
      </c>
      <c r="G86">
        <v>9.7075920104980469</v>
      </c>
      <c r="H86">
        <v>9.7409286499023438</v>
      </c>
      <c r="I86">
        <v>4.714512825012207E-2</v>
      </c>
      <c r="J86">
        <v>64127388</v>
      </c>
      <c r="K86">
        <v>62884336</v>
      </c>
      <c r="L86">
        <v>1757941</v>
      </c>
      <c r="M86" t="b">
        <v>0</v>
      </c>
      <c r="N86">
        <v>2</v>
      </c>
      <c r="O86" t="b">
        <v>1</v>
      </c>
      <c r="P86">
        <v>1</v>
      </c>
      <c r="Q86">
        <v>2</v>
      </c>
      <c r="R86">
        <v>84.9305419921875</v>
      </c>
      <c r="S86" t="s">
        <v>24</v>
      </c>
      <c r="T86" t="s">
        <v>24</v>
      </c>
      <c r="U86" t="s">
        <v>24</v>
      </c>
      <c r="V86" t="s">
        <v>29</v>
      </c>
      <c r="W86" t="s">
        <v>29</v>
      </c>
      <c r="X86" t="s">
        <v>29</v>
      </c>
      <c r="Y86" t="s">
        <v>29</v>
      </c>
    </row>
    <row r="87" spans="1:25">
      <c r="A87" t="s">
        <v>141</v>
      </c>
      <c r="B87" t="s">
        <v>142</v>
      </c>
      <c r="C87" t="s">
        <v>25</v>
      </c>
      <c r="D87" t="s">
        <v>33</v>
      </c>
      <c r="E87" t="s">
        <v>27</v>
      </c>
      <c r="F87" t="s">
        <v>28</v>
      </c>
      <c r="G87">
        <v>10.273725509643555</v>
      </c>
      <c r="H87">
        <v>10.353115081787109</v>
      </c>
      <c r="I87">
        <v>0.11227381229400635</v>
      </c>
      <c r="J87">
        <v>45838912</v>
      </c>
      <c r="K87">
        <v>43779264</v>
      </c>
      <c r="L87">
        <v>2912782.25</v>
      </c>
      <c r="M87" t="b">
        <v>0</v>
      </c>
      <c r="N87">
        <v>2</v>
      </c>
      <c r="O87" t="b">
        <v>1</v>
      </c>
      <c r="P87">
        <v>1</v>
      </c>
      <c r="Q87">
        <v>3</v>
      </c>
      <c r="R87">
        <v>85.121177673339844</v>
      </c>
      <c r="S87" t="s">
        <v>24</v>
      </c>
      <c r="T87" t="s">
        <v>24</v>
      </c>
      <c r="U87" t="s">
        <v>24</v>
      </c>
      <c r="V87" t="s">
        <v>29</v>
      </c>
      <c r="W87" t="s">
        <v>29</v>
      </c>
      <c r="X87" t="s">
        <v>29</v>
      </c>
      <c r="Y87" t="s">
        <v>29</v>
      </c>
    </row>
    <row r="88" spans="1:25">
      <c r="A88" t="s">
        <v>143</v>
      </c>
      <c r="B88" t="s">
        <v>142</v>
      </c>
      <c r="C88" t="s">
        <v>25</v>
      </c>
      <c r="D88" t="s">
        <v>33</v>
      </c>
      <c r="E88" t="s">
        <v>27</v>
      </c>
      <c r="F88" t="s">
        <v>28</v>
      </c>
      <c r="G88">
        <v>10.432504653930664</v>
      </c>
      <c r="H88">
        <v>10.353115081787109</v>
      </c>
      <c r="I88">
        <v>0.11227381229400635</v>
      </c>
      <c r="J88">
        <v>41719616</v>
      </c>
      <c r="K88">
        <v>43779264</v>
      </c>
      <c r="L88">
        <v>2912782.25</v>
      </c>
      <c r="M88" t="b">
        <v>0</v>
      </c>
      <c r="N88">
        <v>2</v>
      </c>
      <c r="O88" t="b">
        <v>1</v>
      </c>
      <c r="P88">
        <v>1</v>
      </c>
      <c r="Q88">
        <v>3</v>
      </c>
      <c r="R88">
        <v>84.9305419921875</v>
      </c>
      <c r="S88" t="s">
        <v>24</v>
      </c>
      <c r="T88" t="s">
        <v>24</v>
      </c>
      <c r="U88" t="s">
        <v>24</v>
      </c>
      <c r="V88" t="s">
        <v>29</v>
      </c>
      <c r="W88" t="s">
        <v>29</v>
      </c>
      <c r="X88" t="s">
        <v>29</v>
      </c>
      <c r="Y88" t="s">
        <v>29</v>
      </c>
    </row>
    <row r="89" spans="1:25">
      <c r="A89" t="s">
        <v>144</v>
      </c>
      <c r="B89" t="s">
        <v>145</v>
      </c>
      <c r="C89" t="s">
        <v>25</v>
      </c>
      <c r="D89" t="s">
        <v>33</v>
      </c>
      <c r="E89" t="s">
        <v>27</v>
      </c>
      <c r="F89" t="s">
        <v>28</v>
      </c>
      <c r="G89">
        <v>9.1081924438476562</v>
      </c>
      <c r="H89">
        <v>9.0904541015625</v>
      </c>
      <c r="I89">
        <v>2.5086479261517525E-2</v>
      </c>
      <c r="J89">
        <v>91499888</v>
      </c>
      <c r="K89">
        <v>92472640</v>
      </c>
      <c r="L89">
        <v>1375684.75</v>
      </c>
      <c r="M89" t="b">
        <v>0</v>
      </c>
      <c r="N89">
        <v>2</v>
      </c>
      <c r="O89" t="b">
        <v>1</v>
      </c>
      <c r="P89">
        <v>1</v>
      </c>
      <c r="Q89">
        <v>2</v>
      </c>
      <c r="R89">
        <v>84.739898681640625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  <c r="X89" t="s">
        <v>29</v>
      </c>
      <c r="Y89" t="s">
        <v>29</v>
      </c>
    </row>
    <row r="90" spans="1:25">
      <c r="A90" t="s">
        <v>146</v>
      </c>
      <c r="B90" t="s">
        <v>145</v>
      </c>
      <c r="C90" t="s">
        <v>25</v>
      </c>
      <c r="D90" t="s">
        <v>33</v>
      </c>
      <c r="E90" t="s">
        <v>27</v>
      </c>
      <c r="F90" t="s">
        <v>28</v>
      </c>
      <c r="G90">
        <v>9.0727148056030273</v>
      </c>
      <c r="H90">
        <v>9.0904541015625</v>
      </c>
      <c r="I90">
        <v>2.5086479261517525E-2</v>
      </c>
      <c r="J90">
        <v>93445400</v>
      </c>
      <c r="K90">
        <v>92472640</v>
      </c>
      <c r="L90">
        <v>1375684.75</v>
      </c>
      <c r="M90" t="b">
        <v>0</v>
      </c>
      <c r="N90">
        <v>2</v>
      </c>
      <c r="O90" t="b">
        <v>1</v>
      </c>
      <c r="P90">
        <v>1</v>
      </c>
      <c r="Q90">
        <v>2</v>
      </c>
      <c r="R90">
        <v>84.54925537109375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  <c r="X90" t="s">
        <v>29</v>
      </c>
      <c r="Y90" t="s">
        <v>29</v>
      </c>
    </row>
    <row r="91" spans="1:25">
      <c r="A91" t="s">
        <v>147</v>
      </c>
      <c r="B91" t="s">
        <v>148</v>
      </c>
      <c r="C91" t="s">
        <v>25</v>
      </c>
      <c r="D91" t="s">
        <v>33</v>
      </c>
      <c r="E91" t="s">
        <v>27</v>
      </c>
      <c r="F91" t="s">
        <v>28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b">
        <v>0</v>
      </c>
      <c r="N91">
        <v>2</v>
      </c>
      <c r="O91" t="b">
        <v>1</v>
      </c>
      <c r="P91">
        <v>3</v>
      </c>
      <c r="Q91">
        <v>49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  <c r="X91" t="s">
        <v>29</v>
      </c>
      <c r="Y91" t="s">
        <v>29</v>
      </c>
    </row>
    <row r="92" spans="1:25">
      <c r="A92" t="s">
        <v>149</v>
      </c>
      <c r="B92" t="s">
        <v>148</v>
      </c>
      <c r="C92" t="s">
        <v>25</v>
      </c>
      <c r="D92" t="s">
        <v>33</v>
      </c>
      <c r="E92" t="s">
        <v>27</v>
      </c>
      <c r="F92" t="s">
        <v>28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b">
        <v>0</v>
      </c>
      <c r="N92">
        <v>2</v>
      </c>
      <c r="O92" t="b">
        <v>1</v>
      </c>
      <c r="P92">
        <v>3</v>
      </c>
      <c r="Q92">
        <v>49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  <c r="X92" t="s">
        <v>29</v>
      </c>
      <c r="Y92" t="s">
        <v>29</v>
      </c>
    </row>
    <row r="93" spans="1:25">
      <c r="A93" t="s">
        <v>150</v>
      </c>
      <c r="B93" t="s">
        <v>24</v>
      </c>
      <c r="C93" t="s">
        <v>25</v>
      </c>
      <c r="D93" t="s">
        <v>151</v>
      </c>
      <c r="E93" t="s">
        <v>27</v>
      </c>
      <c r="F93" t="s">
        <v>28</v>
      </c>
      <c r="G93">
        <v>34.803035736083984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b">
        <v>0</v>
      </c>
      <c r="N93">
        <v>2</v>
      </c>
      <c r="O93" t="b">
        <v>1</v>
      </c>
      <c r="P93">
        <v>3</v>
      </c>
      <c r="Q93">
        <v>27</v>
      </c>
      <c r="R93">
        <v>78.639404296875</v>
      </c>
      <c r="S93" t="s">
        <v>24</v>
      </c>
      <c r="T93" t="s">
        <v>24</v>
      </c>
      <c r="U93" t="s">
        <v>24</v>
      </c>
      <c r="V93" t="s">
        <v>114</v>
      </c>
      <c r="W93" t="s">
        <v>29</v>
      </c>
      <c r="X93" t="s">
        <v>29</v>
      </c>
      <c r="Y93" t="s">
        <v>29</v>
      </c>
    </row>
    <row r="94" spans="1:25">
      <c r="A94" t="s">
        <v>152</v>
      </c>
      <c r="B94" t="s">
        <v>24</v>
      </c>
      <c r="C94" t="s">
        <v>25</v>
      </c>
      <c r="D94" t="s">
        <v>151</v>
      </c>
      <c r="E94" t="s">
        <v>27</v>
      </c>
      <c r="F94" t="s">
        <v>28</v>
      </c>
      <c r="G94">
        <v>36.557987213134766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b">
        <v>0</v>
      </c>
      <c r="N94">
        <v>2</v>
      </c>
      <c r="O94" t="b">
        <v>1</v>
      </c>
      <c r="P94">
        <v>3</v>
      </c>
      <c r="Q94">
        <v>27</v>
      </c>
      <c r="R94">
        <v>79.592605590820312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  <c r="X94" t="s">
        <v>29</v>
      </c>
      <c r="Y94" t="s">
        <v>29</v>
      </c>
    </row>
    <row r="95" spans="1:25">
      <c r="A95" t="s">
        <v>153</v>
      </c>
      <c r="B95" t="s">
        <v>154</v>
      </c>
      <c r="C95" t="s">
        <v>25</v>
      </c>
      <c r="D95" t="s">
        <v>33</v>
      </c>
      <c r="E95" t="s">
        <v>27</v>
      </c>
      <c r="F95" t="s">
        <v>28</v>
      </c>
      <c r="G95">
        <v>15.573269844055176</v>
      </c>
      <c r="H95">
        <v>12.600154876708984</v>
      </c>
      <c r="I95">
        <v>4.204620361328125</v>
      </c>
      <c r="J95">
        <v>1978436.875</v>
      </c>
      <c r="K95">
        <v>34621804</v>
      </c>
      <c r="L95">
        <v>46164692</v>
      </c>
      <c r="M95" t="b">
        <v>0</v>
      </c>
      <c r="N95">
        <v>2</v>
      </c>
      <c r="O95" t="b">
        <v>0</v>
      </c>
      <c r="P95">
        <v>2</v>
      </c>
      <c r="Q95">
        <v>6</v>
      </c>
      <c r="R95">
        <v>85.121177673339844</v>
      </c>
      <c r="S95" t="s">
        <v>24</v>
      </c>
      <c r="T95" t="s">
        <v>24</v>
      </c>
      <c r="U95" t="s">
        <v>24</v>
      </c>
      <c r="V95" t="s">
        <v>29</v>
      </c>
      <c r="W95" t="s">
        <v>114</v>
      </c>
      <c r="X95" t="s">
        <v>29</v>
      </c>
      <c r="Y95" t="s">
        <v>29</v>
      </c>
    </row>
    <row r="96" spans="1:25">
      <c r="A96" t="s">
        <v>155</v>
      </c>
      <c r="B96" t="s">
        <v>154</v>
      </c>
      <c r="C96" t="s">
        <v>25</v>
      </c>
      <c r="D96" t="s">
        <v>33</v>
      </c>
      <c r="E96" t="s">
        <v>27</v>
      </c>
      <c r="F96" t="s">
        <v>28</v>
      </c>
      <c r="G96">
        <v>9.6270389556884766</v>
      </c>
      <c r="H96">
        <v>12.600154876708984</v>
      </c>
      <c r="I96">
        <v>4.204620361328125</v>
      </c>
      <c r="J96">
        <v>67265168</v>
      </c>
      <c r="K96">
        <v>34621804</v>
      </c>
      <c r="L96">
        <v>46164692</v>
      </c>
      <c r="M96" t="b">
        <v>0</v>
      </c>
      <c r="N96">
        <v>2</v>
      </c>
      <c r="O96" t="b">
        <v>0</v>
      </c>
      <c r="P96">
        <v>2</v>
      </c>
      <c r="Q96">
        <v>6</v>
      </c>
      <c r="R96">
        <v>85.121177673339844</v>
      </c>
      <c r="S96" t="s">
        <v>24</v>
      </c>
      <c r="T96" t="s">
        <v>24</v>
      </c>
      <c r="U96" t="s">
        <v>24</v>
      </c>
      <c r="V96" t="s">
        <v>29</v>
      </c>
      <c r="W96" t="s">
        <v>114</v>
      </c>
      <c r="X96" t="s">
        <v>29</v>
      </c>
      <c r="Y96" t="s">
        <v>29</v>
      </c>
    </row>
    <row r="97" spans="1:25">
      <c r="A97" t="s">
        <v>156</v>
      </c>
      <c r="B97" t="s">
        <v>157</v>
      </c>
      <c r="C97" t="s">
        <v>25</v>
      </c>
      <c r="D97" t="s">
        <v>33</v>
      </c>
      <c r="E97" t="s">
        <v>27</v>
      </c>
      <c r="F97" t="s">
        <v>28</v>
      </c>
      <c r="G97">
        <v>10.643953323364258</v>
      </c>
      <c r="H97">
        <v>10.709064483642578</v>
      </c>
      <c r="I97">
        <v>9.2080414295196533E-2</v>
      </c>
      <c r="J97">
        <v>36802824</v>
      </c>
      <c r="K97">
        <v>35435240</v>
      </c>
      <c r="L97">
        <v>1934055.875</v>
      </c>
      <c r="M97" t="b">
        <v>0</v>
      </c>
      <c r="N97">
        <v>2</v>
      </c>
      <c r="O97" t="b">
        <v>1</v>
      </c>
      <c r="P97">
        <v>1</v>
      </c>
      <c r="Q97">
        <v>2</v>
      </c>
      <c r="R97">
        <v>84.739898681640625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  <c r="X97" t="s">
        <v>29</v>
      </c>
      <c r="Y97" t="s">
        <v>29</v>
      </c>
    </row>
    <row r="98" spans="1:25">
      <c r="A98" t="s">
        <v>158</v>
      </c>
      <c r="B98" t="s">
        <v>157</v>
      </c>
      <c r="C98" t="s">
        <v>25</v>
      </c>
      <c r="D98" t="s">
        <v>33</v>
      </c>
      <c r="E98" t="s">
        <v>27</v>
      </c>
      <c r="F98" t="s">
        <v>28</v>
      </c>
      <c r="G98">
        <v>10.774174690246582</v>
      </c>
      <c r="H98">
        <v>10.709064483642578</v>
      </c>
      <c r="I98">
        <v>9.2080414295196533E-2</v>
      </c>
      <c r="J98">
        <v>34067656</v>
      </c>
      <c r="K98">
        <v>35435240</v>
      </c>
      <c r="L98">
        <v>1934055.875</v>
      </c>
      <c r="M98" t="b">
        <v>0</v>
      </c>
      <c r="N98">
        <v>2</v>
      </c>
      <c r="O98" t="b">
        <v>1</v>
      </c>
      <c r="P98">
        <v>1</v>
      </c>
      <c r="Q98">
        <v>3</v>
      </c>
      <c r="R98">
        <v>84.739898681640625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  <c r="X98" t="s">
        <v>29</v>
      </c>
      <c r="Y98" t="s">
        <v>29</v>
      </c>
    </row>
    <row r="99" spans="1:25">
      <c r="A99" t="s">
        <v>159</v>
      </c>
      <c r="B99" t="s">
        <v>160</v>
      </c>
      <c r="C99" t="s">
        <v>25</v>
      </c>
      <c r="D99" t="s">
        <v>33</v>
      </c>
      <c r="E99" t="s">
        <v>27</v>
      </c>
      <c r="F99" t="s">
        <v>28</v>
      </c>
      <c r="G99">
        <v>8.7197017669677734</v>
      </c>
      <c r="H99">
        <v>8.7534170150756836</v>
      </c>
      <c r="I99">
        <v>4.7680560499429703E-2</v>
      </c>
      <c r="J99">
        <v>115206608</v>
      </c>
      <c r="K99">
        <v>112948568</v>
      </c>
      <c r="L99">
        <v>3193350.75</v>
      </c>
      <c r="M99" t="b">
        <v>0</v>
      </c>
      <c r="N99">
        <v>2</v>
      </c>
      <c r="O99" t="b">
        <v>1</v>
      </c>
      <c r="P99">
        <v>1</v>
      </c>
      <c r="Q99">
        <v>2</v>
      </c>
      <c r="R99">
        <v>84.9305419921875</v>
      </c>
      <c r="S99" t="s">
        <v>24</v>
      </c>
      <c r="T99" t="s">
        <v>24</v>
      </c>
      <c r="U99" t="s">
        <v>24</v>
      </c>
      <c r="V99" t="s">
        <v>29</v>
      </c>
      <c r="W99" t="s">
        <v>29</v>
      </c>
      <c r="X99" t="s">
        <v>29</v>
      </c>
      <c r="Y99" t="s">
        <v>29</v>
      </c>
    </row>
    <row r="100" spans="1:25">
      <c r="A100" t="s">
        <v>161</v>
      </c>
      <c r="B100" t="s">
        <v>160</v>
      </c>
      <c r="C100" t="s">
        <v>25</v>
      </c>
      <c r="D100" t="s">
        <v>33</v>
      </c>
      <c r="E100" t="s">
        <v>27</v>
      </c>
      <c r="F100" t="s">
        <v>28</v>
      </c>
      <c r="G100">
        <v>8.7871322631835938</v>
      </c>
      <c r="H100">
        <v>8.7534170150756836</v>
      </c>
      <c r="I100">
        <v>4.7680560499429703E-2</v>
      </c>
      <c r="J100">
        <v>110690528</v>
      </c>
      <c r="K100">
        <v>112948568</v>
      </c>
      <c r="L100">
        <v>3193350.75</v>
      </c>
      <c r="M100" t="b">
        <v>0</v>
      </c>
      <c r="N100">
        <v>2</v>
      </c>
      <c r="O100" t="b">
        <v>1</v>
      </c>
      <c r="P100">
        <v>1</v>
      </c>
      <c r="Q100">
        <v>2</v>
      </c>
      <c r="R100">
        <v>84.9305419921875</v>
      </c>
      <c r="S100" t="s">
        <v>24</v>
      </c>
      <c r="T100" t="s">
        <v>24</v>
      </c>
      <c r="U100" t="s">
        <v>24</v>
      </c>
      <c r="V100" t="s">
        <v>29</v>
      </c>
      <c r="W100" t="s">
        <v>29</v>
      </c>
      <c r="X100" t="s">
        <v>29</v>
      </c>
      <c r="Y100" t="s">
        <v>29</v>
      </c>
    </row>
    <row r="101" spans="1:25">
      <c r="A101" t="s">
        <v>162</v>
      </c>
      <c r="B101" t="s">
        <v>163</v>
      </c>
      <c r="C101" t="s">
        <v>25</v>
      </c>
      <c r="D101" t="s">
        <v>33</v>
      </c>
      <c r="E101" t="s">
        <v>27</v>
      </c>
      <c r="F101" t="s">
        <v>28</v>
      </c>
      <c r="G101">
        <v>11.21843147277832</v>
      </c>
      <c r="H101">
        <v>11.306476593017578</v>
      </c>
      <c r="I101">
        <v>0.12451528012752533</v>
      </c>
      <c r="J101">
        <v>26177172</v>
      </c>
      <c r="K101">
        <v>24879296</v>
      </c>
      <c r="L101">
        <v>1835473.875</v>
      </c>
      <c r="M101" t="b">
        <v>0</v>
      </c>
      <c r="N101">
        <v>2</v>
      </c>
      <c r="O101" t="b">
        <v>1</v>
      </c>
      <c r="P101">
        <v>1</v>
      </c>
      <c r="Q101">
        <v>3</v>
      </c>
      <c r="R101">
        <v>84.54925537109375</v>
      </c>
      <c r="S101" t="s">
        <v>24</v>
      </c>
      <c r="T101" t="s">
        <v>24</v>
      </c>
      <c r="U101" t="s">
        <v>24</v>
      </c>
      <c r="V101" t="s">
        <v>29</v>
      </c>
      <c r="W101" t="s">
        <v>29</v>
      </c>
      <c r="X101" t="s">
        <v>29</v>
      </c>
      <c r="Y101" t="s">
        <v>29</v>
      </c>
    </row>
    <row r="102" spans="1:25">
      <c r="A102" t="s">
        <v>164</v>
      </c>
      <c r="B102" t="s">
        <v>163</v>
      </c>
      <c r="C102" t="s">
        <v>25</v>
      </c>
      <c r="D102" t="s">
        <v>33</v>
      </c>
      <c r="E102" t="s">
        <v>27</v>
      </c>
      <c r="F102" t="s">
        <v>28</v>
      </c>
      <c r="G102">
        <v>11.394522666931152</v>
      </c>
      <c r="H102">
        <v>11.306476593017578</v>
      </c>
      <c r="I102">
        <v>0.12451528012752533</v>
      </c>
      <c r="J102">
        <v>23581420</v>
      </c>
      <c r="K102">
        <v>24879296</v>
      </c>
      <c r="L102">
        <v>1835473.875</v>
      </c>
      <c r="M102" t="b">
        <v>0</v>
      </c>
      <c r="N102">
        <v>2</v>
      </c>
      <c r="O102" t="b">
        <v>1</v>
      </c>
      <c r="P102">
        <v>3</v>
      </c>
      <c r="Q102">
        <v>4</v>
      </c>
      <c r="R102">
        <v>84.358612060546875</v>
      </c>
      <c r="S102" t="s">
        <v>24</v>
      </c>
      <c r="T102" t="s">
        <v>24</v>
      </c>
      <c r="U102" t="s">
        <v>24</v>
      </c>
      <c r="V102" t="s">
        <v>29</v>
      </c>
      <c r="W102" t="s">
        <v>29</v>
      </c>
      <c r="X102" t="s">
        <v>29</v>
      </c>
      <c r="Y102" t="s">
        <v>29</v>
      </c>
    </row>
    <row r="103" spans="1:25">
      <c r="A103" t="s">
        <v>165</v>
      </c>
      <c r="B103" t="s">
        <v>166</v>
      </c>
      <c r="C103" t="s">
        <v>25</v>
      </c>
      <c r="D103" t="s">
        <v>33</v>
      </c>
      <c r="E103" t="s">
        <v>27</v>
      </c>
      <c r="F103" t="s">
        <v>28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b">
        <v>0</v>
      </c>
      <c r="N103">
        <v>2</v>
      </c>
      <c r="O103" t="b">
        <v>1</v>
      </c>
      <c r="P103">
        <v>3</v>
      </c>
      <c r="Q103">
        <v>44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  <c r="W103" t="s">
        <v>29</v>
      </c>
      <c r="X103" t="s">
        <v>29</v>
      </c>
      <c r="Y103" t="s">
        <v>29</v>
      </c>
    </row>
    <row r="104" spans="1:25">
      <c r="A104" t="s">
        <v>167</v>
      </c>
      <c r="B104" t="s">
        <v>166</v>
      </c>
      <c r="C104" t="s">
        <v>25</v>
      </c>
      <c r="D104" t="s">
        <v>33</v>
      </c>
      <c r="E104" t="s">
        <v>27</v>
      </c>
      <c r="F104" t="s">
        <v>28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b">
        <v>0</v>
      </c>
      <c r="N104">
        <v>2</v>
      </c>
      <c r="O104" t="b">
        <v>1</v>
      </c>
      <c r="P104">
        <v>3</v>
      </c>
      <c r="Q104">
        <v>48</v>
      </c>
      <c r="R104" t="s">
        <v>24</v>
      </c>
      <c r="S104" t="s">
        <v>24</v>
      </c>
      <c r="T104" t="s">
        <v>24</v>
      </c>
      <c r="U104" t="s">
        <v>24</v>
      </c>
      <c r="V104" t="s">
        <v>29</v>
      </c>
      <c r="W104" t="s">
        <v>29</v>
      </c>
      <c r="X104" t="s">
        <v>29</v>
      </c>
      <c r="Y104" t="s">
        <v>29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4"/>
  <sheetViews>
    <sheetView topLeftCell="A73" workbookViewId="0">
      <selection activeCell="A8" sqref="A8:K104"/>
    </sheetView>
  </sheetViews>
  <sheetFormatPr baseColWidth="10" defaultColWidth="9.1640625" defaultRowHeight="15"/>
  <cols>
    <col min="1" max="1" width="9.1640625" customWidth="1"/>
  </cols>
  <sheetData>
    <row r="1" spans="1:22">
      <c r="A1" t="s">
        <v>784</v>
      </c>
      <c r="B1" t="s">
        <v>785</v>
      </c>
    </row>
    <row r="2" spans="1:22">
      <c r="A2" t="s">
        <v>786</v>
      </c>
      <c r="B2" t="s">
        <v>787</v>
      </c>
    </row>
    <row r="3" spans="1:22">
      <c r="A3" t="s">
        <v>788</v>
      </c>
      <c r="B3" t="s">
        <v>795</v>
      </c>
    </row>
    <row r="4" spans="1:22">
      <c r="A4" t="s">
        <v>222</v>
      </c>
      <c r="B4" t="s">
        <v>796</v>
      </c>
    </row>
    <row r="5" spans="1:22">
      <c r="A5" t="s">
        <v>791</v>
      </c>
      <c r="B5" t="s">
        <v>792</v>
      </c>
    </row>
    <row r="6" spans="1:22">
      <c r="A6" t="s">
        <v>793</v>
      </c>
      <c r="B6" t="s">
        <v>794</v>
      </c>
    </row>
    <row r="8" spans="1:2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22</v>
      </c>
    </row>
    <row r="9" spans="1:22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10.105168342590332</v>
      </c>
      <c r="H9">
        <v>10.047325134277344</v>
      </c>
      <c r="I9">
        <v>8.1803321838378906E-2</v>
      </c>
      <c r="J9">
        <v>50000000</v>
      </c>
      <c r="K9" t="s">
        <v>24</v>
      </c>
      <c r="L9" t="s">
        <v>24</v>
      </c>
      <c r="M9" t="b">
        <v>0</v>
      </c>
      <c r="N9">
        <v>1.3</v>
      </c>
      <c r="O9" t="b">
        <v>1</v>
      </c>
      <c r="P9">
        <v>3</v>
      </c>
      <c r="Q9">
        <v>4</v>
      </c>
      <c r="R9">
        <v>84.3187255859375</v>
      </c>
      <c r="S9" t="s">
        <v>24</v>
      </c>
      <c r="T9" t="s">
        <v>24</v>
      </c>
      <c r="U9" t="s">
        <v>24</v>
      </c>
      <c r="V9" t="s">
        <v>29</v>
      </c>
    </row>
    <row r="10" spans="1:22">
      <c r="A10" t="s">
        <v>30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9.9894809722900391</v>
      </c>
      <c r="H10">
        <v>10.047325134277344</v>
      </c>
      <c r="I10">
        <v>8.1803321838378906E-2</v>
      </c>
      <c r="J10">
        <v>50000000</v>
      </c>
      <c r="K10" t="s">
        <v>24</v>
      </c>
      <c r="L10" t="s">
        <v>24</v>
      </c>
      <c r="M10" t="b">
        <v>0</v>
      </c>
      <c r="N10">
        <v>1.3</v>
      </c>
      <c r="O10" t="b">
        <v>1</v>
      </c>
      <c r="P10">
        <v>1</v>
      </c>
      <c r="Q10">
        <v>3</v>
      </c>
      <c r="R10">
        <v>84.3187255859375</v>
      </c>
      <c r="S10" t="s">
        <v>24</v>
      </c>
      <c r="T10" t="s">
        <v>24</v>
      </c>
      <c r="U10" t="s">
        <v>24</v>
      </c>
      <c r="V10" t="s">
        <v>29</v>
      </c>
    </row>
    <row r="11" spans="1:22">
      <c r="A11" t="s">
        <v>31</v>
      </c>
      <c r="B11" t="s">
        <v>32</v>
      </c>
      <c r="C11" t="s">
        <v>25</v>
      </c>
      <c r="D11" t="s">
        <v>33</v>
      </c>
      <c r="E11" t="s">
        <v>27</v>
      </c>
      <c r="F11" t="s">
        <v>28</v>
      </c>
      <c r="G11">
        <v>7.7714748382568359</v>
      </c>
      <c r="H11">
        <v>7.7503557205200195</v>
      </c>
      <c r="I11">
        <v>2.9866943135857582E-2</v>
      </c>
      <c r="J11">
        <v>163404816</v>
      </c>
      <c r="K11">
        <v>165501888</v>
      </c>
      <c r="L11">
        <v>2965696.25</v>
      </c>
      <c r="M11" t="b">
        <v>0</v>
      </c>
      <c r="N11">
        <v>1.3</v>
      </c>
      <c r="O11" t="b">
        <v>1</v>
      </c>
      <c r="P11">
        <v>1</v>
      </c>
      <c r="Q11">
        <v>2</v>
      </c>
      <c r="R11">
        <v>84.893600463867188</v>
      </c>
      <c r="S11" t="s">
        <v>24</v>
      </c>
      <c r="T11" t="s">
        <v>24</v>
      </c>
      <c r="U11" t="s">
        <v>24</v>
      </c>
      <c r="V11" t="s">
        <v>29</v>
      </c>
    </row>
    <row r="12" spans="1:22">
      <c r="A12" t="s">
        <v>34</v>
      </c>
      <c r="B12" t="s">
        <v>32</v>
      </c>
      <c r="C12" t="s">
        <v>25</v>
      </c>
      <c r="D12" t="s">
        <v>33</v>
      </c>
      <c r="E12" t="s">
        <v>27</v>
      </c>
      <c r="F12" t="s">
        <v>28</v>
      </c>
      <c r="G12">
        <v>7.7292366027832031</v>
      </c>
      <c r="H12">
        <v>7.7503557205200195</v>
      </c>
      <c r="I12">
        <v>2.9866943135857582E-2</v>
      </c>
      <c r="J12">
        <v>167598944</v>
      </c>
      <c r="K12">
        <v>165501888</v>
      </c>
      <c r="L12">
        <v>2965696.25</v>
      </c>
      <c r="M12" t="b">
        <v>0</v>
      </c>
      <c r="N12">
        <v>1.3</v>
      </c>
      <c r="O12" t="b">
        <v>1</v>
      </c>
      <c r="P12">
        <v>1</v>
      </c>
      <c r="Q12">
        <v>2</v>
      </c>
      <c r="R12">
        <v>84.893600463867188</v>
      </c>
      <c r="S12" t="s">
        <v>24</v>
      </c>
      <c r="T12" t="s">
        <v>24</v>
      </c>
      <c r="U12" t="s">
        <v>24</v>
      </c>
      <c r="V12" t="s">
        <v>29</v>
      </c>
    </row>
    <row r="13" spans="1:22">
      <c r="A13" t="s">
        <v>35</v>
      </c>
      <c r="B13" t="s">
        <v>36</v>
      </c>
      <c r="C13" t="s">
        <v>25</v>
      </c>
      <c r="D13" t="s">
        <v>33</v>
      </c>
      <c r="E13" t="s">
        <v>27</v>
      </c>
      <c r="F13" t="s">
        <v>28</v>
      </c>
      <c r="G13">
        <v>10.251010894775391</v>
      </c>
      <c r="H13">
        <v>10.256595611572266</v>
      </c>
      <c r="I13">
        <v>7.8986566513776779E-3</v>
      </c>
      <c r="J13">
        <v>36910380</v>
      </c>
      <c r="K13">
        <v>36787100</v>
      </c>
      <c r="L13">
        <v>174344.25</v>
      </c>
      <c r="M13" t="b">
        <v>0</v>
      </c>
      <c r="N13">
        <v>1.3</v>
      </c>
      <c r="O13" t="b">
        <v>1</v>
      </c>
      <c r="P13">
        <v>1</v>
      </c>
      <c r="Q13">
        <v>3</v>
      </c>
      <c r="R13">
        <v>84.893600463867188</v>
      </c>
      <c r="S13" t="s">
        <v>24</v>
      </c>
      <c r="T13" t="s">
        <v>24</v>
      </c>
      <c r="U13" t="s">
        <v>24</v>
      </c>
      <c r="V13" t="s">
        <v>29</v>
      </c>
    </row>
    <row r="14" spans="1:22">
      <c r="A14" t="s">
        <v>37</v>
      </c>
      <c r="B14" t="s">
        <v>36</v>
      </c>
      <c r="C14" t="s">
        <v>25</v>
      </c>
      <c r="D14" t="s">
        <v>33</v>
      </c>
      <c r="E14" t="s">
        <v>27</v>
      </c>
      <c r="F14" t="s">
        <v>28</v>
      </c>
      <c r="G14">
        <v>10.262181282043457</v>
      </c>
      <c r="H14">
        <v>10.256595611572266</v>
      </c>
      <c r="I14">
        <v>7.8986566513776779E-3</v>
      </c>
      <c r="J14">
        <v>36663820</v>
      </c>
      <c r="K14">
        <v>36787100</v>
      </c>
      <c r="L14">
        <v>174344.25</v>
      </c>
      <c r="M14" t="b">
        <v>0</v>
      </c>
      <c r="N14">
        <v>1.3</v>
      </c>
      <c r="O14" t="b">
        <v>1</v>
      </c>
      <c r="P14">
        <v>1</v>
      </c>
      <c r="Q14">
        <v>2</v>
      </c>
      <c r="R14">
        <v>84.893600463867188</v>
      </c>
      <c r="S14" t="s">
        <v>24</v>
      </c>
      <c r="T14" t="s">
        <v>24</v>
      </c>
      <c r="U14" t="s">
        <v>24</v>
      </c>
      <c r="V14" t="s">
        <v>29</v>
      </c>
    </row>
    <row r="15" spans="1:22">
      <c r="A15" t="s">
        <v>38</v>
      </c>
      <c r="B15" t="s">
        <v>39</v>
      </c>
      <c r="C15" t="s">
        <v>25</v>
      </c>
      <c r="D15" t="s">
        <v>33</v>
      </c>
      <c r="E15" t="s">
        <v>27</v>
      </c>
      <c r="F15" t="s">
        <v>28</v>
      </c>
      <c r="G15">
        <v>10.44444751739502</v>
      </c>
      <c r="H15">
        <v>10.547887802124023</v>
      </c>
      <c r="I15">
        <v>0.14628732204437256</v>
      </c>
      <c r="J15">
        <v>32865700</v>
      </c>
      <c r="K15">
        <v>30947408</v>
      </c>
      <c r="L15">
        <v>2712876</v>
      </c>
      <c r="M15" t="b">
        <v>0</v>
      </c>
      <c r="N15">
        <v>1.3</v>
      </c>
      <c r="O15" t="b">
        <v>1</v>
      </c>
      <c r="P15">
        <v>1</v>
      </c>
      <c r="Q15">
        <v>2</v>
      </c>
      <c r="R15">
        <v>84.510345458984375</v>
      </c>
      <c r="S15" t="s">
        <v>24</v>
      </c>
      <c r="T15" t="s">
        <v>24</v>
      </c>
      <c r="U15" t="s">
        <v>24</v>
      </c>
      <c r="V15" t="s">
        <v>29</v>
      </c>
    </row>
    <row r="16" spans="1:22">
      <c r="A16" t="s">
        <v>40</v>
      </c>
      <c r="B16" t="s">
        <v>39</v>
      </c>
      <c r="C16" t="s">
        <v>25</v>
      </c>
      <c r="D16" t="s">
        <v>33</v>
      </c>
      <c r="E16" t="s">
        <v>27</v>
      </c>
      <c r="F16" t="s">
        <v>28</v>
      </c>
      <c r="G16">
        <v>10.651329040527344</v>
      </c>
      <c r="H16">
        <v>10.547887802124023</v>
      </c>
      <c r="I16">
        <v>0.14628732204437256</v>
      </c>
      <c r="J16">
        <v>29029114</v>
      </c>
      <c r="K16">
        <v>30947408</v>
      </c>
      <c r="L16">
        <v>2712876</v>
      </c>
      <c r="M16" t="b">
        <v>0</v>
      </c>
      <c r="N16">
        <v>1.3</v>
      </c>
      <c r="O16" t="b">
        <v>1</v>
      </c>
      <c r="P16">
        <v>1</v>
      </c>
      <c r="Q16">
        <v>3</v>
      </c>
      <c r="R16">
        <v>84.3187255859375</v>
      </c>
      <c r="S16" t="s">
        <v>24</v>
      </c>
      <c r="T16" t="s">
        <v>24</v>
      </c>
      <c r="U16" t="s">
        <v>24</v>
      </c>
      <c r="V16" t="s">
        <v>29</v>
      </c>
    </row>
    <row r="17" spans="1:22">
      <c r="A17" t="s">
        <v>41</v>
      </c>
      <c r="B17" t="s">
        <v>42</v>
      </c>
      <c r="C17" t="s">
        <v>25</v>
      </c>
      <c r="D17" t="s">
        <v>33</v>
      </c>
      <c r="E17" t="s">
        <v>27</v>
      </c>
      <c r="F17" t="s">
        <v>28</v>
      </c>
      <c r="G17">
        <v>11.807272911071777</v>
      </c>
      <c r="H17">
        <v>11.843690872192383</v>
      </c>
      <c r="I17">
        <v>5.1502101123332977E-2</v>
      </c>
      <c r="J17">
        <v>14508365</v>
      </c>
      <c r="K17">
        <v>14198174</v>
      </c>
      <c r="L17">
        <v>438676.3125</v>
      </c>
      <c r="M17" t="b">
        <v>0</v>
      </c>
      <c r="N17">
        <v>1.3</v>
      </c>
      <c r="O17" t="b">
        <v>1</v>
      </c>
      <c r="P17">
        <v>3</v>
      </c>
      <c r="Q17">
        <v>5</v>
      </c>
      <c r="R17">
        <v>84.127090454101562</v>
      </c>
      <c r="S17" t="s">
        <v>24</v>
      </c>
      <c r="T17" t="s">
        <v>24</v>
      </c>
      <c r="U17" t="s">
        <v>24</v>
      </c>
      <c r="V17" t="s">
        <v>29</v>
      </c>
    </row>
    <row r="18" spans="1:22">
      <c r="A18" t="s">
        <v>43</v>
      </c>
      <c r="B18" t="s">
        <v>42</v>
      </c>
      <c r="C18" t="s">
        <v>25</v>
      </c>
      <c r="D18" t="s">
        <v>33</v>
      </c>
      <c r="E18" t="s">
        <v>27</v>
      </c>
      <c r="F18" t="s">
        <v>28</v>
      </c>
      <c r="G18">
        <v>11.880107879638672</v>
      </c>
      <c r="H18">
        <v>11.843690872192383</v>
      </c>
      <c r="I18">
        <v>5.1502101123332977E-2</v>
      </c>
      <c r="J18">
        <v>13887983</v>
      </c>
      <c r="K18">
        <v>14198174</v>
      </c>
      <c r="L18">
        <v>438676.3125</v>
      </c>
      <c r="M18" t="b">
        <v>0</v>
      </c>
      <c r="N18">
        <v>1.3</v>
      </c>
      <c r="O18" t="b">
        <v>1</v>
      </c>
      <c r="P18">
        <v>3</v>
      </c>
      <c r="Q18">
        <v>5</v>
      </c>
      <c r="R18">
        <v>84.127090454101562</v>
      </c>
      <c r="S18" t="s">
        <v>24</v>
      </c>
      <c r="T18" t="s">
        <v>24</v>
      </c>
      <c r="U18" t="s">
        <v>24</v>
      </c>
      <c r="V18" t="s">
        <v>29</v>
      </c>
    </row>
    <row r="19" spans="1:22">
      <c r="A19" t="s">
        <v>44</v>
      </c>
      <c r="B19" t="s">
        <v>45</v>
      </c>
      <c r="C19" t="s">
        <v>25</v>
      </c>
      <c r="D19" t="s">
        <v>33</v>
      </c>
      <c r="E19" t="s">
        <v>27</v>
      </c>
      <c r="F19" t="s">
        <v>28</v>
      </c>
      <c r="G19">
        <v>11.991576194763184</v>
      </c>
      <c r="H19">
        <v>12.126562118530273</v>
      </c>
      <c r="I19">
        <v>0.19089959561824799</v>
      </c>
      <c r="J19">
        <v>12989512</v>
      </c>
      <c r="K19">
        <v>12018244</v>
      </c>
      <c r="L19">
        <v>1373579.625</v>
      </c>
      <c r="M19" t="b">
        <v>0</v>
      </c>
      <c r="N19">
        <v>1.3</v>
      </c>
      <c r="O19" t="b">
        <v>1</v>
      </c>
      <c r="P19">
        <v>3</v>
      </c>
      <c r="Q19">
        <v>6</v>
      </c>
      <c r="R19">
        <v>83.935470581054688</v>
      </c>
      <c r="S19" t="s">
        <v>24</v>
      </c>
      <c r="T19" t="s">
        <v>24</v>
      </c>
      <c r="U19" t="s">
        <v>24</v>
      </c>
      <c r="V19" t="s">
        <v>29</v>
      </c>
    </row>
    <row r="20" spans="1:22">
      <c r="A20" t="s">
        <v>46</v>
      </c>
      <c r="B20" t="s">
        <v>45</v>
      </c>
      <c r="C20" t="s">
        <v>25</v>
      </c>
      <c r="D20" t="s">
        <v>33</v>
      </c>
      <c r="E20" t="s">
        <v>27</v>
      </c>
      <c r="F20" t="s">
        <v>28</v>
      </c>
      <c r="G20">
        <v>12.26154899597168</v>
      </c>
      <c r="H20">
        <v>12.126562118530273</v>
      </c>
      <c r="I20">
        <v>0.19089959561824799</v>
      </c>
      <c r="J20">
        <v>11046977</v>
      </c>
      <c r="K20">
        <v>12018244</v>
      </c>
      <c r="L20">
        <v>1373579.625</v>
      </c>
      <c r="M20" t="b">
        <v>0</v>
      </c>
      <c r="N20">
        <v>1.3</v>
      </c>
      <c r="O20" t="b">
        <v>1</v>
      </c>
      <c r="P20">
        <v>3</v>
      </c>
      <c r="Q20">
        <v>6</v>
      </c>
      <c r="R20">
        <v>83.935470581054688</v>
      </c>
      <c r="S20" t="s">
        <v>24</v>
      </c>
      <c r="T20" t="s">
        <v>24</v>
      </c>
      <c r="U20" t="s">
        <v>24</v>
      </c>
      <c r="V20" t="s">
        <v>29</v>
      </c>
    </row>
    <row r="21" spans="1:22">
      <c r="A21" t="s">
        <v>47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13.179646492004395</v>
      </c>
      <c r="H21">
        <v>13.00328254699707</v>
      </c>
      <c r="I21">
        <v>0.24941696226596832</v>
      </c>
      <c r="J21">
        <v>5000000</v>
      </c>
      <c r="K21" t="s">
        <v>24</v>
      </c>
      <c r="L21" t="s">
        <v>24</v>
      </c>
      <c r="M21" t="b">
        <v>0</v>
      </c>
      <c r="N21">
        <v>1.3</v>
      </c>
      <c r="O21" t="b">
        <v>1</v>
      </c>
      <c r="P21">
        <v>3</v>
      </c>
      <c r="Q21">
        <v>7</v>
      </c>
      <c r="R21">
        <v>84.510345458984375</v>
      </c>
      <c r="S21">
        <v>92.175369262695312</v>
      </c>
      <c r="T21" t="s">
        <v>24</v>
      </c>
      <c r="U21" t="s">
        <v>24</v>
      </c>
      <c r="V21" t="s">
        <v>114</v>
      </c>
    </row>
    <row r="22" spans="1:22">
      <c r="A22" t="s">
        <v>48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12.82691764831543</v>
      </c>
      <c r="H22">
        <v>13.00328254699707</v>
      </c>
      <c r="I22">
        <v>0.24941696226596832</v>
      </c>
      <c r="J22">
        <v>5000000</v>
      </c>
      <c r="K22" t="s">
        <v>24</v>
      </c>
      <c r="L22" t="s">
        <v>24</v>
      </c>
      <c r="M22" t="b">
        <v>0</v>
      </c>
      <c r="N22">
        <v>1.3</v>
      </c>
      <c r="O22" t="b">
        <v>1</v>
      </c>
      <c r="P22">
        <v>3</v>
      </c>
      <c r="Q22">
        <v>6</v>
      </c>
      <c r="R22">
        <v>84.510345458984375</v>
      </c>
      <c r="S22">
        <v>92.175369262695312</v>
      </c>
      <c r="T22" t="s">
        <v>24</v>
      </c>
      <c r="U22" t="s">
        <v>24</v>
      </c>
      <c r="V22" t="s">
        <v>114</v>
      </c>
    </row>
    <row r="23" spans="1:22">
      <c r="A23" t="s">
        <v>49</v>
      </c>
      <c r="B23" t="s">
        <v>50</v>
      </c>
      <c r="C23" t="s">
        <v>25</v>
      </c>
      <c r="D23" t="s">
        <v>33</v>
      </c>
      <c r="E23" t="s">
        <v>27</v>
      </c>
      <c r="F23" t="s">
        <v>28</v>
      </c>
      <c r="G23">
        <v>8.6682224273681641</v>
      </c>
      <c r="H23">
        <v>8.7092514038085938</v>
      </c>
      <c r="I23">
        <v>5.8023735880851746E-2</v>
      </c>
      <c r="J23">
        <v>95409312</v>
      </c>
      <c r="K23">
        <v>93117440</v>
      </c>
      <c r="L23">
        <v>3241190.75</v>
      </c>
      <c r="M23" t="b">
        <v>0</v>
      </c>
      <c r="N23">
        <v>1.3</v>
      </c>
      <c r="O23" t="b">
        <v>1</v>
      </c>
      <c r="P23">
        <v>1</v>
      </c>
      <c r="Q23">
        <v>2</v>
      </c>
      <c r="R23">
        <v>85.085220336914062</v>
      </c>
      <c r="S23" t="s">
        <v>24</v>
      </c>
      <c r="T23" t="s">
        <v>24</v>
      </c>
      <c r="U23" t="s">
        <v>24</v>
      </c>
      <c r="V23" t="s">
        <v>29</v>
      </c>
    </row>
    <row r="24" spans="1:22">
      <c r="A24" t="s">
        <v>51</v>
      </c>
      <c r="B24" t="s">
        <v>50</v>
      </c>
      <c r="C24" t="s">
        <v>25</v>
      </c>
      <c r="D24" t="s">
        <v>33</v>
      </c>
      <c r="E24" t="s">
        <v>27</v>
      </c>
      <c r="F24" t="s">
        <v>28</v>
      </c>
      <c r="G24">
        <v>8.7502803802490234</v>
      </c>
      <c r="H24">
        <v>8.7092514038085938</v>
      </c>
      <c r="I24">
        <v>5.8023735880851746E-2</v>
      </c>
      <c r="J24">
        <v>90825576</v>
      </c>
      <c r="K24">
        <v>93117440</v>
      </c>
      <c r="L24">
        <v>3241190.75</v>
      </c>
      <c r="M24" t="b">
        <v>0</v>
      </c>
      <c r="N24">
        <v>1.3</v>
      </c>
      <c r="O24" t="b">
        <v>1</v>
      </c>
      <c r="P24">
        <v>1</v>
      </c>
      <c r="Q24">
        <v>2</v>
      </c>
      <c r="R24">
        <v>85.085220336914062</v>
      </c>
      <c r="S24" t="s">
        <v>24</v>
      </c>
      <c r="T24" t="s">
        <v>24</v>
      </c>
      <c r="U24" t="s">
        <v>24</v>
      </c>
      <c r="V24" t="s">
        <v>29</v>
      </c>
    </row>
    <row r="25" spans="1:22">
      <c r="A25" t="s">
        <v>52</v>
      </c>
      <c r="B25" t="s">
        <v>53</v>
      </c>
      <c r="C25" t="s">
        <v>25</v>
      </c>
      <c r="D25" t="s">
        <v>33</v>
      </c>
      <c r="E25" t="s">
        <v>27</v>
      </c>
      <c r="F25" t="s">
        <v>28</v>
      </c>
      <c r="G25">
        <v>9.6950244903564453</v>
      </c>
      <c r="H25">
        <v>9.5462846755981445</v>
      </c>
      <c r="I25">
        <v>0.21034985780715942</v>
      </c>
      <c r="J25">
        <v>51526088</v>
      </c>
      <c r="K25">
        <v>56560460</v>
      </c>
      <c r="L25">
        <v>7119677</v>
      </c>
      <c r="M25" t="b">
        <v>0</v>
      </c>
      <c r="N25">
        <v>1.3</v>
      </c>
      <c r="O25" t="b">
        <v>1</v>
      </c>
      <c r="P25">
        <v>1</v>
      </c>
      <c r="Q25">
        <v>3</v>
      </c>
      <c r="R25">
        <v>84.510345458984375</v>
      </c>
      <c r="S25" t="s">
        <v>24</v>
      </c>
      <c r="T25" t="s">
        <v>24</v>
      </c>
      <c r="U25" t="s">
        <v>24</v>
      </c>
      <c r="V25" t="s">
        <v>29</v>
      </c>
    </row>
    <row r="26" spans="1:22">
      <c r="A26" t="s">
        <v>54</v>
      </c>
      <c r="B26" t="s">
        <v>53</v>
      </c>
      <c r="C26" t="s">
        <v>25</v>
      </c>
      <c r="D26" t="s">
        <v>33</v>
      </c>
      <c r="E26" t="s">
        <v>27</v>
      </c>
      <c r="F26" t="s">
        <v>28</v>
      </c>
      <c r="G26">
        <v>9.3975448608398438</v>
      </c>
      <c r="H26">
        <v>9.5462846755981445</v>
      </c>
      <c r="I26">
        <v>0.21034985780715942</v>
      </c>
      <c r="J26">
        <v>61594832</v>
      </c>
      <c r="K26">
        <v>56560460</v>
      </c>
      <c r="L26">
        <v>7119677</v>
      </c>
      <c r="M26" t="b">
        <v>0</v>
      </c>
      <c r="N26">
        <v>1.3</v>
      </c>
      <c r="O26" t="b">
        <v>1</v>
      </c>
      <c r="P26">
        <v>1</v>
      </c>
      <c r="Q26">
        <v>2</v>
      </c>
      <c r="R26">
        <v>84.510345458984375</v>
      </c>
      <c r="S26" t="s">
        <v>24</v>
      </c>
      <c r="T26" t="s">
        <v>24</v>
      </c>
      <c r="U26" t="s">
        <v>24</v>
      </c>
      <c r="V26" t="s">
        <v>29</v>
      </c>
    </row>
    <row r="27" spans="1:22">
      <c r="A27" t="s">
        <v>55</v>
      </c>
      <c r="B27" t="s">
        <v>56</v>
      </c>
      <c r="C27" t="s">
        <v>25</v>
      </c>
      <c r="D27" t="s">
        <v>33</v>
      </c>
      <c r="E27" t="s">
        <v>27</v>
      </c>
      <c r="F27" t="s">
        <v>28</v>
      </c>
      <c r="G27">
        <v>9.3268003463745117</v>
      </c>
      <c r="H27">
        <v>9.4174728393554688</v>
      </c>
      <c r="I27">
        <v>0.12823027372360229</v>
      </c>
      <c r="J27">
        <v>64265644</v>
      </c>
      <c r="K27">
        <v>60952828</v>
      </c>
      <c r="L27">
        <v>4685029.5</v>
      </c>
      <c r="M27" t="b">
        <v>0</v>
      </c>
      <c r="N27">
        <v>1.3</v>
      </c>
      <c r="O27" t="b">
        <v>1</v>
      </c>
      <c r="P27">
        <v>1</v>
      </c>
      <c r="Q27">
        <v>2</v>
      </c>
      <c r="R27">
        <v>84.701972961425781</v>
      </c>
      <c r="S27" t="s">
        <v>24</v>
      </c>
      <c r="T27" t="s">
        <v>24</v>
      </c>
      <c r="U27" t="s">
        <v>24</v>
      </c>
      <c r="V27" t="s">
        <v>29</v>
      </c>
    </row>
    <row r="28" spans="1:22">
      <c r="A28" t="s">
        <v>57</v>
      </c>
      <c r="B28" t="s">
        <v>56</v>
      </c>
      <c r="C28" t="s">
        <v>25</v>
      </c>
      <c r="D28" t="s">
        <v>33</v>
      </c>
      <c r="E28" t="s">
        <v>27</v>
      </c>
      <c r="F28" t="s">
        <v>28</v>
      </c>
      <c r="G28">
        <v>9.5081453323364258</v>
      </c>
      <c r="H28">
        <v>9.4174728393554688</v>
      </c>
      <c r="I28">
        <v>0.12823027372360229</v>
      </c>
      <c r="J28">
        <v>57640012</v>
      </c>
      <c r="K28">
        <v>60952828</v>
      </c>
      <c r="L28">
        <v>4685029.5</v>
      </c>
      <c r="M28" t="b">
        <v>0</v>
      </c>
      <c r="N28">
        <v>1.3</v>
      </c>
      <c r="O28" t="b">
        <v>1</v>
      </c>
      <c r="P28">
        <v>1</v>
      </c>
      <c r="Q28">
        <v>2</v>
      </c>
      <c r="R28">
        <v>84.510345458984375</v>
      </c>
      <c r="S28" t="s">
        <v>24</v>
      </c>
      <c r="T28" t="s">
        <v>24</v>
      </c>
      <c r="U28" t="s">
        <v>24</v>
      </c>
      <c r="V28" t="s">
        <v>29</v>
      </c>
    </row>
    <row r="29" spans="1:22">
      <c r="A29" t="s">
        <v>58</v>
      </c>
      <c r="B29" t="s">
        <v>59</v>
      </c>
      <c r="C29" t="s">
        <v>25</v>
      </c>
      <c r="D29" t="s">
        <v>33</v>
      </c>
      <c r="E29" t="s">
        <v>27</v>
      </c>
      <c r="F29" t="s">
        <v>28</v>
      </c>
      <c r="G29">
        <v>10.828526496887207</v>
      </c>
      <c r="H29">
        <v>10.965353965759277</v>
      </c>
      <c r="I29">
        <v>0.19350326061248779</v>
      </c>
      <c r="J29">
        <v>26101158</v>
      </c>
      <c r="K29">
        <v>24124996</v>
      </c>
      <c r="L29">
        <v>2794715</v>
      </c>
      <c r="M29" t="b">
        <v>0</v>
      </c>
      <c r="N29">
        <v>1.3</v>
      </c>
      <c r="O29" t="b">
        <v>1</v>
      </c>
      <c r="P29">
        <v>1</v>
      </c>
      <c r="Q29">
        <v>2</v>
      </c>
      <c r="R29">
        <v>84.3187255859375</v>
      </c>
      <c r="S29" t="s">
        <v>24</v>
      </c>
      <c r="T29" t="s">
        <v>24</v>
      </c>
      <c r="U29" t="s">
        <v>24</v>
      </c>
      <c r="V29" t="s">
        <v>29</v>
      </c>
    </row>
    <row r="30" spans="1:22">
      <c r="A30" t="s">
        <v>60</v>
      </c>
      <c r="B30" t="s">
        <v>59</v>
      </c>
      <c r="C30" t="s">
        <v>25</v>
      </c>
      <c r="D30" t="s">
        <v>33</v>
      </c>
      <c r="E30" t="s">
        <v>27</v>
      </c>
      <c r="F30" t="s">
        <v>28</v>
      </c>
      <c r="G30">
        <v>11.102181434631348</v>
      </c>
      <c r="H30">
        <v>10.965353965759277</v>
      </c>
      <c r="I30">
        <v>0.19350326061248779</v>
      </c>
      <c r="J30">
        <v>22148834</v>
      </c>
      <c r="K30">
        <v>24124996</v>
      </c>
      <c r="L30">
        <v>2794715</v>
      </c>
      <c r="M30" t="b">
        <v>0</v>
      </c>
      <c r="N30">
        <v>1.3</v>
      </c>
      <c r="O30" t="b">
        <v>1</v>
      </c>
      <c r="P30">
        <v>3</v>
      </c>
      <c r="Q30">
        <v>5</v>
      </c>
      <c r="R30">
        <v>84.510345458984375</v>
      </c>
      <c r="S30" t="s">
        <v>24</v>
      </c>
      <c r="T30" t="s">
        <v>24</v>
      </c>
      <c r="U30" t="s">
        <v>24</v>
      </c>
      <c r="V30" t="s">
        <v>29</v>
      </c>
    </row>
    <row r="31" spans="1:22">
      <c r="A31" t="s">
        <v>61</v>
      </c>
      <c r="B31" t="s">
        <v>62</v>
      </c>
      <c r="C31" t="s">
        <v>25</v>
      </c>
      <c r="D31" t="s">
        <v>33</v>
      </c>
      <c r="E31" t="s">
        <v>27</v>
      </c>
      <c r="F31" t="s">
        <v>28</v>
      </c>
      <c r="G31">
        <v>8.5825271606445312</v>
      </c>
      <c r="H31">
        <v>8.6381797790527344</v>
      </c>
      <c r="I31">
        <v>7.8704684972763062E-2</v>
      </c>
      <c r="J31">
        <v>100443352</v>
      </c>
      <c r="K31">
        <v>97198896</v>
      </c>
      <c r="L31">
        <v>4588348</v>
      </c>
      <c r="M31" t="b">
        <v>0</v>
      </c>
      <c r="N31">
        <v>1.3</v>
      </c>
      <c r="O31" t="b">
        <v>1</v>
      </c>
      <c r="P31">
        <v>1</v>
      </c>
      <c r="Q31">
        <v>2</v>
      </c>
      <c r="R31">
        <v>83.935470581054688</v>
      </c>
      <c r="S31" t="s">
        <v>24</v>
      </c>
      <c r="T31" t="s">
        <v>24</v>
      </c>
      <c r="U31" t="s">
        <v>24</v>
      </c>
      <c r="V31" t="s">
        <v>29</v>
      </c>
    </row>
    <row r="32" spans="1:22">
      <c r="A32" t="s">
        <v>63</v>
      </c>
      <c r="B32" t="s">
        <v>62</v>
      </c>
      <c r="C32" t="s">
        <v>25</v>
      </c>
      <c r="D32" t="s">
        <v>33</v>
      </c>
      <c r="E32" t="s">
        <v>27</v>
      </c>
      <c r="F32" t="s">
        <v>28</v>
      </c>
      <c r="G32">
        <v>8.6938323974609375</v>
      </c>
      <c r="H32">
        <v>8.6381797790527344</v>
      </c>
      <c r="I32">
        <v>7.8704684972763062E-2</v>
      </c>
      <c r="J32">
        <v>93954448</v>
      </c>
      <c r="K32">
        <v>97198896</v>
      </c>
      <c r="L32">
        <v>4588348</v>
      </c>
      <c r="M32" t="b">
        <v>0</v>
      </c>
      <c r="N32">
        <v>1.3</v>
      </c>
      <c r="O32" t="b">
        <v>1</v>
      </c>
      <c r="P32">
        <v>1</v>
      </c>
      <c r="Q32">
        <v>2</v>
      </c>
      <c r="R32">
        <v>83.935470581054688</v>
      </c>
      <c r="S32" t="s">
        <v>24</v>
      </c>
      <c r="T32" t="s">
        <v>24</v>
      </c>
      <c r="U32" t="s">
        <v>24</v>
      </c>
      <c r="V32" t="s">
        <v>29</v>
      </c>
    </row>
    <row r="33" spans="1:22">
      <c r="A33" t="s">
        <v>64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>
        <v>17.738178253173828</v>
      </c>
      <c r="H33">
        <v>17.635881423950195</v>
      </c>
      <c r="I33">
        <v>0.14466956257820129</v>
      </c>
      <c r="J33">
        <v>500000</v>
      </c>
      <c r="K33" t="s">
        <v>24</v>
      </c>
      <c r="L33" t="s">
        <v>24</v>
      </c>
      <c r="M33" t="b">
        <v>0</v>
      </c>
      <c r="N33">
        <v>1.3</v>
      </c>
      <c r="O33" t="b">
        <v>1</v>
      </c>
      <c r="P33">
        <v>3</v>
      </c>
      <c r="Q33">
        <v>10</v>
      </c>
      <c r="R33">
        <v>84.701972961425781</v>
      </c>
      <c r="S33" t="s">
        <v>24</v>
      </c>
      <c r="T33" t="s">
        <v>24</v>
      </c>
      <c r="U33" t="s">
        <v>24</v>
      </c>
      <c r="V33" t="s">
        <v>29</v>
      </c>
    </row>
    <row r="34" spans="1:22">
      <c r="A34" t="s">
        <v>65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>
        <v>17.533584594726562</v>
      </c>
      <c r="H34">
        <v>17.635881423950195</v>
      </c>
      <c r="I34">
        <v>0.14466956257820129</v>
      </c>
      <c r="J34">
        <v>500000</v>
      </c>
      <c r="K34" t="s">
        <v>24</v>
      </c>
      <c r="L34" t="s">
        <v>24</v>
      </c>
      <c r="M34" t="b">
        <v>0</v>
      </c>
      <c r="N34">
        <v>1.3</v>
      </c>
      <c r="O34" t="b">
        <v>1</v>
      </c>
      <c r="P34">
        <v>3</v>
      </c>
      <c r="Q34">
        <v>10</v>
      </c>
      <c r="R34">
        <v>84.701972961425781</v>
      </c>
      <c r="S34" t="s">
        <v>24</v>
      </c>
      <c r="T34" t="s">
        <v>24</v>
      </c>
      <c r="U34" t="s">
        <v>24</v>
      </c>
      <c r="V34" t="s">
        <v>29</v>
      </c>
    </row>
    <row r="35" spans="1:22">
      <c r="A35" t="s">
        <v>66</v>
      </c>
      <c r="B35" t="s">
        <v>67</v>
      </c>
      <c r="C35" t="s">
        <v>25</v>
      </c>
      <c r="D35" t="s">
        <v>33</v>
      </c>
      <c r="E35" t="s">
        <v>27</v>
      </c>
      <c r="F35" t="s">
        <v>28</v>
      </c>
      <c r="G35">
        <v>8.9248514175415039</v>
      </c>
      <c r="H35">
        <v>8.9258022308349609</v>
      </c>
      <c r="I35">
        <v>1.3453273568302393E-3</v>
      </c>
      <c r="J35">
        <v>81793448</v>
      </c>
      <c r="K35">
        <v>81746784</v>
      </c>
      <c r="L35">
        <v>65987.203125</v>
      </c>
      <c r="M35" t="b">
        <v>0</v>
      </c>
      <c r="N35">
        <v>1.3</v>
      </c>
      <c r="O35" t="b">
        <v>1</v>
      </c>
      <c r="P35">
        <v>1</v>
      </c>
      <c r="Q35">
        <v>2</v>
      </c>
      <c r="R35">
        <v>85.085220336914062</v>
      </c>
      <c r="S35" t="s">
        <v>24</v>
      </c>
      <c r="T35" t="s">
        <v>24</v>
      </c>
      <c r="U35" t="s">
        <v>24</v>
      </c>
      <c r="V35" t="s">
        <v>29</v>
      </c>
    </row>
    <row r="36" spans="1:22">
      <c r="A36" t="s">
        <v>68</v>
      </c>
      <c r="B36" t="s">
        <v>67</v>
      </c>
      <c r="C36" t="s">
        <v>25</v>
      </c>
      <c r="D36" t="s">
        <v>33</v>
      </c>
      <c r="E36" t="s">
        <v>27</v>
      </c>
      <c r="F36" t="s">
        <v>28</v>
      </c>
      <c r="G36">
        <v>8.9267539978027344</v>
      </c>
      <c r="H36">
        <v>8.9258022308349609</v>
      </c>
      <c r="I36">
        <v>1.3453273568302393E-3</v>
      </c>
      <c r="J36">
        <v>81700128</v>
      </c>
      <c r="K36">
        <v>81746784</v>
      </c>
      <c r="L36">
        <v>65987.203125</v>
      </c>
      <c r="M36" t="b">
        <v>0</v>
      </c>
      <c r="N36">
        <v>1.3</v>
      </c>
      <c r="O36" t="b">
        <v>1</v>
      </c>
      <c r="P36">
        <v>1</v>
      </c>
      <c r="Q36">
        <v>2</v>
      </c>
      <c r="R36">
        <v>85.085220336914062</v>
      </c>
      <c r="S36" t="s">
        <v>24</v>
      </c>
      <c r="T36" t="s">
        <v>24</v>
      </c>
      <c r="U36" t="s">
        <v>24</v>
      </c>
      <c r="V36" t="s">
        <v>29</v>
      </c>
    </row>
    <row r="37" spans="1:22">
      <c r="A37" t="s">
        <v>69</v>
      </c>
      <c r="B37" t="s">
        <v>70</v>
      </c>
      <c r="C37" t="s">
        <v>25</v>
      </c>
      <c r="D37" t="s">
        <v>33</v>
      </c>
      <c r="E37" t="s">
        <v>27</v>
      </c>
      <c r="F37" t="s">
        <v>28</v>
      </c>
      <c r="G37">
        <v>9.2265110015869141</v>
      </c>
      <c r="H37">
        <v>9.2906532287597656</v>
      </c>
      <c r="I37">
        <v>9.071013331413269E-2</v>
      </c>
      <c r="J37">
        <v>68251504</v>
      </c>
      <c r="K37">
        <v>65723356</v>
      </c>
      <c r="L37">
        <v>3575341.25</v>
      </c>
      <c r="M37" t="b">
        <v>0</v>
      </c>
      <c r="N37">
        <v>1.3</v>
      </c>
      <c r="O37" t="b">
        <v>1</v>
      </c>
      <c r="P37">
        <v>1</v>
      </c>
      <c r="Q37">
        <v>2</v>
      </c>
      <c r="R37">
        <v>84.893600463867188</v>
      </c>
      <c r="S37" t="s">
        <v>24</v>
      </c>
      <c r="T37" t="s">
        <v>24</v>
      </c>
      <c r="U37" t="s">
        <v>24</v>
      </c>
      <c r="V37" t="s">
        <v>29</v>
      </c>
    </row>
    <row r="38" spans="1:22">
      <c r="A38" t="s">
        <v>71</v>
      </c>
      <c r="B38" t="s">
        <v>70</v>
      </c>
      <c r="C38" t="s">
        <v>25</v>
      </c>
      <c r="D38" t="s">
        <v>33</v>
      </c>
      <c r="E38" t="s">
        <v>27</v>
      </c>
      <c r="F38" t="s">
        <v>28</v>
      </c>
      <c r="G38">
        <v>9.3547945022583008</v>
      </c>
      <c r="H38">
        <v>9.2906532287597656</v>
      </c>
      <c r="I38">
        <v>9.071013331413269E-2</v>
      </c>
      <c r="J38">
        <v>63195208</v>
      </c>
      <c r="K38">
        <v>65723356</v>
      </c>
      <c r="L38">
        <v>3575341.25</v>
      </c>
      <c r="M38" t="b">
        <v>0</v>
      </c>
      <c r="N38">
        <v>1.3</v>
      </c>
      <c r="O38" t="b">
        <v>1</v>
      </c>
      <c r="P38">
        <v>1</v>
      </c>
      <c r="Q38">
        <v>2</v>
      </c>
      <c r="R38">
        <v>84.701972961425781</v>
      </c>
      <c r="S38" t="s">
        <v>24</v>
      </c>
      <c r="T38" t="s">
        <v>24</v>
      </c>
      <c r="U38" t="s">
        <v>24</v>
      </c>
      <c r="V38" t="s">
        <v>29</v>
      </c>
    </row>
    <row r="39" spans="1:22">
      <c r="A39" t="s">
        <v>72</v>
      </c>
      <c r="B39" t="s">
        <v>73</v>
      </c>
      <c r="C39" t="s">
        <v>25</v>
      </c>
      <c r="D39" t="s">
        <v>33</v>
      </c>
      <c r="E39" t="s">
        <v>27</v>
      </c>
      <c r="F39" t="s">
        <v>28</v>
      </c>
      <c r="G39">
        <v>9.1533308029174805</v>
      </c>
      <c r="H39">
        <v>9.1266908645629883</v>
      </c>
      <c r="I39">
        <v>3.7674561142921448E-2</v>
      </c>
      <c r="J39">
        <v>71315096</v>
      </c>
      <c r="K39">
        <v>72473424</v>
      </c>
      <c r="L39">
        <v>1638123.125</v>
      </c>
      <c r="M39" t="b">
        <v>0</v>
      </c>
      <c r="N39">
        <v>1.3</v>
      </c>
      <c r="O39" t="b">
        <v>1</v>
      </c>
      <c r="P39">
        <v>1</v>
      </c>
      <c r="Q39">
        <v>2</v>
      </c>
      <c r="R39">
        <v>84.893600463867188</v>
      </c>
      <c r="S39" t="s">
        <v>24</v>
      </c>
      <c r="T39" t="s">
        <v>24</v>
      </c>
      <c r="U39" t="s">
        <v>24</v>
      </c>
      <c r="V39" t="s">
        <v>29</v>
      </c>
    </row>
    <row r="40" spans="1:22">
      <c r="A40" t="s">
        <v>74</v>
      </c>
      <c r="B40" t="s">
        <v>73</v>
      </c>
      <c r="C40" t="s">
        <v>25</v>
      </c>
      <c r="D40" t="s">
        <v>33</v>
      </c>
      <c r="E40" t="s">
        <v>27</v>
      </c>
      <c r="F40" t="s">
        <v>28</v>
      </c>
      <c r="G40">
        <v>9.1000509262084961</v>
      </c>
      <c r="H40">
        <v>9.1266908645629883</v>
      </c>
      <c r="I40">
        <v>3.7674561142921448E-2</v>
      </c>
      <c r="J40">
        <v>73631752</v>
      </c>
      <c r="K40">
        <v>72473424</v>
      </c>
      <c r="L40">
        <v>1638123.125</v>
      </c>
      <c r="M40" t="b">
        <v>0</v>
      </c>
      <c r="N40">
        <v>1.3</v>
      </c>
      <c r="O40" t="b">
        <v>1</v>
      </c>
      <c r="P40">
        <v>1</v>
      </c>
      <c r="Q40">
        <v>3</v>
      </c>
      <c r="R40">
        <v>84.510345458984375</v>
      </c>
      <c r="S40" t="s">
        <v>24</v>
      </c>
      <c r="T40" t="s">
        <v>24</v>
      </c>
      <c r="U40" t="s">
        <v>24</v>
      </c>
      <c r="V40" t="s">
        <v>29</v>
      </c>
    </row>
    <row r="41" spans="1:22">
      <c r="A41" t="s">
        <v>75</v>
      </c>
      <c r="B41" t="s">
        <v>76</v>
      </c>
      <c r="C41" t="s">
        <v>25</v>
      </c>
      <c r="D41" t="s">
        <v>33</v>
      </c>
      <c r="E41" t="s">
        <v>27</v>
      </c>
      <c r="F41" t="s">
        <v>28</v>
      </c>
      <c r="G41">
        <v>9.1104192733764648</v>
      </c>
      <c r="H41">
        <v>9.0557689666748047</v>
      </c>
      <c r="I41">
        <v>7.7286534011363983E-2</v>
      </c>
      <c r="J41">
        <v>73175104</v>
      </c>
      <c r="K41">
        <v>75654960</v>
      </c>
      <c r="L41">
        <v>3507046</v>
      </c>
      <c r="M41" t="b">
        <v>0</v>
      </c>
      <c r="N41">
        <v>1.3</v>
      </c>
      <c r="O41" t="b">
        <v>1</v>
      </c>
      <c r="P41">
        <v>1</v>
      </c>
      <c r="Q41">
        <v>2</v>
      </c>
      <c r="R41">
        <v>84.127090454101562</v>
      </c>
      <c r="S41" t="s">
        <v>24</v>
      </c>
      <c r="T41" t="s">
        <v>24</v>
      </c>
      <c r="U41" t="s">
        <v>24</v>
      </c>
      <c r="V41" t="s">
        <v>29</v>
      </c>
    </row>
    <row r="42" spans="1:22">
      <c r="A42" t="s">
        <v>77</v>
      </c>
      <c r="B42" t="s">
        <v>76</v>
      </c>
      <c r="C42" t="s">
        <v>25</v>
      </c>
      <c r="D42" t="s">
        <v>33</v>
      </c>
      <c r="E42" t="s">
        <v>27</v>
      </c>
      <c r="F42" t="s">
        <v>28</v>
      </c>
      <c r="G42">
        <v>9.0011196136474609</v>
      </c>
      <c r="H42">
        <v>9.0557689666748047</v>
      </c>
      <c r="I42">
        <v>7.7286534011363983E-2</v>
      </c>
      <c r="J42">
        <v>78134816</v>
      </c>
      <c r="K42">
        <v>75654960</v>
      </c>
      <c r="L42">
        <v>3507046</v>
      </c>
      <c r="M42" t="b">
        <v>0</v>
      </c>
      <c r="N42">
        <v>1.3</v>
      </c>
      <c r="O42" t="b">
        <v>1</v>
      </c>
      <c r="P42">
        <v>1</v>
      </c>
      <c r="Q42">
        <v>2</v>
      </c>
      <c r="R42">
        <v>83.935470581054688</v>
      </c>
      <c r="S42" t="s">
        <v>24</v>
      </c>
      <c r="T42" t="s">
        <v>24</v>
      </c>
      <c r="U42" t="s">
        <v>24</v>
      </c>
      <c r="V42" t="s">
        <v>29</v>
      </c>
    </row>
    <row r="43" spans="1:22">
      <c r="A43" t="s">
        <v>78</v>
      </c>
      <c r="B43" t="s">
        <v>79</v>
      </c>
      <c r="C43" t="s">
        <v>25</v>
      </c>
      <c r="D43" t="s">
        <v>33</v>
      </c>
      <c r="E43" t="s">
        <v>27</v>
      </c>
      <c r="F43" t="s">
        <v>28</v>
      </c>
      <c r="G43">
        <v>9.1546134948730469</v>
      </c>
      <c r="H43">
        <v>9.1326942443847656</v>
      </c>
      <c r="I43">
        <v>3.0997827649116516E-2</v>
      </c>
      <c r="J43">
        <v>71260232</v>
      </c>
      <c r="K43">
        <v>72209840</v>
      </c>
      <c r="L43">
        <v>1342942.875</v>
      </c>
      <c r="M43" t="b">
        <v>0</v>
      </c>
      <c r="N43">
        <v>1.3</v>
      </c>
      <c r="O43" t="b">
        <v>1</v>
      </c>
      <c r="P43">
        <v>1</v>
      </c>
      <c r="Q43">
        <v>2</v>
      </c>
      <c r="R43">
        <v>84.127090454101562</v>
      </c>
      <c r="S43" t="s">
        <v>24</v>
      </c>
      <c r="T43" t="s">
        <v>24</v>
      </c>
      <c r="U43" t="s">
        <v>24</v>
      </c>
      <c r="V43" t="s">
        <v>29</v>
      </c>
    </row>
    <row r="44" spans="1:22">
      <c r="A44" t="s">
        <v>80</v>
      </c>
      <c r="B44" t="s">
        <v>79</v>
      </c>
      <c r="C44" t="s">
        <v>25</v>
      </c>
      <c r="D44" t="s">
        <v>33</v>
      </c>
      <c r="E44" t="s">
        <v>27</v>
      </c>
      <c r="F44" t="s">
        <v>28</v>
      </c>
      <c r="G44">
        <v>9.1107759475708008</v>
      </c>
      <c r="H44">
        <v>9.1326942443847656</v>
      </c>
      <c r="I44">
        <v>3.0997827649116516E-2</v>
      </c>
      <c r="J44">
        <v>73159440</v>
      </c>
      <c r="K44">
        <v>72209840</v>
      </c>
      <c r="L44">
        <v>1342942.875</v>
      </c>
      <c r="M44" t="b">
        <v>0</v>
      </c>
      <c r="N44">
        <v>1.3</v>
      </c>
      <c r="O44" t="b">
        <v>1</v>
      </c>
      <c r="P44">
        <v>1</v>
      </c>
      <c r="Q44">
        <v>2</v>
      </c>
      <c r="R44">
        <v>84.127090454101562</v>
      </c>
      <c r="S44" t="s">
        <v>24</v>
      </c>
      <c r="T44" t="s">
        <v>24</v>
      </c>
      <c r="U44" t="s">
        <v>24</v>
      </c>
      <c r="V44" t="s">
        <v>29</v>
      </c>
    </row>
    <row r="45" spans="1:22">
      <c r="A45" t="s">
        <v>81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>
        <v>21.355194091796875</v>
      </c>
      <c r="H45">
        <v>21.288974761962891</v>
      </c>
      <c r="I45">
        <v>9.3649625778198242E-2</v>
      </c>
      <c r="J45">
        <v>50000</v>
      </c>
      <c r="K45" t="s">
        <v>24</v>
      </c>
      <c r="L45" t="s">
        <v>24</v>
      </c>
      <c r="M45" t="b">
        <v>0</v>
      </c>
      <c r="N45">
        <v>1.3</v>
      </c>
      <c r="O45" t="b">
        <v>1</v>
      </c>
      <c r="P45">
        <v>3</v>
      </c>
      <c r="Q45">
        <v>14</v>
      </c>
      <c r="R45">
        <v>84.893600463867188</v>
      </c>
      <c r="S45" t="s">
        <v>24</v>
      </c>
      <c r="T45" t="s">
        <v>24</v>
      </c>
      <c r="U45" t="s">
        <v>24</v>
      </c>
      <c r="V45" t="s">
        <v>29</v>
      </c>
    </row>
    <row r="46" spans="1:22">
      <c r="A46" t="s">
        <v>82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>
        <v>21.222753524780273</v>
      </c>
      <c r="H46">
        <v>21.288974761962891</v>
      </c>
      <c r="I46">
        <v>9.3649625778198242E-2</v>
      </c>
      <c r="J46">
        <v>50000</v>
      </c>
      <c r="K46" t="s">
        <v>24</v>
      </c>
      <c r="L46" t="s">
        <v>24</v>
      </c>
      <c r="M46" t="b">
        <v>0</v>
      </c>
      <c r="N46">
        <v>1.3</v>
      </c>
      <c r="O46" t="b">
        <v>1</v>
      </c>
      <c r="P46">
        <v>3</v>
      </c>
      <c r="Q46">
        <v>14</v>
      </c>
      <c r="R46">
        <v>84.893600463867188</v>
      </c>
      <c r="S46" t="s">
        <v>24</v>
      </c>
      <c r="T46" t="s">
        <v>24</v>
      </c>
      <c r="U46" t="s">
        <v>24</v>
      </c>
      <c r="V46" t="s">
        <v>29</v>
      </c>
    </row>
    <row r="47" spans="1:22">
      <c r="A47" t="s">
        <v>83</v>
      </c>
      <c r="B47" t="s">
        <v>84</v>
      </c>
      <c r="C47" t="s">
        <v>25</v>
      </c>
      <c r="D47" t="s">
        <v>33</v>
      </c>
      <c r="E47" t="s">
        <v>27</v>
      </c>
      <c r="F47" t="s">
        <v>28</v>
      </c>
      <c r="G47">
        <v>8.1604061126708984</v>
      </c>
      <c r="H47">
        <v>8.1146011352539062</v>
      </c>
      <c r="I47">
        <v>6.4777344465255737E-2</v>
      </c>
      <c r="J47">
        <v>129394944</v>
      </c>
      <c r="K47">
        <v>133050656</v>
      </c>
      <c r="L47">
        <v>5169957.5</v>
      </c>
      <c r="M47" t="b">
        <v>0</v>
      </c>
      <c r="N47">
        <v>1.3</v>
      </c>
      <c r="O47" t="b">
        <v>1</v>
      </c>
      <c r="P47">
        <v>1</v>
      </c>
      <c r="Q47">
        <v>2</v>
      </c>
      <c r="R47">
        <v>85.276847839355469</v>
      </c>
      <c r="S47" t="s">
        <v>24</v>
      </c>
      <c r="T47" t="s">
        <v>24</v>
      </c>
      <c r="U47" t="s">
        <v>24</v>
      </c>
      <c r="V47" t="s">
        <v>29</v>
      </c>
    </row>
    <row r="48" spans="1:22">
      <c r="A48" t="s">
        <v>85</v>
      </c>
      <c r="B48" t="s">
        <v>84</v>
      </c>
      <c r="C48" t="s">
        <v>25</v>
      </c>
      <c r="D48" t="s">
        <v>33</v>
      </c>
      <c r="E48" t="s">
        <v>27</v>
      </c>
      <c r="F48" t="s">
        <v>28</v>
      </c>
      <c r="G48">
        <v>8.0687971115112305</v>
      </c>
      <c r="H48">
        <v>8.1146011352539062</v>
      </c>
      <c r="I48">
        <v>6.4777344465255737E-2</v>
      </c>
      <c r="J48">
        <v>136706368</v>
      </c>
      <c r="K48">
        <v>133050656</v>
      </c>
      <c r="L48">
        <v>5169957.5</v>
      </c>
      <c r="M48" t="b">
        <v>0</v>
      </c>
      <c r="N48">
        <v>1.3</v>
      </c>
      <c r="O48" t="b">
        <v>1</v>
      </c>
      <c r="P48">
        <v>1</v>
      </c>
      <c r="Q48">
        <v>2</v>
      </c>
      <c r="R48">
        <v>85.276847839355469</v>
      </c>
      <c r="S48" t="s">
        <v>24</v>
      </c>
      <c r="T48" t="s">
        <v>24</v>
      </c>
      <c r="U48" t="s">
        <v>24</v>
      </c>
      <c r="V48" t="s">
        <v>29</v>
      </c>
    </row>
    <row r="49" spans="1:22">
      <c r="A49" t="s">
        <v>86</v>
      </c>
      <c r="B49" t="s">
        <v>87</v>
      </c>
      <c r="C49" t="s">
        <v>25</v>
      </c>
      <c r="D49" t="s">
        <v>33</v>
      </c>
      <c r="E49" t="s">
        <v>27</v>
      </c>
      <c r="F49" t="s">
        <v>28</v>
      </c>
      <c r="G49">
        <v>9.2521400451660156</v>
      </c>
      <c r="H49">
        <v>9.1500663757324219</v>
      </c>
      <c r="I49">
        <v>0.14435330033302307</v>
      </c>
      <c r="J49">
        <v>67209984</v>
      </c>
      <c r="K49">
        <v>71588944</v>
      </c>
      <c r="L49">
        <v>6192790.5</v>
      </c>
      <c r="M49" t="b">
        <v>0</v>
      </c>
      <c r="N49">
        <v>1.3</v>
      </c>
      <c r="O49" t="b">
        <v>1</v>
      </c>
      <c r="P49">
        <v>1</v>
      </c>
      <c r="Q49">
        <v>2</v>
      </c>
      <c r="R49">
        <v>85.085220336914062</v>
      </c>
      <c r="S49" t="s">
        <v>24</v>
      </c>
      <c r="T49" t="s">
        <v>24</v>
      </c>
      <c r="U49" t="s">
        <v>24</v>
      </c>
      <c r="V49" t="s">
        <v>29</v>
      </c>
    </row>
    <row r="50" spans="1:22">
      <c r="A50" t="s">
        <v>88</v>
      </c>
      <c r="B50" t="s">
        <v>87</v>
      </c>
      <c r="C50" t="s">
        <v>25</v>
      </c>
      <c r="D50" t="s">
        <v>33</v>
      </c>
      <c r="E50" t="s">
        <v>27</v>
      </c>
      <c r="F50" t="s">
        <v>28</v>
      </c>
      <c r="G50">
        <v>9.0479936599731445</v>
      </c>
      <c r="H50">
        <v>9.1500663757324219</v>
      </c>
      <c r="I50">
        <v>0.14435330033302307</v>
      </c>
      <c r="J50">
        <v>75967912</v>
      </c>
      <c r="K50">
        <v>71588944</v>
      </c>
      <c r="L50">
        <v>6192790.5</v>
      </c>
      <c r="M50" t="b">
        <v>0</v>
      </c>
      <c r="N50">
        <v>1.3</v>
      </c>
      <c r="O50" t="b">
        <v>1</v>
      </c>
      <c r="P50">
        <v>1</v>
      </c>
      <c r="Q50">
        <v>2</v>
      </c>
      <c r="R50">
        <v>85.085220336914062</v>
      </c>
      <c r="S50" t="s">
        <v>24</v>
      </c>
      <c r="T50" t="s">
        <v>24</v>
      </c>
      <c r="U50" t="s">
        <v>24</v>
      </c>
      <c r="V50" t="s">
        <v>29</v>
      </c>
    </row>
    <row r="51" spans="1:22">
      <c r="A51" t="s">
        <v>89</v>
      </c>
      <c r="B51" t="s">
        <v>90</v>
      </c>
      <c r="C51" t="s">
        <v>25</v>
      </c>
      <c r="D51" t="s">
        <v>33</v>
      </c>
      <c r="E51" t="s">
        <v>27</v>
      </c>
      <c r="F51" t="s">
        <v>28</v>
      </c>
      <c r="G51">
        <v>10.610983848571777</v>
      </c>
      <c r="H51">
        <v>10.836593627929688</v>
      </c>
      <c r="I51">
        <v>0.31905972957611084</v>
      </c>
      <c r="J51">
        <v>29740408</v>
      </c>
      <c r="K51">
        <v>26213484</v>
      </c>
      <c r="L51">
        <v>4987825</v>
      </c>
      <c r="M51" t="b">
        <v>0</v>
      </c>
      <c r="N51">
        <v>1.3</v>
      </c>
      <c r="O51" t="b">
        <v>1</v>
      </c>
      <c r="P51">
        <v>3</v>
      </c>
      <c r="Q51">
        <v>4</v>
      </c>
      <c r="R51">
        <v>85.085220336914062</v>
      </c>
      <c r="S51" t="s">
        <v>24</v>
      </c>
      <c r="T51" t="s">
        <v>24</v>
      </c>
      <c r="U51" t="s">
        <v>24</v>
      </c>
      <c r="V51" t="s">
        <v>29</v>
      </c>
    </row>
    <row r="52" spans="1:22">
      <c r="A52" t="s">
        <v>91</v>
      </c>
      <c r="B52" t="s">
        <v>90</v>
      </c>
      <c r="C52" t="s">
        <v>25</v>
      </c>
      <c r="D52" t="s">
        <v>33</v>
      </c>
      <c r="E52" t="s">
        <v>27</v>
      </c>
      <c r="F52" t="s">
        <v>28</v>
      </c>
      <c r="G52">
        <v>11.062202453613281</v>
      </c>
      <c r="H52">
        <v>10.836593627929688</v>
      </c>
      <c r="I52">
        <v>0.31905972957611084</v>
      </c>
      <c r="J52">
        <v>22686558</v>
      </c>
      <c r="K52">
        <v>26213484</v>
      </c>
      <c r="L52">
        <v>4987825</v>
      </c>
      <c r="M52" t="b">
        <v>0</v>
      </c>
      <c r="N52">
        <v>1.3</v>
      </c>
      <c r="O52" t="b">
        <v>1</v>
      </c>
      <c r="P52">
        <v>3</v>
      </c>
      <c r="Q52">
        <v>5</v>
      </c>
      <c r="R52">
        <v>84.701972961425781</v>
      </c>
      <c r="S52" t="s">
        <v>24</v>
      </c>
      <c r="T52" t="s">
        <v>24</v>
      </c>
      <c r="U52" t="s">
        <v>24</v>
      </c>
      <c r="V52" t="s">
        <v>29</v>
      </c>
    </row>
    <row r="53" spans="1:22">
      <c r="A53" t="s">
        <v>92</v>
      </c>
      <c r="B53" t="s">
        <v>93</v>
      </c>
      <c r="C53" t="s">
        <v>25</v>
      </c>
      <c r="D53" t="s">
        <v>33</v>
      </c>
      <c r="E53" t="s">
        <v>27</v>
      </c>
      <c r="F53" t="s">
        <v>28</v>
      </c>
      <c r="G53">
        <v>10.170370101928711</v>
      </c>
      <c r="H53">
        <v>10.108530044555664</v>
      </c>
      <c r="I53">
        <v>8.7455049157142639E-2</v>
      </c>
      <c r="J53">
        <v>38740200</v>
      </c>
      <c r="K53">
        <v>40232312</v>
      </c>
      <c r="L53">
        <v>2110165</v>
      </c>
      <c r="M53" t="b">
        <v>0</v>
      </c>
      <c r="N53">
        <v>1.3</v>
      </c>
      <c r="O53" t="b">
        <v>1</v>
      </c>
      <c r="P53">
        <v>1</v>
      </c>
      <c r="Q53">
        <v>3</v>
      </c>
      <c r="R53">
        <v>84.510345458984375</v>
      </c>
      <c r="S53" t="s">
        <v>24</v>
      </c>
      <c r="T53" t="s">
        <v>24</v>
      </c>
      <c r="U53" t="s">
        <v>24</v>
      </c>
      <c r="V53" t="s">
        <v>29</v>
      </c>
    </row>
    <row r="54" spans="1:22">
      <c r="A54" t="s">
        <v>94</v>
      </c>
      <c r="B54" t="s">
        <v>93</v>
      </c>
      <c r="C54" t="s">
        <v>25</v>
      </c>
      <c r="D54" t="s">
        <v>33</v>
      </c>
      <c r="E54" t="s">
        <v>27</v>
      </c>
      <c r="F54" t="s">
        <v>28</v>
      </c>
      <c r="G54">
        <v>10.046689987182617</v>
      </c>
      <c r="H54">
        <v>10.108530044555664</v>
      </c>
      <c r="I54">
        <v>8.7455049157142639E-2</v>
      </c>
      <c r="J54">
        <v>41724424</v>
      </c>
      <c r="K54">
        <v>40232312</v>
      </c>
      <c r="L54">
        <v>2110165</v>
      </c>
      <c r="M54" t="b">
        <v>0</v>
      </c>
      <c r="N54">
        <v>1.3</v>
      </c>
      <c r="O54" t="b">
        <v>1</v>
      </c>
      <c r="P54">
        <v>3</v>
      </c>
      <c r="Q54">
        <v>4</v>
      </c>
      <c r="R54">
        <v>84.510345458984375</v>
      </c>
      <c r="S54" t="s">
        <v>24</v>
      </c>
      <c r="T54" t="s">
        <v>24</v>
      </c>
      <c r="U54" t="s">
        <v>24</v>
      </c>
      <c r="V54" t="s">
        <v>29</v>
      </c>
    </row>
    <row r="55" spans="1:22">
      <c r="A55" t="s">
        <v>95</v>
      </c>
      <c r="B55" t="s">
        <v>96</v>
      </c>
      <c r="C55" t="s">
        <v>25</v>
      </c>
      <c r="D55" t="s">
        <v>33</v>
      </c>
      <c r="E55" t="s">
        <v>27</v>
      </c>
      <c r="F55" t="s">
        <v>28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b">
        <v>0</v>
      </c>
      <c r="N55">
        <v>1.3</v>
      </c>
      <c r="O55" t="b">
        <v>1</v>
      </c>
      <c r="P55">
        <v>3</v>
      </c>
      <c r="Q55">
        <v>33</v>
      </c>
      <c r="R55" t="s">
        <v>24</v>
      </c>
      <c r="S55" t="s">
        <v>24</v>
      </c>
      <c r="T55" t="s">
        <v>24</v>
      </c>
      <c r="U55" t="s">
        <v>24</v>
      </c>
      <c r="V55" t="s">
        <v>29</v>
      </c>
    </row>
    <row r="56" spans="1:22">
      <c r="A56" t="s">
        <v>97</v>
      </c>
      <c r="B56" t="s">
        <v>96</v>
      </c>
      <c r="C56" t="s">
        <v>25</v>
      </c>
      <c r="D56" t="s">
        <v>33</v>
      </c>
      <c r="E56" t="s">
        <v>27</v>
      </c>
      <c r="F56" t="s">
        <v>28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b">
        <v>0</v>
      </c>
      <c r="N56">
        <v>1.3</v>
      </c>
      <c r="O56" t="b">
        <v>1</v>
      </c>
      <c r="P56">
        <v>3</v>
      </c>
      <c r="Q56">
        <v>49</v>
      </c>
      <c r="R56" t="s">
        <v>24</v>
      </c>
      <c r="S56" t="s">
        <v>24</v>
      </c>
      <c r="T56" t="s">
        <v>24</v>
      </c>
      <c r="U56" t="s">
        <v>24</v>
      </c>
      <c r="V56" t="s">
        <v>29</v>
      </c>
    </row>
    <row r="57" spans="1:22">
      <c r="A57" t="s">
        <v>98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>
        <v>25.283233642578125</v>
      </c>
      <c r="H57">
        <v>25.188648223876953</v>
      </c>
      <c r="I57">
        <v>0.13376262784004211</v>
      </c>
      <c r="J57">
        <v>5000</v>
      </c>
      <c r="K57" t="s">
        <v>24</v>
      </c>
      <c r="L57" t="s">
        <v>24</v>
      </c>
      <c r="M57" t="b">
        <v>0</v>
      </c>
      <c r="N57">
        <v>1.3</v>
      </c>
      <c r="O57" t="b">
        <v>1</v>
      </c>
      <c r="P57">
        <v>3</v>
      </c>
      <c r="Q57">
        <v>19</v>
      </c>
      <c r="R57">
        <v>84.893600463867188</v>
      </c>
      <c r="S57" t="s">
        <v>24</v>
      </c>
      <c r="T57" t="s">
        <v>24</v>
      </c>
      <c r="U57" t="s">
        <v>24</v>
      </c>
      <c r="V57" t="s">
        <v>29</v>
      </c>
    </row>
    <row r="58" spans="1:22">
      <c r="A58" t="s">
        <v>99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>
        <v>25.094064712524414</v>
      </c>
      <c r="H58">
        <v>25.188648223876953</v>
      </c>
      <c r="I58">
        <v>0.13376262784004211</v>
      </c>
      <c r="J58">
        <v>5000</v>
      </c>
      <c r="K58" t="s">
        <v>24</v>
      </c>
      <c r="L58" t="s">
        <v>24</v>
      </c>
      <c r="M58" t="b">
        <v>0</v>
      </c>
      <c r="N58">
        <v>1.3</v>
      </c>
      <c r="O58" t="b">
        <v>1</v>
      </c>
      <c r="P58">
        <v>3</v>
      </c>
      <c r="Q58">
        <v>16</v>
      </c>
      <c r="R58">
        <v>84.893600463867188</v>
      </c>
      <c r="S58" t="s">
        <v>24</v>
      </c>
      <c r="T58" t="s">
        <v>24</v>
      </c>
      <c r="U58" t="s">
        <v>24</v>
      </c>
      <c r="V58" t="s">
        <v>29</v>
      </c>
    </row>
    <row r="59" spans="1:22">
      <c r="A59" t="s">
        <v>100</v>
      </c>
      <c r="B59" t="s">
        <v>101</v>
      </c>
      <c r="C59" t="s">
        <v>25</v>
      </c>
      <c r="D59" t="s">
        <v>33</v>
      </c>
      <c r="E59" t="s">
        <v>27</v>
      </c>
      <c r="F59" t="s">
        <v>28</v>
      </c>
      <c r="G59">
        <v>9.2959966659545898</v>
      </c>
      <c r="H59">
        <v>9.3344516754150391</v>
      </c>
      <c r="I59">
        <v>5.4382920265197754E-2</v>
      </c>
      <c r="J59">
        <v>65464472</v>
      </c>
      <c r="K59">
        <v>63988332</v>
      </c>
      <c r="L59">
        <v>2087577.25</v>
      </c>
      <c r="M59" t="b">
        <v>0</v>
      </c>
      <c r="N59">
        <v>1.3</v>
      </c>
      <c r="O59" t="b">
        <v>1</v>
      </c>
      <c r="P59">
        <v>1</v>
      </c>
      <c r="Q59">
        <v>2</v>
      </c>
      <c r="R59">
        <v>85.085220336914062</v>
      </c>
      <c r="S59" t="s">
        <v>24</v>
      </c>
      <c r="T59" t="s">
        <v>24</v>
      </c>
      <c r="U59" t="s">
        <v>24</v>
      </c>
      <c r="V59" t="s">
        <v>29</v>
      </c>
    </row>
    <row r="60" spans="1:22">
      <c r="A60" t="s">
        <v>102</v>
      </c>
      <c r="B60" t="s">
        <v>101</v>
      </c>
      <c r="C60" t="s">
        <v>25</v>
      </c>
      <c r="D60" t="s">
        <v>33</v>
      </c>
      <c r="E60" t="s">
        <v>27</v>
      </c>
      <c r="F60" t="s">
        <v>28</v>
      </c>
      <c r="G60">
        <v>9.3729057312011719</v>
      </c>
      <c r="H60">
        <v>9.3344516754150391</v>
      </c>
      <c r="I60">
        <v>5.4382920265197754E-2</v>
      </c>
      <c r="J60">
        <v>62512192</v>
      </c>
      <c r="K60">
        <v>63988332</v>
      </c>
      <c r="L60">
        <v>2087577.25</v>
      </c>
      <c r="M60" t="b">
        <v>0</v>
      </c>
      <c r="N60">
        <v>1.3</v>
      </c>
      <c r="O60" t="b">
        <v>1</v>
      </c>
      <c r="P60">
        <v>1</v>
      </c>
      <c r="Q60">
        <v>2</v>
      </c>
      <c r="R60">
        <v>85.085220336914062</v>
      </c>
      <c r="S60" t="s">
        <v>24</v>
      </c>
      <c r="T60" t="s">
        <v>24</v>
      </c>
      <c r="U60" t="s">
        <v>24</v>
      </c>
      <c r="V60" t="s">
        <v>29</v>
      </c>
    </row>
    <row r="61" spans="1:22">
      <c r="A61" t="s">
        <v>103</v>
      </c>
      <c r="B61" t="s">
        <v>104</v>
      </c>
      <c r="C61" t="s">
        <v>25</v>
      </c>
      <c r="D61" t="s">
        <v>33</v>
      </c>
      <c r="E61" t="s">
        <v>27</v>
      </c>
      <c r="F61" t="s">
        <v>28</v>
      </c>
      <c r="G61">
        <v>8.670842170715332</v>
      </c>
      <c r="H61">
        <v>8.65814208984375</v>
      </c>
      <c r="I61">
        <v>1.7960626631975174E-2</v>
      </c>
      <c r="J61">
        <v>95259464</v>
      </c>
      <c r="K61">
        <v>95990912</v>
      </c>
      <c r="L61">
        <v>1034423.6875</v>
      </c>
      <c r="M61" t="b">
        <v>0</v>
      </c>
      <c r="N61">
        <v>1.3</v>
      </c>
      <c r="O61" t="b">
        <v>1</v>
      </c>
      <c r="P61">
        <v>1</v>
      </c>
      <c r="Q61">
        <v>2</v>
      </c>
      <c r="R61">
        <v>85.085220336914062</v>
      </c>
      <c r="S61" t="s">
        <v>24</v>
      </c>
      <c r="T61" t="s">
        <v>24</v>
      </c>
      <c r="U61" t="s">
        <v>24</v>
      </c>
      <c r="V61" t="s">
        <v>29</v>
      </c>
    </row>
    <row r="62" spans="1:22">
      <c r="A62" t="s">
        <v>105</v>
      </c>
      <c r="B62" t="s">
        <v>104</v>
      </c>
      <c r="C62" t="s">
        <v>25</v>
      </c>
      <c r="D62" t="s">
        <v>33</v>
      </c>
      <c r="E62" t="s">
        <v>27</v>
      </c>
      <c r="F62" t="s">
        <v>28</v>
      </c>
      <c r="G62">
        <v>8.645442008972168</v>
      </c>
      <c r="H62">
        <v>8.65814208984375</v>
      </c>
      <c r="I62">
        <v>1.7960626631975174E-2</v>
      </c>
      <c r="J62">
        <v>96722360</v>
      </c>
      <c r="K62">
        <v>95990912</v>
      </c>
      <c r="L62">
        <v>1034423.6875</v>
      </c>
      <c r="M62" t="b">
        <v>0</v>
      </c>
      <c r="N62">
        <v>1.3</v>
      </c>
      <c r="O62" t="b">
        <v>1</v>
      </c>
      <c r="P62">
        <v>1</v>
      </c>
      <c r="Q62">
        <v>2</v>
      </c>
      <c r="R62">
        <v>85.085220336914062</v>
      </c>
      <c r="S62" t="s">
        <v>24</v>
      </c>
      <c r="T62" t="s">
        <v>24</v>
      </c>
      <c r="U62" t="s">
        <v>24</v>
      </c>
      <c r="V62" t="s">
        <v>29</v>
      </c>
    </row>
    <row r="63" spans="1:22">
      <c r="A63" t="s">
        <v>106</v>
      </c>
      <c r="B63" t="s">
        <v>107</v>
      </c>
      <c r="C63" t="s">
        <v>25</v>
      </c>
      <c r="D63" t="s">
        <v>33</v>
      </c>
      <c r="E63" t="s">
        <v>27</v>
      </c>
      <c r="F63" t="s">
        <v>28</v>
      </c>
      <c r="G63">
        <v>8.5367794036865234</v>
      </c>
      <c r="H63">
        <v>8.5934944152832031</v>
      </c>
      <c r="I63">
        <v>8.0207139253616333E-2</v>
      </c>
      <c r="J63">
        <v>103238608</v>
      </c>
      <c r="K63">
        <v>99842344</v>
      </c>
      <c r="L63">
        <v>4803042.5</v>
      </c>
      <c r="M63" t="b">
        <v>0</v>
      </c>
      <c r="N63">
        <v>1.3</v>
      </c>
      <c r="O63" t="b">
        <v>1</v>
      </c>
      <c r="P63">
        <v>1</v>
      </c>
      <c r="Q63">
        <v>2</v>
      </c>
      <c r="R63">
        <v>85.085220336914062</v>
      </c>
      <c r="S63" t="s">
        <v>24</v>
      </c>
      <c r="T63" t="s">
        <v>24</v>
      </c>
      <c r="U63" t="s">
        <v>24</v>
      </c>
      <c r="V63" t="s">
        <v>29</v>
      </c>
    </row>
    <row r="64" spans="1:22">
      <c r="A64" t="s">
        <v>108</v>
      </c>
      <c r="B64" t="s">
        <v>107</v>
      </c>
      <c r="C64" t="s">
        <v>25</v>
      </c>
      <c r="D64" t="s">
        <v>33</v>
      </c>
      <c r="E64" t="s">
        <v>27</v>
      </c>
      <c r="F64" t="s">
        <v>28</v>
      </c>
      <c r="G64">
        <v>8.6502094268798828</v>
      </c>
      <c r="H64">
        <v>8.5934944152832031</v>
      </c>
      <c r="I64">
        <v>8.0207139253616333E-2</v>
      </c>
      <c r="J64">
        <v>96446080</v>
      </c>
      <c r="K64">
        <v>99842344</v>
      </c>
      <c r="L64">
        <v>4803042.5</v>
      </c>
      <c r="M64" t="b">
        <v>0</v>
      </c>
      <c r="N64">
        <v>1.3</v>
      </c>
      <c r="O64" t="b">
        <v>1</v>
      </c>
      <c r="P64">
        <v>1</v>
      </c>
      <c r="Q64">
        <v>2</v>
      </c>
      <c r="R64">
        <v>85.085220336914062</v>
      </c>
      <c r="S64" t="s">
        <v>24</v>
      </c>
      <c r="T64" t="s">
        <v>24</v>
      </c>
      <c r="U64" t="s">
        <v>24</v>
      </c>
      <c r="V64" t="s">
        <v>29</v>
      </c>
    </row>
    <row r="65" spans="1:22">
      <c r="A65" t="s">
        <v>109</v>
      </c>
      <c r="B65" t="s">
        <v>110</v>
      </c>
      <c r="C65" t="s">
        <v>25</v>
      </c>
      <c r="D65" t="s">
        <v>33</v>
      </c>
      <c r="E65" t="s">
        <v>27</v>
      </c>
      <c r="F65" t="s">
        <v>28</v>
      </c>
      <c r="G65">
        <v>7.8456587791442871</v>
      </c>
      <c r="H65">
        <v>7.8578367233276367</v>
      </c>
      <c r="I65">
        <v>1.7221877351403236E-2</v>
      </c>
      <c r="J65">
        <v>156291024</v>
      </c>
      <c r="K65">
        <v>155157344</v>
      </c>
      <c r="L65">
        <v>1603254.375</v>
      </c>
      <c r="M65" t="b">
        <v>0</v>
      </c>
      <c r="N65">
        <v>1.3</v>
      </c>
      <c r="O65" t="b">
        <v>1</v>
      </c>
      <c r="P65">
        <v>1</v>
      </c>
      <c r="Q65">
        <v>2</v>
      </c>
      <c r="R65">
        <v>84.510345458984375</v>
      </c>
      <c r="S65" t="s">
        <v>24</v>
      </c>
      <c r="T65" t="s">
        <v>24</v>
      </c>
      <c r="U65" t="s">
        <v>24</v>
      </c>
      <c r="V65" t="s">
        <v>29</v>
      </c>
    </row>
    <row r="66" spans="1:22">
      <c r="A66" t="s">
        <v>111</v>
      </c>
      <c r="B66" t="s">
        <v>110</v>
      </c>
      <c r="C66" t="s">
        <v>25</v>
      </c>
      <c r="D66" t="s">
        <v>33</v>
      </c>
      <c r="E66" t="s">
        <v>27</v>
      </c>
      <c r="F66" t="s">
        <v>28</v>
      </c>
      <c r="G66">
        <v>7.8700141906738281</v>
      </c>
      <c r="H66">
        <v>7.8578367233276367</v>
      </c>
      <c r="I66">
        <v>1.7221877351403236E-2</v>
      </c>
      <c r="J66">
        <v>154023680</v>
      </c>
      <c r="K66">
        <v>155157344</v>
      </c>
      <c r="L66">
        <v>1603254.375</v>
      </c>
      <c r="M66" t="b">
        <v>0</v>
      </c>
      <c r="N66">
        <v>1.3</v>
      </c>
      <c r="O66" t="b">
        <v>1</v>
      </c>
      <c r="P66">
        <v>1</v>
      </c>
      <c r="Q66">
        <v>2</v>
      </c>
      <c r="R66">
        <v>84.510345458984375</v>
      </c>
      <c r="S66" t="s">
        <v>24</v>
      </c>
      <c r="T66" t="s">
        <v>24</v>
      </c>
      <c r="U66" t="s">
        <v>24</v>
      </c>
      <c r="V66" t="s">
        <v>29</v>
      </c>
    </row>
    <row r="67" spans="1:22">
      <c r="A67" t="s">
        <v>112</v>
      </c>
      <c r="B67" t="s">
        <v>113</v>
      </c>
      <c r="C67" t="s">
        <v>25</v>
      </c>
      <c r="D67" t="s">
        <v>33</v>
      </c>
      <c r="E67" t="s">
        <v>27</v>
      </c>
      <c r="F67" t="s">
        <v>28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b">
        <v>0</v>
      </c>
      <c r="N67">
        <v>1.3</v>
      </c>
      <c r="O67" t="b">
        <v>1</v>
      </c>
      <c r="P67">
        <v>3</v>
      </c>
      <c r="Q67">
        <v>27</v>
      </c>
      <c r="R67" t="s">
        <v>24</v>
      </c>
      <c r="S67" t="s">
        <v>24</v>
      </c>
      <c r="T67" t="s">
        <v>24</v>
      </c>
      <c r="U67" t="s">
        <v>24</v>
      </c>
      <c r="V67" t="s">
        <v>29</v>
      </c>
    </row>
    <row r="68" spans="1:22">
      <c r="A68" t="s">
        <v>115</v>
      </c>
      <c r="B68" t="s">
        <v>113</v>
      </c>
      <c r="C68" t="s">
        <v>25</v>
      </c>
      <c r="D68" t="s">
        <v>33</v>
      </c>
      <c r="E68" t="s">
        <v>27</v>
      </c>
      <c r="F68" t="s">
        <v>28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b">
        <v>0</v>
      </c>
      <c r="N68">
        <v>1.3</v>
      </c>
      <c r="O68" t="b">
        <v>1</v>
      </c>
      <c r="P68">
        <v>3</v>
      </c>
      <c r="Q68">
        <v>37</v>
      </c>
      <c r="R68" t="s">
        <v>24</v>
      </c>
      <c r="S68" t="s">
        <v>24</v>
      </c>
      <c r="T68" t="s">
        <v>24</v>
      </c>
      <c r="U68" t="s">
        <v>24</v>
      </c>
      <c r="V68" t="s">
        <v>29</v>
      </c>
    </row>
    <row r="69" spans="1:22">
      <c r="A69" t="s">
        <v>116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>
        <v>29.002433776855469</v>
      </c>
      <c r="H69">
        <v>28.869152069091797</v>
      </c>
      <c r="I69">
        <v>0.18849015235900879</v>
      </c>
      <c r="J69">
        <v>500</v>
      </c>
      <c r="K69" t="s">
        <v>24</v>
      </c>
      <c r="L69" t="s">
        <v>24</v>
      </c>
      <c r="M69" t="b">
        <v>0</v>
      </c>
      <c r="N69">
        <v>1.3</v>
      </c>
      <c r="O69" t="b">
        <v>1</v>
      </c>
      <c r="P69">
        <v>3</v>
      </c>
      <c r="Q69">
        <v>21</v>
      </c>
      <c r="R69">
        <v>84.701972961425781</v>
      </c>
      <c r="S69" t="s">
        <v>24</v>
      </c>
      <c r="T69" t="s">
        <v>24</v>
      </c>
      <c r="U69" t="s">
        <v>24</v>
      </c>
      <c r="V69" t="s">
        <v>29</v>
      </c>
    </row>
    <row r="70" spans="1:22">
      <c r="A70" t="s">
        <v>117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>
        <v>28.735868453979492</v>
      </c>
      <c r="H70">
        <v>28.869152069091797</v>
      </c>
      <c r="I70">
        <v>0.18849015235900879</v>
      </c>
      <c r="J70">
        <v>500</v>
      </c>
      <c r="K70" t="s">
        <v>24</v>
      </c>
      <c r="L70" t="s">
        <v>24</v>
      </c>
      <c r="M70" t="b">
        <v>0</v>
      </c>
      <c r="N70">
        <v>1.3</v>
      </c>
      <c r="O70" t="b">
        <v>1</v>
      </c>
      <c r="P70">
        <v>3</v>
      </c>
      <c r="Q70">
        <v>21</v>
      </c>
      <c r="R70">
        <v>84.893600463867188</v>
      </c>
      <c r="S70" t="s">
        <v>24</v>
      </c>
      <c r="T70" t="s">
        <v>24</v>
      </c>
      <c r="U70" t="s">
        <v>24</v>
      </c>
      <c r="V70" t="s">
        <v>29</v>
      </c>
    </row>
    <row r="71" spans="1:22">
      <c r="A71" t="s">
        <v>118</v>
      </c>
      <c r="B71" t="s">
        <v>119</v>
      </c>
      <c r="C71" t="s">
        <v>25</v>
      </c>
      <c r="D71" t="s">
        <v>33</v>
      </c>
      <c r="E71" t="s">
        <v>27</v>
      </c>
      <c r="F71" t="s">
        <v>28</v>
      </c>
      <c r="G71">
        <v>10.510616302490234</v>
      </c>
      <c r="H71">
        <v>10.444860458374023</v>
      </c>
      <c r="I71">
        <v>9.2993482947349548E-2</v>
      </c>
      <c r="J71">
        <v>31586438</v>
      </c>
      <c r="K71">
        <v>32883144</v>
      </c>
      <c r="L71">
        <v>1833820.625</v>
      </c>
      <c r="M71" t="b">
        <v>0</v>
      </c>
      <c r="N71">
        <v>1.3</v>
      </c>
      <c r="O71" t="b">
        <v>1</v>
      </c>
      <c r="P71">
        <v>1</v>
      </c>
      <c r="Q71">
        <v>3</v>
      </c>
      <c r="R71">
        <v>85.276847839355469</v>
      </c>
      <c r="S71" t="s">
        <v>24</v>
      </c>
      <c r="T71" t="s">
        <v>24</v>
      </c>
      <c r="U71" t="s">
        <v>24</v>
      </c>
      <c r="V71" t="s">
        <v>29</v>
      </c>
    </row>
    <row r="72" spans="1:22">
      <c r="A72" t="s">
        <v>120</v>
      </c>
      <c r="B72" t="s">
        <v>119</v>
      </c>
      <c r="C72" t="s">
        <v>25</v>
      </c>
      <c r="D72" t="s">
        <v>33</v>
      </c>
      <c r="E72" t="s">
        <v>27</v>
      </c>
      <c r="F72" t="s">
        <v>28</v>
      </c>
      <c r="G72">
        <v>10.379103660583496</v>
      </c>
      <c r="H72">
        <v>10.444860458374023</v>
      </c>
      <c r="I72">
        <v>9.2993482947349548E-2</v>
      </c>
      <c r="J72">
        <v>34179852</v>
      </c>
      <c r="K72">
        <v>32883144</v>
      </c>
      <c r="L72">
        <v>1833820.625</v>
      </c>
      <c r="M72" t="b">
        <v>0</v>
      </c>
      <c r="N72">
        <v>1.3</v>
      </c>
      <c r="O72" t="b">
        <v>1</v>
      </c>
      <c r="P72">
        <v>3</v>
      </c>
      <c r="Q72">
        <v>4</v>
      </c>
      <c r="R72">
        <v>85.276847839355469</v>
      </c>
      <c r="S72" t="s">
        <v>24</v>
      </c>
      <c r="T72" t="s">
        <v>24</v>
      </c>
      <c r="U72" t="s">
        <v>24</v>
      </c>
      <c r="V72" t="s">
        <v>29</v>
      </c>
    </row>
    <row r="73" spans="1:22">
      <c r="A73" t="s">
        <v>121</v>
      </c>
      <c r="B73" t="s">
        <v>122</v>
      </c>
      <c r="C73" t="s">
        <v>25</v>
      </c>
      <c r="D73" t="s">
        <v>33</v>
      </c>
      <c r="E73" t="s">
        <v>27</v>
      </c>
      <c r="F73" t="s">
        <v>28</v>
      </c>
      <c r="G73">
        <v>8.9322280883789062</v>
      </c>
      <c r="H73">
        <v>8.9392299652099609</v>
      </c>
      <c r="I73">
        <v>9.9028237164020538E-3</v>
      </c>
      <c r="J73">
        <v>81432224</v>
      </c>
      <c r="K73">
        <v>81091520</v>
      </c>
      <c r="L73">
        <v>481822.5625</v>
      </c>
      <c r="M73" t="b">
        <v>0</v>
      </c>
      <c r="N73">
        <v>1.3</v>
      </c>
      <c r="O73" t="b">
        <v>1</v>
      </c>
      <c r="P73">
        <v>1</v>
      </c>
      <c r="Q73">
        <v>2</v>
      </c>
      <c r="R73">
        <v>85.085220336914062</v>
      </c>
      <c r="S73" t="s">
        <v>24</v>
      </c>
      <c r="T73" t="s">
        <v>24</v>
      </c>
      <c r="U73" t="s">
        <v>24</v>
      </c>
      <c r="V73" t="s">
        <v>29</v>
      </c>
    </row>
    <row r="74" spans="1:22">
      <c r="A74" t="s">
        <v>123</v>
      </c>
      <c r="B74" t="s">
        <v>122</v>
      </c>
      <c r="C74" t="s">
        <v>25</v>
      </c>
      <c r="D74" t="s">
        <v>33</v>
      </c>
      <c r="E74" t="s">
        <v>27</v>
      </c>
      <c r="F74" t="s">
        <v>28</v>
      </c>
      <c r="G74">
        <v>8.946232795715332</v>
      </c>
      <c r="H74">
        <v>8.9392299652099609</v>
      </c>
      <c r="I74">
        <v>9.9028237164020538E-3</v>
      </c>
      <c r="J74">
        <v>80750824</v>
      </c>
      <c r="K74">
        <v>81091520</v>
      </c>
      <c r="L74">
        <v>481822.5625</v>
      </c>
      <c r="M74" t="b">
        <v>0</v>
      </c>
      <c r="N74">
        <v>1.3</v>
      </c>
      <c r="O74" t="b">
        <v>1</v>
      </c>
      <c r="P74">
        <v>1</v>
      </c>
      <c r="Q74">
        <v>2</v>
      </c>
      <c r="R74">
        <v>85.085220336914062</v>
      </c>
      <c r="S74" t="s">
        <v>24</v>
      </c>
      <c r="T74" t="s">
        <v>24</v>
      </c>
      <c r="U74" t="s">
        <v>24</v>
      </c>
      <c r="V74" t="s">
        <v>29</v>
      </c>
    </row>
    <row r="75" spans="1:22">
      <c r="A75" t="s">
        <v>124</v>
      </c>
      <c r="B75" t="s">
        <v>125</v>
      </c>
      <c r="C75" t="s">
        <v>25</v>
      </c>
      <c r="D75" t="s">
        <v>33</v>
      </c>
      <c r="E75" t="s">
        <v>27</v>
      </c>
      <c r="F75" t="s">
        <v>28</v>
      </c>
      <c r="G75">
        <v>9.6548442840576172</v>
      </c>
      <c r="H75">
        <v>9.7022581100463867</v>
      </c>
      <c r="I75">
        <v>6.7053273320198059E-2</v>
      </c>
      <c r="J75">
        <v>52783396</v>
      </c>
      <c r="K75">
        <v>51323704</v>
      </c>
      <c r="L75">
        <v>2064319</v>
      </c>
      <c r="M75" t="b">
        <v>0</v>
      </c>
      <c r="N75">
        <v>1.3</v>
      </c>
      <c r="O75" t="b">
        <v>1</v>
      </c>
      <c r="P75">
        <v>1</v>
      </c>
      <c r="Q75">
        <v>2</v>
      </c>
      <c r="R75">
        <v>85.085220336914062</v>
      </c>
      <c r="S75" t="s">
        <v>24</v>
      </c>
      <c r="T75" t="s">
        <v>24</v>
      </c>
      <c r="U75" t="s">
        <v>24</v>
      </c>
      <c r="V75" t="s">
        <v>29</v>
      </c>
    </row>
    <row r="76" spans="1:22">
      <c r="A76" t="s">
        <v>126</v>
      </c>
      <c r="B76" t="s">
        <v>125</v>
      </c>
      <c r="C76" t="s">
        <v>25</v>
      </c>
      <c r="D76" t="s">
        <v>33</v>
      </c>
      <c r="E76" t="s">
        <v>27</v>
      </c>
      <c r="F76" t="s">
        <v>28</v>
      </c>
      <c r="G76">
        <v>9.7496719360351562</v>
      </c>
      <c r="H76">
        <v>9.7022581100463867</v>
      </c>
      <c r="I76">
        <v>6.7053273320198059E-2</v>
      </c>
      <c r="J76">
        <v>49864008</v>
      </c>
      <c r="K76">
        <v>51323704</v>
      </c>
      <c r="L76">
        <v>2064319</v>
      </c>
      <c r="M76" t="b">
        <v>0</v>
      </c>
      <c r="N76">
        <v>1.3</v>
      </c>
      <c r="O76" t="b">
        <v>1</v>
      </c>
      <c r="P76">
        <v>1</v>
      </c>
      <c r="Q76">
        <v>2</v>
      </c>
      <c r="R76">
        <v>85.085220336914062</v>
      </c>
      <c r="S76" t="s">
        <v>24</v>
      </c>
      <c r="T76" t="s">
        <v>24</v>
      </c>
      <c r="U76" t="s">
        <v>24</v>
      </c>
      <c r="V76" t="s">
        <v>29</v>
      </c>
    </row>
    <row r="77" spans="1:22">
      <c r="A77" t="s">
        <v>127</v>
      </c>
      <c r="B77" t="s">
        <v>128</v>
      </c>
      <c r="C77" t="s">
        <v>25</v>
      </c>
      <c r="D77" t="s">
        <v>33</v>
      </c>
      <c r="E77" t="s">
        <v>27</v>
      </c>
      <c r="F77" t="s">
        <v>28</v>
      </c>
      <c r="G77">
        <v>8.084712028503418</v>
      </c>
      <c r="H77">
        <v>8.1775779724121094</v>
      </c>
      <c r="I77">
        <v>0.13133160769939423</v>
      </c>
      <c r="J77">
        <v>135407168</v>
      </c>
      <c r="K77">
        <v>128267504</v>
      </c>
      <c r="L77">
        <v>10097010</v>
      </c>
      <c r="M77" t="b">
        <v>0</v>
      </c>
      <c r="N77">
        <v>1.3</v>
      </c>
      <c r="O77" t="b">
        <v>1</v>
      </c>
      <c r="P77">
        <v>1</v>
      </c>
      <c r="Q77">
        <v>2</v>
      </c>
      <c r="R77">
        <v>84.701972961425781</v>
      </c>
      <c r="S77" t="s">
        <v>24</v>
      </c>
      <c r="T77" t="s">
        <v>24</v>
      </c>
      <c r="U77" t="s">
        <v>24</v>
      </c>
      <c r="V77" t="s">
        <v>29</v>
      </c>
    </row>
    <row r="78" spans="1:22">
      <c r="A78" t="s">
        <v>129</v>
      </c>
      <c r="B78" t="s">
        <v>128</v>
      </c>
      <c r="C78" t="s">
        <v>25</v>
      </c>
      <c r="D78" t="s">
        <v>33</v>
      </c>
      <c r="E78" t="s">
        <v>27</v>
      </c>
      <c r="F78" t="s">
        <v>28</v>
      </c>
      <c r="G78">
        <v>8.2704429626464844</v>
      </c>
      <c r="H78">
        <v>8.1775779724121094</v>
      </c>
      <c r="I78">
        <v>0.13133160769939423</v>
      </c>
      <c r="J78">
        <v>121127840</v>
      </c>
      <c r="K78">
        <v>128267504</v>
      </c>
      <c r="L78">
        <v>10097010</v>
      </c>
      <c r="M78" t="b">
        <v>0</v>
      </c>
      <c r="N78">
        <v>1.3</v>
      </c>
      <c r="O78" t="b">
        <v>1</v>
      </c>
      <c r="P78">
        <v>1</v>
      </c>
      <c r="Q78">
        <v>2</v>
      </c>
      <c r="R78">
        <v>84.701972961425781</v>
      </c>
      <c r="S78" t="s">
        <v>24</v>
      </c>
      <c r="T78" t="s">
        <v>24</v>
      </c>
      <c r="U78" t="s">
        <v>24</v>
      </c>
      <c r="V78" t="s">
        <v>29</v>
      </c>
    </row>
    <row r="79" spans="1:22">
      <c r="A79" t="s">
        <v>130</v>
      </c>
      <c r="B79" t="s">
        <v>131</v>
      </c>
      <c r="C79" t="s">
        <v>25</v>
      </c>
      <c r="D79" t="s">
        <v>33</v>
      </c>
      <c r="E79" t="s">
        <v>27</v>
      </c>
      <c r="F79" t="s">
        <v>28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b">
        <v>0</v>
      </c>
      <c r="N79">
        <v>1.3</v>
      </c>
      <c r="O79" t="b">
        <v>1</v>
      </c>
      <c r="P79">
        <v>3</v>
      </c>
      <c r="Q79">
        <v>48</v>
      </c>
      <c r="R79" t="s">
        <v>24</v>
      </c>
      <c r="S79" t="s">
        <v>24</v>
      </c>
      <c r="T79" t="s">
        <v>24</v>
      </c>
      <c r="U79" t="s">
        <v>24</v>
      </c>
      <c r="V79" t="s">
        <v>29</v>
      </c>
    </row>
    <row r="80" spans="1:22">
      <c r="A80" t="s">
        <v>132</v>
      </c>
      <c r="B80" t="s">
        <v>131</v>
      </c>
      <c r="C80" t="s">
        <v>25</v>
      </c>
      <c r="D80" t="s">
        <v>33</v>
      </c>
      <c r="E80" t="s">
        <v>27</v>
      </c>
      <c r="F80" t="s">
        <v>28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b">
        <v>0</v>
      </c>
      <c r="N80">
        <v>1.3</v>
      </c>
      <c r="O80" t="b">
        <v>1</v>
      </c>
      <c r="P80">
        <v>3</v>
      </c>
      <c r="Q80">
        <v>35</v>
      </c>
      <c r="R80" t="s">
        <v>24</v>
      </c>
      <c r="S80" t="s">
        <v>24</v>
      </c>
      <c r="T80" t="s">
        <v>24</v>
      </c>
      <c r="U80" t="s">
        <v>24</v>
      </c>
      <c r="V80" t="s">
        <v>29</v>
      </c>
    </row>
    <row r="81" spans="1:22">
      <c r="A81" t="s">
        <v>133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b">
        <v>0</v>
      </c>
      <c r="N81">
        <v>1.3</v>
      </c>
      <c r="O81" t="b">
        <v>1</v>
      </c>
      <c r="P81">
        <v>3</v>
      </c>
      <c r="Q81">
        <v>22</v>
      </c>
      <c r="R81" t="s">
        <v>24</v>
      </c>
      <c r="S81" t="s">
        <v>24</v>
      </c>
      <c r="T81" t="s">
        <v>24</v>
      </c>
      <c r="U81" t="s">
        <v>24</v>
      </c>
      <c r="V81" t="s">
        <v>29</v>
      </c>
    </row>
    <row r="82" spans="1:22">
      <c r="A82" t="s">
        <v>134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b">
        <v>0</v>
      </c>
      <c r="N82">
        <v>1.3</v>
      </c>
      <c r="O82" t="b">
        <v>1</v>
      </c>
      <c r="P82">
        <v>3</v>
      </c>
      <c r="Q82">
        <v>23</v>
      </c>
      <c r="R82" t="s">
        <v>24</v>
      </c>
      <c r="S82" t="s">
        <v>24</v>
      </c>
      <c r="T82" t="s">
        <v>24</v>
      </c>
      <c r="U82" t="s">
        <v>24</v>
      </c>
      <c r="V82" t="s">
        <v>29</v>
      </c>
    </row>
    <row r="83" spans="1:22">
      <c r="A83" t="s">
        <v>135</v>
      </c>
      <c r="B83" t="s">
        <v>136</v>
      </c>
      <c r="C83" t="s">
        <v>25</v>
      </c>
      <c r="D83" t="s">
        <v>33</v>
      </c>
      <c r="E83" t="s">
        <v>27</v>
      </c>
      <c r="F83" t="s">
        <v>28</v>
      </c>
      <c r="G83">
        <v>10.254474639892578</v>
      </c>
      <c r="H83">
        <v>10.061199188232422</v>
      </c>
      <c r="I83">
        <v>0.27333277463912964</v>
      </c>
      <c r="J83">
        <v>36833748</v>
      </c>
      <c r="K83">
        <v>41641204</v>
      </c>
      <c r="L83">
        <v>6798769.5</v>
      </c>
      <c r="M83" t="b">
        <v>0</v>
      </c>
      <c r="N83">
        <v>1.3</v>
      </c>
      <c r="O83" t="b">
        <v>1</v>
      </c>
      <c r="P83">
        <v>1</v>
      </c>
      <c r="Q83">
        <v>3</v>
      </c>
      <c r="R83">
        <v>85.085220336914062</v>
      </c>
      <c r="S83" t="s">
        <v>24</v>
      </c>
      <c r="T83" t="s">
        <v>24</v>
      </c>
      <c r="U83" t="s">
        <v>24</v>
      </c>
      <c r="V83" t="s">
        <v>29</v>
      </c>
    </row>
    <row r="84" spans="1:22">
      <c r="A84" t="s">
        <v>137</v>
      </c>
      <c r="B84" t="s">
        <v>136</v>
      </c>
      <c r="C84" t="s">
        <v>25</v>
      </c>
      <c r="D84" t="s">
        <v>33</v>
      </c>
      <c r="E84" t="s">
        <v>27</v>
      </c>
      <c r="F84" t="s">
        <v>28</v>
      </c>
      <c r="G84">
        <v>9.8679237365722656</v>
      </c>
      <c r="H84">
        <v>10.061199188232422</v>
      </c>
      <c r="I84">
        <v>0.27333277463912964</v>
      </c>
      <c r="J84">
        <v>46448660</v>
      </c>
      <c r="K84">
        <v>41641204</v>
      </c>
      <c r="L84">
        <v>6798769.5</v>
      </c>
      <c r="M84" t="b">
        <v>0</v>
      </c>
      <c r="N84">
        <v>1.3</v>
      </c>
      <c r="O84" t="b">
        <v>1</v>
      </c>
      <c r="P84">
        <v>1</v>
      </c>
      <c r="Q84">
        <v>2</v>
      </c>
      <c r="R84">
        <v>85.085220336914062</v>
      </c>
      <c r="S84" t="s">
        <v>24</v>
      </c>
      <c r="T84" t="s">
        <v>24</v>
      </c>
      <c r="U84" t="s">
        <v>24</v>
      </c>
      <c r="V84" t="s">
        <v>29</v>
      </c>
    </row>
    <row r="85" spans="1:22">
      <c r="A85" t="s">
        <v>138</v>
      </c>
      <c r="B85" t="s">
        <v>139</v>
      </c>
      <c r="C85" t="s">
        <v>25</v>
      </c>
      <c r="D85" t="s">
        <v>33</v>
      </c>
      <c r="E85" t="s">
        <v>27</v>
      </c>
      <c r="F85" t="s">
        <v>28</v>
      </c>
      <c r="G85">
        <v>10.794448852539062</v>
      </c>
      <c r="H85">
        <v>10.772157669067383</v>
      </c>
      <c r="I85">
        <v>3.1524494290351868E-2</v>
      </c>
      <c r="J85">
        <v>26640336</v>
      </c>
      <c r="K85">
        <v>27001456</v>
      </c>
      <c r="L85">
        <v>510699.375</v>
      </c>
      <c r="M85" t="b">
        <v>0</v>
      </c>
      <c r="N85">
        <v>1.3</v>
      </c>
      <c r="O85" t="b">
        <v>1</v>
      </c>
      <c r="P85">
        <v>1</v>
      </c>
      <c r="Q85">
        <v>2</v>
      </c>
      <c r="R85">
        <v>85.085220336914062</v>
      </c>
      <c r="S85" t="s">
        <v>24</v>
      </c>
      <c r="T85" t="s">
        <v>24</v>
      </c>
      <c r="U85" t="s">
        <v>24</v>
      </c>
      <c r="V85" t="s">
        <v>29</v>
      </c>
    </row>
    <row r="86" spans="1:22">
      <c r="A86" t="s">
        <v>140</v>
      </c>
      <c r="B86" t="s">
        <v>139</v>
      </c>
      <c r="C86" t="s">
        <v>25</v>
      </c>
      <c r="D86" t="s">
        <v>33</v>
      </c>
      <c r="E86" t="s">
        <v>27</v>
      </c>
      <c r="F86" t="s">
        <v>28</v>
      </c>
      <c r="G86">
        <v>10.749866485595703</v>
      </c>
      <c r="H86">
        <v>10.772157669067383</v>
      </c>
      <c r="I86">
        <v>3.1524494290351868E-2</v>
      </c>
      <c r="J86">
        <v>27362574</v>
      </c>
      <c r="K86">
        <v>27001456</v>
      </c>
      <c r="L86">
        <v>510699.375</v>
      </c>
      <c r="M86" t="b">
        <v>0</v>
      </c>
      <c r="N86">
        <v>1.3</v>
      </c>
      <c r="O86" t="b">
        <v>1</v>
      </c>
      <c r="P86">
        <v>1</v>
      </c>
      <c r="Q86">
        <v>2</v>
      </c>
      <c r="R86">
        <v>85.085220336914062</v>
      </c>
      <c r="S86" t="s">
        <v>24</v>
      </c>
      <c r="T86" t="s">
        <v>24</v>
      </c>
      <c r="U86" t="s">
        <v>24</v>
      </c>
      <c r="V86" t="s">
        <v>29</v>
      </c>
    </row>
    <row r="87" spans="1:22">
      <c r="A87" t="s">
        <v>141</v>
      </c>
      <c r="B87" t="s">
        <v>142</v>
      </c>
      <c r="C87" t="s">
        <v>25</v>
      </c>
      <c r="D87" t="s">
        <v>33</v>
      </c>
      <c r="E87" t="s">
        <v>27</v>
      </c>
      <c r="F87" t="s">
        <v>28</v>
      </c>
      <c r="G87">
        <v>9.2835006713867188</v>
      </c>
      <c r="H87">
        <v>9.3233203887939453</v>
      </c>
      <c r="I87">
        <v>5.6314259767532349E-2</v>
      </c>
      <c r="J87">
        <v>65957148</v>
      </c>
      <c r="K87">
        <v>64418336</v>
      </c>
      <c r="L87">
        <v>2176211.75</v>
      </c>
      <c r="M87" t="b">
        <v>0</v>
      </c>
      <c r="N87">
        <v>1.3</v>
      </c>
      <c r="O87" t="b">
        <v>1</v>
      </c>
      <c r="P87">
        <v>1</v>
      </c>
      <c r="Q87">
        <v>2</v>
      </c>
      <c r="R87">
        <v>85.085220336914062</v>
      </c>
      <c r="S87" t="s">
        <v>24</v>
      </c>
      <c r="T87" t="s">
        <v>24</v>
      </c>
      <c r="U87" t="s">
        <v>24</v>
      </c>
      <c r="V87" t="s">
        <v>29</v>
      </c>
    </row>
    <row r="88" spans="1:22">
      <c r="A88" t="s">
        <v>143</v>
      </c>
      <c r="B88" t="s">
        <v>142</v>
      </c>
      <c r="C88" t="s">
        <v>25</v>
      </c>
      <c r="D88" t="s">
        <v>33</v>
      </c>
      <c r="E88" t="s">
        <v>27</v>
      </c>
      <c r="F88" t="s">
        <v>28</v>
      </c>
      <c r="G88">
        <v>9.3631410598754883</v>
      </c>
      <c r="H88">
        <v>9.3233203887939453</v>
      </c>
      <c r="I88">
        <v>5.6314259767532349E-2</v>
      </c>
      <c r="J88">
        <v>62879520</v>
      </c>
      <c r="K88">
        <v>64418336</v>
      </c>
      <c r="L88">
        <v>2176211.75</v>
      </c>
      <c r="M88" t="b">
        <v>0</v>
      </c>
      <c r="N88">
        <v>1.3</v>
      </c>
      <c r="O88" t="b">
        <v>1</v>
      </c>
      <c r="P88">
        <v>1</v>
      </c>
      <c r="Q88">
        <v>3</v>
      </c>
      <c r="R88">
        <v>85.085220336914062</v>
      </c>
      <c r="S88" t="s">
        <v>24</v>
      </c>
      <c r="T88" t="s">
        <v>24</v>
      </c>
      <c r="U88" t="s">
        <v>24</v>
      </c>
      <c r="V88" t="s">
        <v>29</v>
      </c>
    </row>
    <row r="89" spans="1:22">
      <c r="A89" t="s">
        <v>144</v>
      </c>
      <c r="B89" t="s">
        <v>145</v>
      </c>
      <c r="C89" t="s">
        <v>25</v>
      </c>
      <c r="D89" t="s">
        <v>33</v>
      </c>
      <c r="E89" t="s">
        <v>27</v>
      </c>
      <c r="F89" t="s">
        <v>28</v>
      </c>
      <c r="G89">
        <v>8.6925878524780273</v>
      </c>
      <c r="H89">
        <v>8.3479070663452148</v>
      </c>
      <c r="I89">
        <v>0.48745223879814148</v>
      </c>
      <c r="J89">
        <v>94024632</v>
      </c>
      <c r="K89">
        <v>118108320</v>
      </c>
      <c r="L89">
        <v>34059472</v>
      </c>
      <c r="M89" t="b">
        <v>0</v>
      </c>
      <c r="N89">
        <v>1.3</v>
      </c>
      <c r="O89" t="b">
        <v>1</v>
      </c>
      <c r="P89">
        <v>1</v>
      </c>
      <c r="Q89">
        <v>2</v>
      </c>
      <c r="R89">
        <v>84.893600463867188</v>
      </c>
      <c r="S89" t="s">
        <v>24</v>
      </c>
      <c r="T89" t="s">
        <v>24</v>
      </c>
      <c r="U89" t="s">
        <v>24</v>
      </c>
      <c r="V89" t="s">
        <v>29</v>
      </c>
    </row>
    <row r="90" spans="1:22">
      <c r="A90" t="s">
        <v>146</v>
      </c>
      <c r="B90" t="s">
        <v>145</v>
      </c>
      <c r="C90" t="s">
        <v>25</v>
      </c>
      <c r="D90" t="s">
        <v>33</v>
      </c>
      <c r="E90" t="s">
        <v>27</v>
      </c>
      <c r="F90" t="s">
        <v>28</v>
      </c>
      <c r="G90">
        <v>8.0032262802124023</v>
      </c>
      <c r="H90">
        <v>8.3479070663452148</v>
      </c>
      <c r="I90">
        <v>0.48745223879814148</v>
      </c>
      <c r="J90">
        <v>142192000</v>
      </c>
      <c r="K90">
        <v>118108320</v>
      </c>
      <c r="L90">
        <v>34059472</v>
      </c>
      <c r="M90" t="b">
        <v>0</v>
      </c>
      <c r="N90">
        <v>1.3</v>
      </c>
      <c r="O90" t="b">
        <v>1</v>
      </c>
      <c r="P90">
        <v>1</v>
      </c>
      <c r="Q90">
        <v>2</v>
      </c>
      <c r="R90">
        <v>84.701972961425781</v>
      </c>
      <c r="S90" t="s">
        <v>24</v>
      </c>
      <c r="T90" t="s">
        <v>24</v>
      </c>
      <c r="U90" t="s">
        <v>24</v>
      </c>
      <c r="V90" t="s">
        <v>29</v>
      </c>
    </row>
    <row r="91" spans="1:22">
      <c r="A91" t="s">
        <v>147</v>
      </c>
      <c r="B91" t="s">
        <v>148</v>
      </c>
      <c r="C91" t="s">
        <v>25</v>
      </c>
      <c r="D91" t="s">
        <v>33</v>
      </c>
      <c r="E91" t="s">
        <v>27</v>
      </c>
      <c r="F91" t="s">
        <v>28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b">
        <v>0</v>
      </c>
      <c r="N91">
        <v>1.3</v>
      </c>
      <c r="O91" t="b">
        <v>1</v>
      </c>
      <c r="P91">
        <v>3</v>
      </c>
      <c r="Q91">
        <v>48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</row>
    <row r="92" spans="1:22">
      <c r="A92" t="s">
        <v>149</v>
      </c>
      <c r="B92" t="s">
        <v>148</v>
      </c>
      <c r="C92" t="s">
        <v>25</v>
      </c>
      <c r="D92" t="s">
        <v>33</v>
      </c>
      <c r="E92" t="s">
        <v>27</v>
      </c>
      <c r="F92" t="s">
        <v>28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b">
        <v>0</v>
      </c>
      <c r="N92">
        <v>1.3</v>
      </c>
      <c r="O92" t="b">
        <v>1</v>
      </c>
      <c r="P92">
        <v>3</v>
      </c>
      <c r="Q92">
        <v>49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</row>
    <row r="93" spans="1:22">
      <c r="A93" t="s">
        <v>150</v>
      </c>
      <c r="B93" t="s">
        <v>24</v>
      </c>
      <c r="C93" t="s">
        <v>25</v>
      </c>
      <c r="D93" t="s">
        <v>151</v>
      </c>
      <c r="E93" t="s">
        <v>27</v>
      </c>
      <c r="F93" t="s">
        <v>28</v>
      </c>
      <c r="G93">
        <v>35.789104461669922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b">
        <v>0</v>
      </c>
      <c r="N93">
        <v>1.3</v>
      </c>
      <c r="O93" t="b">
        <v>1</v>
      </c>
      <c r="P93">
        <v>3</v>
      </c>
      <c r="Q93">
        <v>28</v>
      </c>
      <c r="R93">
        <v>77.803451538085938</v>
      </c>
      <c r="S93" t="s">
        <v>24</v>
      </c>
      <c r="T93" t="s">
        <v>24</v>
      </c>
      <c r="U93" t="s">
        <v>24</v>
      </c>
      <c r="V93" t="s">
        <v>29</v>
      </c>
    </row>
    <row r="94" spans="1:22">
      <c r="A94" t="s">
        <v>152</v>
      </c>
      <c r="B94" t="s">
        <v>24</v>
      </c>
      <c r="C94" t="s">
        <v>25</v>
      </c>
      <c r="D94" t="s">
        <v>151</v>
      </c>
      <c r="E94" t="s">
        <v>27</v>
      </c>
      <c r="F94" t="s">
        <v>28</v>
      </c>
      <c r="G94">
        <v>35.618442535400391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b">
        <v>0</v>
      </c>
      <c r="N94">
        <v>1.3</v>
      </c>
      <c r="O94" t="b">
        <v>1</v>
      </c>
      <c r="P94">
        <v>3</v>
      </c>
      <c r="Q94">
        <v>29</v>
      </c>
      <c r="R94">
        <v>78.378326416015625</v>
      </c>
      <c r="S94" t="s">
        <v>24</v>
      </c>
      <c r="T94" t="s">
        <v>24</v>
      </c>
      <c r="U94" t="s">
        <v>24</v>
      </c>
      <c r="V94" t="s">
        <v>29</v>
      </c>
    </row>
    <row r="95" spans="1:22">
      <c r="A95" t="s">
        <v>153</v>
      </c>
      <c r="B95" t="s">
        <v>154</v>
      </c>
      <c r="C95" t="s">
        <v>25</v>
      </c>
      <c r="D95" t="s">
        <v>33</v>
      </c>
      <c r="E95" t="s">
        <v>27</v>
      </c>
      <c r="F95" t="s">
        <v>28</v>
      </c>
      <c r="G95">
        <v>9.9863758087158203</v>
      </c>
      <c r="H95">
        <v>9.8223161697387695</v>
      </c>
      <c r="I95">
        <v>0.23201537132263184</v>
      </c>
      <c r="J95">
        <v>43262040</v>
      </c>
      <c r="K95">
        <v>47968740</v>
      </c>
      <c r="L95">
        <v>6656279</v>
      </c>
      <c r="M95" t="b">
        <v>0</v>
      </c>
      <c r="N95">
        <v>1.3</v>
      </c>
      <c r="O95" t="b">
        <v>1</v>
      </c>
      <c r="P95">
        <v>1</v>
      </c>
      <c r="Q95">
        <v>3</v>
      </c>
      <c r="R95">
        <v>84.893600463867188</v>
      </c>
      <c r="S95" t="s">
        <v>24</v>
      </c>
      <c r="T95" t="s">
        <v>24</v>
      </c>
      <c r="U95" t="s">
        <v>24</v>
      </c>
      <c r="V95" t="s">
        <v>29</v>
      </c>
    </row>
    <row r="96" spans="1:22">
      <c r="A96" t="s">
        <v>155</v>
      </c>
      <c r="B96" t="s">
        <v>154</v>
      </c>
      <c r="C96" t="s">
        <v>25</v>
      </c>
      <c r="D96" t="s">
        <v>33</v>
      </c>
      <c r="E96" t="s">
        <v>27</v>
      </c>
      <c r="F96" t="s">
        <v>28</v>
      </c>
      <c r="G96">
        <v>9.6582565307617188</v>
      </c>
      <c r="H96">
        <v>9.8223161697387695</v>
      </c>
      <c r="I96">
        <v>0.23201537132263184</v>
      </c>
      <c r="J96">
        <v>52675440</v>
      </c>
      <c r="K96">
        <v>47968740</v>
      </c>
      <c r="L96">
        <v>6656279</v>
      </c>
      <c r="M96" t="b">
        <v>0</v>
      </c>
      <c r="N96">
        <v>1.3</v>
      </c>
      <c r="O96" t="b">
        <v>1</v>
      </c>
      <c r="P96">
        <v>1</v>
      </c>
      <c r="Q96">
        <v>2</v>
      </c>
      <c r="R96">
        <v>85.085220336914062</v>
      </c>
      <c r="S96" t="s">
        <v>24</v>
      </c>
      <c r="T96" t="s">
        <v>24</v>
      </c>
      <c r="U96" t="s">
        <v>24</v>
      </c>
      <c r="V96" t="s">
        <v>29</v>
      </c>
    </row>
    <row r="97" spans="1:22">
      <c r="A97" t="s">
        <v>156</v>
      </c>
      <c r="B97" t="s">
        <v>157</v>
      </c>
      <c r="C97" t="s">
        <v>25</v>
      </c>
      <c r="D97" t="s">
        <v>33</v>
      </c>
      <c r="E97" t="s">
        <v>27</v>
      </c>
      <c r="F97" t="s">
        <v>28</v>
      </c>
      <c r="G97">
        <v>9.0622701644897461</v>
      </c>
      <c r="H97">
        <v>9.1191911697387695</v>
      </c>
      <c r="I97">
        <v>8.0498456954956055E-2</v>
      </c>
      <c r="J97">
        <v>75319944</v>
      </c>
      <c r="K97">
        <v>72833432</v>
      </c>
      <c r="L97">
        <v>3516459</v>
      </c>
      <c r="M97" t="b">
        <v>0</v>
      </c>
      <c r="N97">
        <v>1.3</v>
      </c>
      <c r="O97" t="b">
        <v>1</v>
      </c>
      <c r="P97">
        <v>1</v>
      </c>
      <c r="Q97">
        <v>2</v>
      </c>
      <c r="R97">
        <v>84.893600463867188</v>
      </c>
      <c r="S97" t="s">
        <v>24</v>
      </c>
      <c r="T97" t="s">
        <v>24</v>
      </c>
      <c r="U97" t="s">
        <v>24</v>
      </c>
      <c r="V97" t="s">
        <v>29</v>
      </c>
    </row>
    <row r="98" spans="1:22">
      <c r="A98" t="s">
        <v>158</v>
      </c>
      <c r="B98" t="s">
        <v>157</v>
      </c>
      <c r="C98" t="s">
        <v>25</v>
      </c>
      <c r="D98" t="s">
        <v>33</v>
      </c>
      <c r="E98" t="s">
        <v>27</v>
      </c>
      <c r="F98" t="s">
        <v>28</v>
      </c>
      <c r="G98">
        <v>9.176112174987793</v>
      </c>
      <c r="H98">
        <v>9.1191911697387695</v>
      </c>
      <c r="I98">
        <v>8.0498456954956055E-2</v>
      </c>
      <c r="J98">
        <v>70346920</v>
      </c>
      <c r="K98">
        <v>72833432</v>
      </c>
      <c r="L98">
        <v>3516459</v>
      </c>
      <c r="M98" t="b">
        <v>0</v>
      </c>
      <c r="N98">
        <v>1.3</v>
      </c>
      <c r="O98" t="b">
        <v>1</v>
      </c>
      <c r="P98">
        <v>1</v>
      </c>
      <c r="Q98">
        <v>2</v>
      </c>
      <c r="R98">
        <v>85.085220336914062</v>
      </c>
      <c r="S98" t="s">
        <v>24</v>
      </c>
      <c r="T98" t="s">
        <v>24</v>
      </c>
      <c r="U98" t="s">
        <v>24</v>
      </c>
      <c r="V98" t="s">
        <v>29</v>
      </c>
    </row>
    <row r="99" spans="1:22">
      <c r="A99" t="s">
        <v>159</v>
      </c>
      <c r="B99" t="s">
        <v>160</v>
      </c>
      <c r="C99" t="s">
        <v>25</v>
      </c>
      <c r="D99" t="s">
        <v>33</v>
      </c>
      <c r="E99" t="s">
        <v>27</v>
      </c>
      <c r="F99" t="s">
        <v>28</v>
      </c>
      <c r="G99">
        <v>9.6101083755493164</v>
      </c>
      <c r="H99">
        <v>9.6317691802978516</v>
      </c>
      <c r="I99">
        <v>3.0633004382252693E-2</v>
      </c>
      <c r="J99">
        <v>54219384</v>
      </c>
      <c r="K99">
        <v>53523792</v>
      </c>
      <c r="L99">
        <v>983712.8125</v>
      </c>
      <c r="M99" t="b">
        <v>0</v>
      </c>
      <c r="N99">
        <v>1.3</v>
      </c>
      <c r="O99" t="b">
        <v>1</v>
      </c>
      <c r="P99">
        <v>1</v>
      </c>
      <c r="Q99">
        <v>2</v>
      </c>
      <c r="R99">
        <v>85.085220336914062</v>
      </c>
      <c r="S99" t="s">
        <v>24</v>
      </c>
      <c r="T99" t="s">
        <v>24</v>
      </c>
      <c r="U99" t="s">
        <v>24</v>
      </c>
      <c r="V99" t="s">
        <v>29</v>
      </c>
    </row>
    <row r="100" spans="1:22">
      <c r="A100" t="s">
        <v>161</v>
      </c>
      <c r="B100" t="s">
        <v>160</v>
      </c>
      <c r="C100" t="s">
        <v>25</v>
      </c>
      <c r="D100" t="s">
        <v>33</v>
      </c>
      <c r="E100" t="s">
        <v>27</v>
      </c>
      <c r="F100" t="s">
        <v>28</v>
      </c>
      <c r="G100">
        <v>9.6534299850463867</v>
      </c>
      <c r="H100">
        <v>9.6317691802978516</v>
      </c>
      <c r="I100">
        <v>3.0633004382252693E-2</v>
      </c>
      <c r="J100">
        <v>52828204</v>
      </c>
      <c r="K100">
        <v>53523792</v>
      </c>
      <c r="L100">
        <v>983712.8125</v>
      </c>
      <c r="M100" t="b">
        <v>0</v>
      </c>
      <c r="N100">
        <v>1.3</v>
      </c>
      <c r="O100" t="b">
        <v>1</v>
      </c>
      <c r="P100">
        <v>1</v>
      </c>
      <c r="Q100">
        <v>3</v>
      </c>
      <c r="R100">
        <v>85.085220336914062</v>
      </c>
      <c r="S100" t="s">
        <v>24</v>
      </c>
      <c r="T100" t="s">
        <v>24</v>
      </c>
      <c r="U100" t="s">
        <v>24</v>
      </c>
      <c r="V100" t="s">
        <v>29</v>
      </c>
    </row>
    <row r="101" spans="1:22">
      <c r="A101" t="s">
        <v>162</v>
      </c>
      <c r="B101" t="s">
        <v>163</v>
      </c>
      <c r="C101" t="s">
        <v>25</v>
      </c>
      <c r="D101" t="s">
        <v>33</v>
      </c>
      <c r="E101" t="s">
        <v>27</v>
      </c>
      <c r="F101" t="s">
        <v>28</v>
      </c>
      <c r="G101">
        <v>10.756332397460938</v>
      </c>
      <c r="H101">
        <v>10.710159301757812</v>
      </c>
      <c r="I101">
        <v>6.5298616886138916E-2</v>
      </c>
      <c r="J101">
        <v>27256624</v>
      </c>
      <c r="K101">
        <v>28033058</v>
      </c>
      <c r="L101">
        <v>1098043.5</v>
      </c>
      <c r="M101" t="b">
        <v>0</v>
      </c>
      <c r="N101">
        <v>1.3</v>
      </c>
      <c r="O101" t="b">
        <v>1</v>
      </c>
      <c r="P101">
        <v>1</v>
      </c>
      <c r="Q101">
        <v>2</v>
      </c>
      <c r="R101">
        <v>84.510345458984375</v>
      </c>
      <c r="S101" t="s">
        <v>24</v>
      </c>
      <c r="T101" t="s">
        <v>24</v>
      </c>
      <c r="U101" t="s">
        <v>24</v>
      </c>
      <c r="V101" t="s">
        <v>29</v>
      </c>
    </row>
    <row r="102" spans="1:22">
      <c r="A102" t="s">
        <v>164</v>
      </c>
      <c r="B102" t="s">
        <v>163</v>
      </c>
      <c r="C102" t="s">
        <v>25</v>
      </c>
      <c r="D102" t="s">
        <v>33</v>
      </c>
      <c r="E102" t="s">
        <v>27</v>
      </c>
      <c r="F102" t="s">
        <v>28</v>
      </c>
      <c r="G102">
        <v>10.663986206054688</v>
      </c>
      <c r="H102">
        <v>10.710159301757812</v>
      </c>
      <c r="I102">
        <v>6.5298616886138916E-2</v>
      </c>
      <c r="J102">
        <v>28809492</v>
      </c>
      <c r="K102">
        <v>28033058</v>
      </c>
      <c r="L102">
        <v>1098043.5</v>
      </c>
      <c r="M102" t="b">
        <v>0</v>
      </c>
      <c r="N102">
        <v>1.3</v>
      </c>
      <c r="O102" t="b">
        <v>1</v>
      </c>
      <c r="P102">
        <v>1</v>
      </c>
      <c r="Q102">
        <v>2</v>
      </c>
      <c r="R102">
        <v>84.510345458984375</v>
      </c>
      <c r="S102" t="s">
        <v>24</v>
      </c>
      <c r="T102" t="s">
        <v>24</v>
      </c>
      <c r="U102" t="s">
        <v>24</v>
      </c>
      <c r="V102" t="s">
        <v>29</v>
      </c>
    </row>
    <row r="103" spans="1:22">
      <c r="A103" t="s">
        <v>165</v>
      </c>
      <c r="B103" t="s">
        <v>166</v>
      </c>
      <c r="C103" t="s">
        <v>25</v>
      </c>
      <c r="D103" t="s">
        <v>33</v>
      </c>
      <c r="E103" t="s">
        <v>27</v>
      </c>
      <c r="F103" t="s">
        <v>28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b">
        <v>0</v>
      </c>
      <c r="N103">
        <v>1.3</v>
      </c>
      <c r="O103" t="b">
        <v>1</v>
      </c>
      <c r="P103">
        <v>3</v>
      </c>
      <c r="Q103">
        <v>49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</row>
    <row r="104" spans="1:22">
      <c r="A104" t="s">
        <v>167</v>
      </c>
      <c r="B104" t="s">
        <v>166</v>
      </c>
      <c r="C104" t="s">
        <v>25</v>
      </c>
      <c r="D104" t="s">
        <v>33</v>
      </c>
      <c r="E104" t="s">
        <v>27</v>
      </c>
      <c r="F104" t="s">
        <v>28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b">
        <v>0</v>
      </c>
      <c r="N104">
        <v>1.3</v>
      </c>
      <c r="O104" t="b">
        <v>1</v>
      </c>
      <c r="P104">
        <v>3</v>
      </c>
      <c r="Q104">
        <v>4</v>
      </c>
      <c r="R104" t="s">
        <v>24</v>
      </c>
      <c r="S104" t="s">
        <v>24</v>
      </c>
      <c r="T104" t="s">
        <v>24</v>
      </c>
      <c r="U104" t="s">
        <v>24</v>
      </c>
      <c r="V104" t="s">
        <v>29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04"/>
  <sheetViews>
    <sheetView workbookViewId="0">
      <selection activeCell="A8" sqref="A8:K104"/>
    </sheetView>
  </sheetViews>
  <sheetFormatPr baseColWidth="10" defaultColWidth="9.1640625" defaultRowHeight="15"/>
  <cols>
    <col min="1" max="1" width="9.1640625" customWidth="1"/>
  </cols>
  <sheetData>
    <row r="1" spans="1:23">
      <c r="A1" t="s">
        <v>784</v>
      </c>
      <c r="B1" t="s">
        <v>785</v>
      </c>
    </row>
    <row r="2" spans="1:23">
      <c r="A2" t="s">
        <v>786</v>
      </c>
      <c r="B2" t="s">
        <v>787</v>
      </c>
    </row>
    <row r="3" spans="1:23">
      <c r="A3" t="s">
        <v>788</v>
      </c>
      <c r="B3" t="s">
        <v>797</v>
      </c>
    </row>
    <row r="4" spans="1:23">
      <c r="A4" t="s">
        <v>222</v>
      </c>
      <c r="B4" t="s">
        <v>798</v>
      </c>
    </row>
    <row r="5" spans="1:23">
      <c r="A5" t="s">
        <v>791</v>
      </c>
      <c r="B5" t="s">
        <v>792</v>
      </c>
    </row>
    <row r="6" spans="1:23">
      <c r="A6" t="s">
        <v>793</v>
      </c>
      <c r="B6" t="s">
        <v>794</v>
      </c>
    </row>
    <row r="8" spans="1:2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169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9.7060670852661133</v>
      </c>
      <c r="H9">
        <v>9.5902004241943359</v>
      </c>
      <c r="I9">
        <v>0.1638595312833786</v>
      </c>
      <c r="J9">
        <v>50000000</v>
      </c>
      <c r="K9" t="s">
        <v>24</v>
      </c>
      <c r="L9" t="s">
        <v>24</v>
      </c>
      <c r="M9" t="b">
        <v>0</v>
      </c>
      <c r="N9">
        <v>1</v>
      </c>
      <c r="O9" t="b">
        <v>0</v>
      </c>
      <c r="P9">
        <v>3</v>
      </c>
      <c r="Q9">
        <v>5</v>
      </c>
      <c r="R9">
        <v>84.625617980957031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</row>
    <row r="10" spans="1:23">
      <c r="A10" t="s">
        <v>30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9.474334716796875</v>
      </c>
      <c r="H10">
        <v>9.5902004241943359</v>
      </c>
      <c r="I10">
        <v>0.1638595312833786</v>
      </c>
      <c r="J10">
        <v>50000000</v>
      </c>
      <c r="K10" t="s">
        <v>24</v>
      </c>
      <c r="L10" t="s">
        <v>24</v>
      </c>
      <c r="M10" t="b">
        <v>0</v>
      </c>
      <c r="N10">
        <v>1</v>
      </c>
      <c r="O10" t="b">
        <v>1</v>
      </c>
      <c r="P10">
        <v>1</v>
      </c>
      <c r="Q10">
        <v>3</v>
      </c>
      <c r="R10">
        <v>84.625617980957031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</row>
    <row r="11" spans="1:23">
      <c r="A11" t="s">
        <v>31</v>
      </c>
      <c r="B11" t="s">
        <v>32</v>
      </c>
      <c r="C11" t="s">
        <v>25</v>
      </c>
      <c r="D11" t="s">
        <v>33</v>
      </c>
      <c r="E11" t="s">
        <v>27</v>
      </c>
      <c r="F11" t="s">
        <v>28</v>
      </c>
      <c r="G11">
        <v>9.7818307876586914</v>
      </c>
      <c r="H11">
        <v>9.3548736572265625</v>
      </c>
      <c r="I11">
        <v>0.60380923748016357</v>
      </c>
      <c r="J11">
        <v>40607032</v>
      </c>
      <c r="K11">
        <v>54246724</v>
      </c>
      <c r="L11">
        <v>19289438</v>
      </c>
      <c r="M11" t="b">
        <v>0</v>
      </c>
      <c r="N11">
        <v>1</v>
      </c>
      <c r="O11" t="b">
        <v>1</v>
      </c>
      <c r="P11">
        <v>1</v>
      </c>
      <c r="Q11">
        <v>2</v>
      </c>
      <c r="R11">
        <v>85.007888793945312</v>
      </c>
      <c r="S11" t="s">
        <v>24</v>
      </c>
      <c r="T11" t="s">
        <v>24</v>
      </c>
      <c r="U11" t="s">
        <v>24</v>
      </c>
      <c r="V11" t="s">
        <v>29</v>
      </c>
      <c r="W11" t="s">
        <v>114</v>
      </c>
    </row>
    <row r="12" spans="1:23">
      <c r="A12" t="s">
        <v>34</v>
      </c>
      <c r="B12" t="s">
        <v>32</v>
      </c>
      <c r="C12" t="s">
        <v>25</v>
      </c>
      <c r="D12" t="s">
        <v>33</v>
      </c>
      <c r="E12" t="s">
        <v>27</v>
      </c>
      <c r="F12" t="s">
        <v>28</v>
      </c>
      <c r="G12">
        <v>8.9279155731201172</v>
      </c>
      <c r="H12">
        <v>9.3548736572265625</v>
      </c>
      <c r="I12">
        <v>0.60380923748016357</v>
      </c>
      <c r="J12">
        <v>67886416</v>
      </c>
      <c r="K12">
        <v>54246724</v>
      </c>
      <c r="L12">
        <v>19289438</v>
      </c>
      <c r="M12" t="b">
        <v>0</v>
      </c>
      <c r="N12">
        <v>1</v>
      </c>
      <c r="O12" t="b">
        <v>1</v>
      </c>
      <c r="P12">
        <v>1</v>
      </c>
      <c r="Q12">
        <v>2</v>
      </c>
      <c r="R12">
        <v>84.816757202148438</v>
      </c>
      <c r="S12" t="s">
        <v>24</v>
      </c>
      <c r="T12" t="s">
        <v>24</v>
      </c>
      <c r="U12" t="s">
        <v>24</v>
      </c>
      <c r="V12" t="s">
        <v>29</v>
      </c>
      <c r="W12" t="s">
        <v>114</v>
      </c>
    </row>
    <row r="13" spans="1:23">
      <c r="A13" t="s">
        <v>35</v>
      </c>
      <c r="B13" t="s">
        <v>36</v>
      </c>
      <c r="C13" t="s">
        <v>25</v>
      </c>
      <c r="D13" t="s">
        <v>33</v>
      </c>
      <c r="E13" t="s">
        <v>27</v>
      </c>
      <c r="F13" t="s">
        <v>28</v>
      </c>
      <c r="G13">
        <v>9.1814603805541992</v>
      </c>
      <c r="H13">
        <v>9.2100973129272461</v>
      </c>
      <c r="I13">
        <v>4.0498737245798111E-2</v>
      </c>
      <c r="J13">
        <v>58279484</v>
      </c>
      <c r="K13">
        <v>57292208</v>
      </c>
      <c r="L13">
        <v>1396219.125</v>
      </c>
      <c r="M13" t="b">
        <v>0</v>
      </c>
      <c r="N13">
        <v>1</v>
      </c>
      <c r="O13" t="b">
        <v>1</v>
      </c>
      <c r="P13">
        <v>1</v>
      </c>
      <c r="Q13">
        <v>2</v>
      </c>
      <c r="R13">
        <v>84.816757202148438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</row>
    <row r="14" spans="1:23">
      <c r="A14" t="s">
        <v>37</v>
      </c>
      <c r="B14" t="s">
        <v>36</v>
      </c>
      <c r="C14" t="s">
        <v>25</v>
      </c>
      <c r="D14" t="s">
        <v>33</v>
      </c>
      <c r="E14" t="s">
        <v>27</v>
      </c>
      <c r="F14" t="s">
        <v>28</v>
      </c>
      <c r="G14">
        <v>9.238734245300293</v>
      </c>
      <c r="H14">
        <v>9.2100973129272461</v>
      </c>
      <c r="I14">
        <v>4.0498737245798111E-2</v>
      </c>
      <c r="J14">
        <v>56304932</v>
      </c>
      <c r="K14">
        <v>57292208</v>
      </c>
      <c r="L14">
        <v>1396219.125</v>
      </c>
      <c r="M14" t="b">
        <v>0</v>
      </c>
      <c r="N14">
        <v>1</v>
      </c>
      <c r="O14" t="b">
        <v>1</v>
      </c>
      <c r="P14">
        <v>1</v>
      </c>
      <c r="Q14">
        <v>2</v>
      </c>
      <c r="R14">
        <v>84.816757202148438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</row>
    <row r="15" spans="1:23">
      <c r="A15" t="s">
        <v>38</v>
      </c>
      <c r="B15" t="s">
        <v>39</v>
      </c>
      <c r="C15" t="s">
        <v>25</v>
      </c>
      <c r="D15" t="s">
        <v>33</v>
      </c>
      <c r="E15" t="s">
        <v>27</v>
      </c>
      <c r="F15" t="s">
        <v>28</v>
      </c>
      <c r="G15">
        <v>9.7188510894775391</v>
      </c>
      <c r="H15">
        <v>9.7102336883544922</v>
      </c>
      <c r="I15">
        <v>1.2186845764517784E-2</v>
      </c>
      <c r="J15">
        <v>42175652</v>
      </c>
      <c r="K15">
        <v>42395512</v>
      </c>
      <c r="L15">
        <v>310931.8125</v>
      </c>
      <c r="M15" t="b">
        <v>0</v>
      </c>
      <c r="N15">
        <v>1</v>
      </c>
      <c r="O15" t="b">
        <v>1</v>
      </c>
      <c r="P15">
        <v>1</v>
      </c>
      <c r="Q15">
        <v>3</v>
      </c>
      <c r="R15">
        <v>84.434486389160156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</row>
    <row r="16" spans="1:23">
      <c r="A16" t="s">
        <v>40</v>
      </c>
      <c r="B16" t="s">
        <v>39</v>
      </c>
      <c r="C16" t="s">
        <v>25</v>
      </c>
      <c r="D16" t="s">
        <v>33</v>
      </c>
      <c r="E16" t="s">
        <v>27</v>
      </c>
      <c r="F16" t="s">
        <v>28</v>
      </c>
      <c r="G16">
        <v>9.7016162872314453</v>
      </c>
      <c r="H16">
        <v>9.7102336883544922</v>
      </c>
      <c r="I16">
        <v>1.2186845764517784E-2</v>
      </c>
      <c r="J16">
        <v>42615376</v>
      </c>
      <c r="K16">
        <v>42395512</v>
      </c>
      <c r="L16">
        <v>310931.8125</v>
      </c>
      <c r="M16" t="b">
        <v>0</v>
      </c>
      <c r="N16">
        <v>1</v>
      </c>
      <c r="O16" t="b">
        <v>1</v>
      </c>
      <c r="P16">
        <v>1</v>
      </c>
      <c r="Q16">
        <v>2</v>
      </c>
      <c r="R16">
        <v>84.243354797363281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</row>
    <row r="17" spans="1:23">
      <c r="A17" t="s">
        <v>41</v>
      </c>
      <c r="B17" t="s">
        <v>42</v>
      </c>
      <c r="C17" t="s">
        <v>25</v>
      </c>
      <c r="D17" t="s">
        <v>33</v>
      </c>
      <c r="E17" t="s">
        <v>27</v>
      </c>
      <c r="F17" t="s">
        <v>28</v>
      </c>
      <c r="G17">
        <v>14.123695373535156</v>
      </c>
      <c r="H17">
        <v>12.383560180664062</v>
      </c>
      <c r="I17">
        <v>2.4609220027923584</v>
      </c>
      <c r="J17">
        <v>2977142.25</v>
      </c>
      <c r="K17">
        <v>13577348</v>
      </c>
      <c r="L17">
        <v>14990955</v>
      </c>
      <c r="M17" t="b">
        <v>0</v>
      </c>
      <c r="N17">
        <v>1</v>
      </c>
      <c r="O17" t="b">
        <v>1</v>
      </c>
      <c r="P17">
        <v>3</v>
      </c>
      <c r="Q17">
        <v>5</v>
      </c>
      <c r="R17">
        <v>84.052215576171875</v>
      </c>
      <c r="S17" t="s">
        <v>24</v>
      </c>
      <c r="T17" t="s">
        <v>24</v>
      </c>
      <c r="U17" t="s">
        <v>24</v>
      </c>
      <c r="V17" t="s">
        <v>29</v>
      </c>
      <c r="W17" t="s">
        <v>114</v>
      </c>
    </row>
    <row r="18" spans="1:23">
      <c r="A18" t="s">
        <v>43</v>
      </c>
      <c r="B18" t="s">
        <v>42</v>
      </c>
      <c r="C18" t="s">
        <v>25</v>
      </c>
      <c r="D18" t="s">
        <v>33</v>
      </c>
      <c r="E18" t="s">
        <v>27</v>
      </c>
      <c r="F18" t="s">
        <v>28</v>
      </c>
      <c r="G18">
        <v>10.643425941467285</v>
      </c>
      <c r="H18">
        <v>12.383560180664062</v>
      </c>
      <c r="I18">
        <v>2.4609220027923584</v>
      </c>
      <c r="J18">
        <v>24177554</v>
      </c>
      <c r="K18">
        <v>13577348</v>
      </c>
      <c r="L18">
        <v>14990955</v>
      </c>
      <c r="M18" t="b">
        <v>0</v>
      </c>
      <c r="N18">
        <v>1</v>
      </c>
      <c r="O18" t="b">
        <v>1</v>
      </c>
      <c r="P18">
        <v>3</v>
      </c>
      <c r="Q18">
        <v>4</v>
      </c>
      <c r="R18">
        <v>84.052215576171875</v>
      </c>
      <c r="S18" t="s">
        <v>24</v>
      </c>
      <c r="T18" t="s">
        <v>24</v>
      </c>
      <c r="U18" t="s">
        <v>24</v>
      </c>
      <c r="V18" t="s">
        <v>29</v>
      </c>
      <c r="W18" t="s">
        <v>114</v>
      </c>
    </row>
    <row r="19" spans="1:23">
      <c r="A19" t="s">
        <v>44</v>
      </c>
      <c r="B19" t="s">
        <v>45</v>
      </c>
      <c r="C19" t="s">
        <v>25</v>
      </c>
      <c r="D19" t="s">
        <v>33</v>
      </c>
      <c r="E19" t="s">
        <v>27</v>
      </c>
      <c r="F19" t="s">
        <v>28</v>
      </c>
      <c r="G19">
        <v>9.0873336791992188</v>
      </c>
      <c r="H19">
        <v>9.2794284820556641</v>
      </c>
      <c r="I19">
        <v>0.27166375517845154</v>
      </c>
      <c r="J19">
        <v>61676100</v>
      </c>
      <c r="K19">
        <v>55310296</v>
      </c>
      <c r="L19">
        <v>9002606</v>
      </c>
      <c r="M19" t="b">
        <v>0</v>
      </c>
      <c r="N19">
        <v>1</v>
      </c>
      <c r="O19" t="b">
        <v>1</v>
      </c>
      <c r="P19">
        <v>1</v>
      </c>
      <c r="Q19">
        <v>2</v>
      </c>
      <c r="R19">
        <v>83.861083984375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</row>
    <row r="20" spans="1:23">
      <c r="A20" t="s">
        <v>46</v>
      </c>
      <c r="B20" t="s">
        <v>45</v>
      </c>
      <c r="C20" t="s">
        <v>25</v>
      </c>
      <c r="D20" t="s">
        <v>33</v>
      </c>
      <c r="E20" t="s">
        <v>27</v>
      </c>
      <c r="F20" t="s">
        <v>28</v>
      </c>
      <c r="G20">
        <v>9.4715242385864258</v>
      </c>
      <c r="H20">
        <v>9.2794284820556641</v>
      </c>
      <c r="I20">
        <v>0.27166375517845154</v>
      </c>
      <c r="J20">
        <v>48944492</v>
      </c>
      <c r="K20">
        <v>55310296</v>
      </c>
      <c r="L20">
        <v>9002606</v>
      </c>
      <c r="M20" t="b">
        <v>0</v>
      </c>
      <c r="N20">
        <v>1</v>
      </c>
      <c r="O20" t="b">
        <v>1</v>
      </c>
      <c r="P20">
        <v>3</v>
      </c>
      <c r="Q20">
        <v>4</v>
      </c>
      <c r="R20">
        <v>83.861083984375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</row>
    <row r="21" spans="1:23">
      <c r="A21" t="s">
        <v>47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12.575084686279297</v>
      </c>
      <c r="H21">
        <v>12.752910614013672</v>
      </c>
      <c r="I21">
        <v>0.25148382782936096</v>
      </c>
      <c r="J21">
        <v>5000000</v>
      </c>
      <c r="K21" t="s">
        <v>24</v>
      </c>
      <c r="L21" t="s">
        <v>24</v>
      </c>
      <c r="M21" t="b">
        <v>0</v>
      </c>
      <c r="N21">
        <v>1</v>
      </c>
      <c r="O21" t="b">
        <v>1</v>
      </c>
      <c r="P21">
        <v>3</v>
      </c>
      <c r="Q21">
        <v>7</v>
      </c>
      <c r="R21">
        <v>84.816757202148438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</row>
    <row r="22" spans="1:23">
      <c r="A22" t="s">
        <v>48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12.930736541748047</v>
      </c>
      <c r="H22">
        <v>12.752910614013672</v>
      </c>
      <c r="I22">
        <v>0.25148382782936096</v>
      </c>
      <c r="J22">
        <v>5000000</v>
      </c>
      <c r="K22" t="s">
        <v>24</v>
      </c>
      <c r="L22" t="s">
        <v>24</v>
      </c>
      <c r="M22" t="b">
        <v>0</v>
      </c>
      <c r="N22">
        <v>1</v>
      </c>
      <c r="O22" t="b">
        <v>1</v>
      </c>
      <c r="P22">
        <v>3</v>
      </c>
      <c r="Q22">
        <v>8</v>
      </c>
      <c r="R22">
        <v>84.816757202148438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</row>
    <row r="23" spans="1:23">
      <c r="A23" t="s">
        <v>49</v>
      </c>
      <c r="B23" t="s">
        <v>50</v>
      </c>
      <c r="C23" t="s">
        <v>25</v>
      </c>
      <c r="D23" t="s">
        <v>33</v>
      </c>
      <c r="E23" t="s">
        <v>27</v>
      </c>
      <c r="F23" t="s">
        <v>28</v>
      </c>
      <c r="G23">
        <v>9.8492355346679688</v>
      </c>
      <c r="H23">
        <v>9.849884033203125</v>
      </c>
      <c r="I23">
        <v>9.1711542336270213E-4</v>
      </c>
      <c r="J23">
        <v>38992776</v>
      </c>
      <c r="K23">
        <v>38977564</v>
      </c>
      <c r="L23">
        <v>21513.017578125</v>
      </c>
      <c r="M23" t="b">
        <v>0</v>
      </c>
      <c r="N23">
        <v>1</v>
      </c>
      <c r="O23" t="b">
        <v>1</v>
      </c>
      <c r="P23">
        <v>1</v>
      </c>
      <c r="Q23">
        <v>3</v>
      </c>
      <c r="R23">
        <v>85.007888793945312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</row>
    <row r="24" spans="1:23">
      <c r="A24" t="s">
        <v>51</v>
      </c>
      <c r="B24" t="s">
        <v>50</v>
      </c>
      <c r="C24" t="s">
        <v>25</v>
      </c>
      <c r="D24" t="s">
        <v>33</v>
      </c>
      <c r="E24" t="s">
        <v>27</v>
      </c>
      <c r="F24" t="s">
        <v>28</v>
      </c>
      <c r="G24">
        <v>9.8505325317382812</v>
      </c>
      <c r="H24">
        <v>9.849884033203125</v>
      </c>
      <c r="I24">
        <v>9.1711542336270213E-4</v>
      </c>
      <c r="J24">
        <v>38962352</v>
      </c>
      <c r="K24">
        <v>38977564</v>
      </c>
      <c r="L24">
        <v>21513.017578125</v>
      </c>
      <c r="M24" t="b">
        <v>0</v>
      </c>
      <c r="N24">
        <v>1</v>
      </c>
      <c r="O24" t="b">
        <v>1</v>
      </c>
      <c r="P24">
        <v>1</v>
      </c>
      <c r="Q24">
        <v>2</v>
      </c>
      <c r="R24">
        <v>85.007888793945312</v>
      </c>
      <c r="S24" t="s">
        <v>24</v>
      </c>
      <c r="T24" t="s">
        <v>24</v>
      </c>
      <c r="U24" t="s">
        <v>24</v>
      </c>
      <c r="V24" t="s">
        <v>29</v>
      </c>
      <c r="W24" t="s">
        <v>29</v>
      </c>
    </row>
    <row r="25" spans="1:23">
      <c r="A25" t="s">
        <v>52</v>
      </c>
      <c r="B25" t="s">
        <v>53</v>
      </c>
      <c r="C25" t="s">
        <v>25</v>
      </c>
      <c r="D25" t="s">
        <v>33</v>
      </c>
      <c r="E25" t="s">
        <v>27</v>
      </c>
      <c r="F25" t="s">
        <v>28</v>
      </c>
      <c r="G25">
        <v>8.7154512405395508</v>
      </c>
      <c r="H25">
        <v>8.6127405166625977</v>
      </c>
      <c r="I25">
        <v>0.14525489509105682</v>
      </c>
      <c r="J25">
        <v>77145952</v>
      </c>
      <c r="K25">
        <v>82221808</v>
      </c>
      <c r="L25">
        <v>7178344.5</v>
      </c>
      <c r="M25" t="b">
        <v>0</v>
      </c>
      <c r="N25">
        <v>1</v>
      </c>
      <c r="O25" t="b">
        <v>1</v>
      </c>
      <c r="P25">
        <v>1</v>
      </c>
      <c r="Q25">
        <v>2</v>
      </c>
      <c r="R25">
        <v>85.007888793945312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</row>
    <row r="26" spans="1:23">
      <c r="A26" t="s">
        <v>54</v>
      </c>
      <c r="B26" t="s">
        <v>53</v>
      </c>
      <c r="C26" t="s">
        <v>25</v>
      </c>
      <c r="D26" t="s">
        <v>33</v>
      </c>
      <c r="E26" t="s">
        <v>27</v>
      </c>
      <c r="F26" t="s">
        <v>28</v>
      </c>
      <c r="G26">
        <v>8.5100297927856445</v>
      </c>
      <c r="H26">
        <v>8.6127405166625977</v>
      </c>
      <c r="I26">
        <v>0.14525489509105682</v>
      </c>
      <c r="J26">
        <v>87297664</v>
      </c>
      <c r="K26">
        <v>82221808</v>
      </c>
      <c r="L26">
        <v>7178344.5</v>
      </c>
      <c r="M26" t="b">
        <v>0</v>
      </c>
      <c r="N26">
        <v>1</v>
      </c>
      <c r="O26" t="b">
        <v>1</v>
      </c>
      <c r="P26">
        <v>1</v>
      </c>
      <c r="Q26">
        <v>2</v>
      </c>
      <c r="R26">
        <v>85.007888793945312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</row>
    <row r="27" spans="1:23">
      <c r="A27" t="s">
        <v>55</v>
      </c>
      <c r="B27" t="s">
        <v>56</v>
      </c>
      <c r="C27" t="s">
        <v>25</v>
      </c>
      <c r="D27" t="s">
        <v>33</v>
      </c>
      <c r="E27" t="s">
        <v>27</v>
      </c>
      <c r="F27" t="s">
        <v>28</v>
      </c>
      <c r="G27">
        <v>8.0557689666748047</v>
      </c>
      <c r="H27">
        <v>8.1253185272216797</v>
      </c>
      <c r="I27">
        <v>9.8357930779457092E-2</v>
      </c>
      <c r="J27">
        <v>114743872</v>
      </c>
      <c r="K27">
        <v>110136720</v>
      </c>
      <c r="L27">
        <v>6515497</v>
      </c>
      <c r="M27" t="b">
        <v>0</v>
      </c>
      <c r="N27">
        <v>1</v>
      </c>
      <c r="O27" t="b">
        <v>1</v>
      </c>
      <c r="P27">
        <v>1</v>
      </c>
      <c r="Q27">
        <v>2</v>
      </c>
      <c r="R27">
        <v>84.625617980957031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</row>
    <row r="28" spans="1:23">
      <c r="A28" t="s">
        <v>57</v>
      </c>
      <c r="B28" t="s">
        <v>56</v>
      </c>
      <c r="C28" t="s">
        <v>25</v>
      </c>
      <c r="D28" t="s">
        <v>33</v>
      </c>
      <c r="E28" t="s">
        <v>27</v>
      </c>
      <c r="F28" t="s">
        <v>28</v>
      </c>
      <c r="G28">
        <v>8.1948680877685547</v>
      </c>
      <c r="H28">
        <v>8.1253185272216797</v>
      </c>
      <c r="I28">
        <v>9.8357930779457092E-2</v>
      </c>
      <c r="J28">
        <v>105529568</v>
      </c>
      <c r="K28">
        <v>110136720</v>
      </c>
      <c r="L28">
        <v>6515497</v>
      </c>
      <c r="M28" t="b">
        <v>0</v>
      </c>
      <c r="N28">
        <v>1</v>
      </c>
      <c r="O28" t="b">
        <v>1</v>
      </c>
      <c r="P28">
        <v>1</v>
      </c>
      <c r="Q28">
        <v>2</v>
      </c>
      <c r="R28">
        <v>84.434486389160156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</row>
    <row r="29" spans="1:23">
      <c r="A29" t="s">
        <v>58</v>
      </c>
      <c r="B29" t="s">
        <v>59</v>
      </c>
      <c r="C29" t="s">
        <v>25</v>
      </c>
      <c r="D29" t="s">
        <v>33</v>
      </c>
      <c r="E29" t="s">
        <v>27</v>
      </c>
      <c r="F29" t="s">
        <v>28</v>
      </c>
      <c r="G29">
        <v>9.2999343872070312</v>
      </c>
      <c r="H29">
        <v>9.4223117828369141</v>
      </c>
      <c r="I29">
        <v>0.17306844890117645</v>
      </c>
      <c r="J29">
        <v>54268900</v>
      </c>
      <c r="K29">
        <v>50552512</v>
      </c>
      <c r="L29">
        <v>5255763.5</v>
      </c>
      <c r="M29" t="b">
        <v>0</v>
      </c>
      <c r="N29">
        <v>1</v>
      </c>
      <c r="O29" t="b">
        <v>1</v>
      </c>
      <c r="P29">
        <v>1</v>
      </c>
      <c r="Q29">
        <v>2</v>
      </c>
      <c r="R29">
        <v>84.052215576171875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</row>
    <row r="30" spans="1:23">
      <c r="A30" t="s">
        <v>60</v>
      </c>
      <c r="B30" t="s">
        <v>59</v>
      </c>
      <c r="C30" t="s">
        <v>25</v>
      </c>
      <c r="D30" t="s">
        <v>33</v>
      </c>
      <c r="E30" t="s">
        <v>27</v>
      </c>
      <c r="F30" t="s">
        <v>28</v>
      </c>
      <c r="G30">
        <v>9.5446901321411133</v>
      </c>
      <c r="H30">
        <v>9.4223117828369141</v>
      </c>
      <c r="I30">
        <v>0.17306844890117645</v>
      </c>
      <c r="J30">
        <v>46836128</v>
      </c>
      <c r="K30">
        <v>50552512</v>
      </c>
      <c r="L30">
        <v>5255763.5</v>
      </c>
      <c r="M30" t="b">
        <v>0</v>
      </c>
      <c r="N30">
        <v>1</v>
      </c>
      <c r="O30" t="b">
        <v>1</v>
      </c>
      <c r="P30">
        <v>1</v>
      </c>
      <c r="Q30">
        <v>2</v>
      </c>
      <c r="R30">
        <v>84.052215576171875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</row>
    <row r="31" spans="1:23">
      <c r="A31" t="s">
        <v>61</v>
      </c>
      <c r="B31" t="s">
        <v>62</v>
      </c>
      <c r="C31" t="s">
        <v>25</v>
      </c>
      <c r="D31" t="s">
        <v>33</v>
      </c>
      <c r="E31" t="s">
        <v>27</v>
      </c>
      <c r="F31" t="s">
        <v>28</v>
      </c>
      <c r="G31">
        <v>8.1494741439819336</v>
      </c>
      <c r="H31">
        <v>8.3429946899414062</v>
      </c>
      <c r="I31">
        <v>0.27367871999740601</v>
      </c>
      <c r="J31">
        <v>108452224</v>
      </c>
      <c r="K31">
        <v>97184760</v>
      </c>
      <c r="L31">
        <v>15934600</v>
      </c>
      <c r="M31" t="b">
        <v>0</v>
      </c>
      <c r="N31">
        <v>1</v>
      </c>
      <c r="O31" t="b">
        <v>1</v>
      </c>
      <c r="P31">
        <v>1</v>
      </c>
      <c r="Q31">
        <v>2</v>
      </c>
      <c r="R31">
        <v>84.052215576171875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</row>
    <row r="32" spans="1:23">
      <c r="A32" t="s">
        <v>63</v>
      </c>
      <c r="B32" t="s">
        <v>62</v>
      </c>
      <c r="C32" t="s">
        <v>25</v>
      </c>
      <c r="D32" t="s">
        <v>33</v>
      </c>
      <c r="E32" t="s">
        <v>27</v>
      </c>
      <c r="F32" t="s">
        <v>28</v>
      </c>
      <c r="G32">
        <v>8.5365142822265625</v>
      </c>
      <c r="H32">
        <v>8.3429946899414062</v>
      </c>
      <c r="I32">
        <v>0.27367871999740601</v>
      </c>
      <c r="J32">
        <v>85917296</v>
      </c>
      <c r="K32">
        <v>97184760</v>
      </c>
      <c r="L32">
        <v>15934600</v>
      </c>
      <c r="M32" t="b">
        <v>0</v>
      </c>
      <c r="N32">
        <v>1</v>
      </c>
      <c r="O32" t="b">
        <v>1</v>
      </c>
      <c r="P32">
        <v>1</v>
      </c>
      <c r="Q32">
        <v>2</v>
      </c>
      <c r="R32">
        <v>84.052215576171875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</row>
    <row r="33" spans="1:23">
      <c r="A33" t="s">
        <v>64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>
        <v>17.30815315246582</v>
      </c>
      <c r="H33">
        <v>17.365791320800781</v>
      </c>
      <c r="I33">
        <v>8.1514030694961548E-2</v>
      </c>
      <c r="J33">
        <v>500000</v>
      </c>
      <c r="K33" t="s">
        <v>24</v>
      </c>
      <c r="L33" t="s">
        <v>24</v>
      </c>
      <c r="M33" t="b">
        <v>0</v>
      </c>
      <c r="N33">
        <v>1</v>
      </c>
      <c r="O33" t="b">
        <v>1</v>
      </c>
      <c r="P33">
        <v>3</v>
      </c>
      <c r="Q33">
        <v>11</v>
      </c>
      <c r="R33">
        <v>84.816757202148438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</row>
    <row r="34" spans="1:23">
      <c r="A34" t="s">
        <v>65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>
        <v>17.423431396484375</v>
      </c>
      <c r="H34">
        <v>17.365791320800781</v>
      </c>
      <c r="I34">
        <v>8.1514030694961548E-2</v>
      </c>
      <c r="J34">
        <v>500000</v>
      </c>
      <c r="K34" t="s">
        <v>24</v>
      </c>
      <c r="L34" t="s">
        <v>24</v>
      </c>
      <c r="M34" t="b">
        <v>0</v>
      </c>
      <c r="N34">
        <v>1</v>
      </c>
      <c r="O34" t="b">
        <v>1</v>
      </c>
      <c r="P34">
        <v>3</v>
      </c>
      <c r="Q34">
        <v>10</v>
      </c>
      <c r="R34">
        <v>85.007888793945312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</row>
    <row r="35" spans="1:23">
      <c r="A35" t="s">
        <v>66</v>
      </c>
      <c r="B35" t="s">
        <v>67</v>
      </c>
      <c r="C35" t="s">
        <v>25</v>
      </c>
      <c r="D35" t="s">
        <v>33</v>
      </c>
      <c r="E35" t="s">
        <v>27</v>
      </c>
      <c r="F35" t="s">
        <v>28</v>
      </c>
      <c r="G35">
        <v>9.9191484451293945</v>
      </c>
      <c r="H35">
        <v>9.8925819396972656</v>
      </c>
      <c r="I35">
        <v>3.7570711225271225E-2</v>
      </c>
      <c r="J35">
        <v>37386216</v>
      </c>
      <c r="K35">
        <v>37993608</v>
      </c>
      <c r="L35">
        <v>858979.1875</v>
      </c>
      <c r="M35" t="b">
        <v>0</v>
      </c>
      <c r="N35">
        <v>1</v>
      </c>
      <c r="O35" t="b">
        <v>1</v>
      </c>
      <c r="P35">
        <v>1</v>
      </c>
      <c r="Q35">
        <v>3</v>
      </c>
      <c r="R35">
        <v>85.390151977539062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</row>
    <row r="36" spans="1:23">
      <c r="A36" t="s">
        <v>68</v>
      </c>
      <c r="B36" t="s">
        <v>67</v>
      </c>
      <c r="C36" t="s">
        <v>25</v>
      </c>
      <c r="D36" t="s">
        <v>33</v>
      </c>
      <c r="E36" t="s">
        <v>27</v>
      </c>
      <c r="F36" t="s">
        <v>28</v>
      </c>
      <c r="G36">
        <v>9.8660154342651367</v>
      </c>
      <c r="H36">
        <v>9.8925819396972656</v>
      </c>
      <c r="I36">
        <v>3.7570711225271225E-2</v>
      </c>
      <c r="J36">
        <v>38600996</v>
      </c>
      <c r="K36">
        <v>37993608</v>
      </c>
      <c r="L36">
        <v>858979.1875</v>
      </c>
      <c r="M36" t="b">
        <v>0</v>
      </c>
      <c r="N36">
        <v>1</v>
      </c>
      <c r="O36" t="b">
        <v>1</v>
      </c>
      <c r="P36">
        <v>1</v>
      </c>
      <c r="Q36">
        <v>3</v>
      </c>
      <c r="R36">
        <v>85.390151977539062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</row>
    <row r="37" spans="1:23">
      <c r="A37" t="s">
        <v>69</v>
      </c>
      <c r="B37" t="s">
        <v>70</v>
      </c>
      <c r="C37" t="s">
        <v>25</v>
      </c>
      <c r="D37" t="s">
        <v>33</v>
      </c>
      <c r="E37" t="s">
        <v>27</v>
      </c>
      <c r="F37" t="s">
        <v>28</v>
      </c>
      <c r="G37">
        <v>8.4850273132324219</v>
      </c>
      <c r="H37">
        <v>8.5328865051269531</v>
      </c>
      <c r="I37">
        <v>6.7683115601539612E-2</v>
      </c>
      <c r="J37">
        <v>88621144</v>
      </c>
      <c r="K37">
        <v>86140792</v>
      </c>
      <c r="L37">
        <v>3507747.5</v>
      </c>
      <c r="M37" t="b">
        <v>0</v>
      </c>
      <c r="N37">
        <v>1</v>
      </c>
      <c r="O37" t="b">
        <v>1</v>
      </c>
      <c r="P37">
        <v>1</v>
      </c>
      <c r="Q37">
        <v>2</v>
      </c>
      <c r="R37">
        <v>85.199020385742188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</row>
    <row r="38" spans="1:23">
      <c r="A38" t="s">
        <v>71</v>
      </c>
      <c r="B38" t="s">
        <v>70</v>
      </c>
      <c r="C38" t="s">
        <v>25</v>
      </c>
      <c r="D38" t="s">
        <v>33</v>
      </c>
      <c r="E38" t="s">
        <v>27</v>
      </c>
      <c r="F38" t="s">
        <v>28</v>
      </c>
      <c r="G38">
        <v>8.5807456970214844</v>
      </c>
      <c r="H38">
        <v>8.5328865051269531</v>
      </c>
      <c r="I38">
        <v>6.7683115601539612E-2</v>
      </c>
      <c r="J38">
        <v>83660440</v>
      </c>
      <c r="K38">
        <v>86140792</v>
      </c>
      <c r="L38">
        <v>3507747.5</v>
      </c>
      <c r="M38" t="b">
        <v>0</v>
      </c>
      <c r="N38">
        <v>1</v>
      </c>
      <c r="O38" t="b">
        <v>1</v>
      </c>
      <c r="P38">
        <v>1</v>
      </c>
      <c r="Q38">
        <v>2</v>
      </c>
      <c r="R38">
        <v>85.199020385742188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</row>
    <row r="39" spans="1:23">
      <c r="A39" t="s">
        <v>72</v>
      </c>
      <c r="B39" t="s">
        <v>73</v>
      </c>
      <c r="C39" t="s">
        <v>25</v>
      </c>
      <c r="D39" t="s">
        <v>33</v>
      </c>
      <c r="E39" t="s">
        <v>27</v>
      </c>
      <c r="F39" t="s">
        <v>28</v>
      </c>
      <c r="G39">
        <v>7.5613307952880859</v>
      </c>
      <c r="H39">
        <v>7.667323112487793</v>
      </c>
      <c r="I39">
        <v>0.14989542961120605</v>
      </c>
      <c r="J39">
        <v>154510224</v>
      </c>
      <c r="K39">
        <v>145257232</v>
      </c>
      <c r="L39">
        <v>13085707</v>
      </c>
      <c r="M39" t="b">
        <v>0</v>
      </c>
      <c r="N39">
        <v>1</v>
      </c>
      <c r="O39" t="b">
        <v>1</v>
      </c>
      <c r="P39">
        <v>1</v>
      </c>
      <c r="Q39">
        <v>2</v>
      </c>
      <c r="R39">
        <v>84.434486389160156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</row>
    <row r="40" spans="1:23">
      <c r="A40" t="s">
        <v>74</v>
      </c>
      <c r="B40" t="s">
        <v>73</v>
      </c>
      <c r="C40" t="s">
        <v>25</v>
      </c>
      <c r="D40" t="s">
        <v>33</v>
      </c>
      <c r="E40" t="s">
        <v>27</v>
      </c>
      <c r="F40" t="s">
        <v>28</v>
      </c>
      <c r="G40">
        <v>7.7733149528503418</v>
      </c>
      <c r="H40">
        <v>7.667323112487793</v>
      </c>
      <c r="I40">
        <v>0.14989542961120605</v>
      </c>
      <c r="J40">
        <v>136004240</v>
      </c>
      <c r="K40">
        <v>145257232</v>
      </c>
      <c r="L40">
        <v>13085707</v>
      </c>
      <c r="M40" t="b">
        <v>0</v>
      </c>
      <c r="N40">
        <v>1</v>
      </c>
      <c r="O40" t="b">
        <v>1</v>
      </c>
      <c r="P40">
        <v>1</v>
      </c>
      <c r="Q40">
        <v>2</v>
      </c>
      <c r="R40">
        <v>84.243354797363281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</row>
    <row r="41" spans="1:23">
      <c r="A41" t="s">
        <v>75</v>
      </c>
      <c r="B41" t="s">
        <v>76</v>
      </c>
      <c r="C41" t="s">
        <v>25</v>
      </c>
      <c r="D41" t="s">
        <v>33</v>
      </c>
      <c r="E41" t="s">
        <v>27</v>
      </c>
      <c r="F41" t="s">
        <v>28</v>
      </c>
      <c r="G41">
        <v>8.4931545257568359</v>
      </c>
      <c r="H41">
        <v>8.240208625793457</v>
      </c>
      <c r="I41">
        <v>0.35771918296813965</v>
      </c>
      <c r="J41">
        <v>88188752</v>
      </c>
      <c r="K41">
        <v>103881040</v>
      </c>
      <c r="L41">
        <v>22192252</v>
      </c>
      <c r="M41" t="b">
        <v>0</v>
      </c>
      <c r="N41">
        <v>1</v>
      </c>
      <c r="O41" t="b">
        <v>1</v>
      </c>
      <c r="P41">
        <v>1</v>
      </c>
      <c r="Q41">
        <v>2</v>
      </c>
      <c r="R41">
        <v>83.47882080078125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</row>
    <row r="42" spans="1:23">
      <c r="A42" t="s">
        <v>77</v>
      </c>
      <c r="B42" t="s">
        <v>76</v>
      </c>
      <c r="C42" t="s">
        <v>25</v>
      </c>
      <c r="D42" t="s">
        <v>33</v>
      </c>
      <c r="E42" t="s">
        <v>27</v>
      </c>
      <c r="F42" t="s">
        <v>28</v>
      </c>
      <c r="G42">
        <v>7.9872632026672363</v>
      </c>
      <c r="H42">
        <v>8.240208625793457</v>
      </c>
      <c r="I42">
        <v>0.35771918296813965</v>
      </c>
      <c r="J42">
        <v>119573336</v>
      </c>
      <c r="K42">
        <v>103881040</v>
      </c>
      <c r="L42">
        <v>22192252</v>
      </c>
      <c r="M42" t="b">
        <v>0</v>
      </c>
      <c r="N42">
        <v>1</v>
      </c>
      <c r="O42" t="b">
        <v>1</v>
      </c>
      <c r="P42">
        <v>1</v>
      </c>
      <c r="Q42">
        <v>2</v>
      </c>
      <c r="R42">
        <v>83.0965576171875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</row>
    <row r="43" spans="1:23">
      <c r="A43" t="s">
        <v>78</v>
      </c>
      <c r="B43" t="s">
        <v>79</v>
      </c>
      <c r="C43" t="s">
        <v>25</v>
      </c>
      <c r="D43" t="s">
        <v>33</v>
      </c>
      <c r="E43" t="s">
        <v>27</v>
      </c>
      <c r="F43" t="s">
        <v>28</v>
      </c>
      <c r="G43">
        <v>8.7125530242919922</v>
      </c>
      <c r="H43">
        <v>8.7760715484619141</v>
      </c>
      <c r="I43">
        <v>8.9828759431838989E-2</v>
      </c>
      <c r="J43">
        <v>77280624</v>
      </c>
      <c r="K43">
        <v>74436592</v>
      </c>
      <c r="L43">
        <v>4022074.25</v>
      </c>
      <c r="M43" t="b">
        <v>0</v>
      </c>
      <c r="N43">
        <v>1</v>
      </c>
      <c r="O43" t="b">
        <v>1</v>
      </c>
      <c r="P43">
        <v>1</v>
      </c>
      <c r="Q43">
        <v>2</v>
      </c>
      <c r="R43">
        <v>83.669952392578125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</row>
    <row r="44" spans="1:23">
      <c r="A44" t="s">
        <v>80</v>
      </c>
      <c r="B44" t="s">
        <v>79</v>
      </c>
      <c r="C44" t="s">
        <v>25</v>
      </c>
      <c r="D44" t="s">
        <v>33</v>
      </c>
      <c r="E44" t="s">
        <v>27</v>
      </c>
      <c r="F44" t="s">
        <v>28</v>
      </c>
      <c r="G44">
        <v>8.8395900726318359</v>
      </c>
      <c r="H44">
        <v>8.7760715484619141</v>
      </c>
      <c r="I44">
        <v>8.9828759431838989E-2</v>
      </c>
      <c r="J44">
        <v>71592552</v>
      </c>
      <c r="K44">
        <v>74436592</v>
      </c>
      <c r="L44">
        <v>4022074.25</v>
      </c>
      <c r="M44" t="b">
        <v>0</v>
      </c>
      <c r="N44">
        <v>1</v>
      </c>
      <c r="O44" t="b">
        <v>1</v>
      </c>
      <c r="P44">
        <v>1</v>
      </c>
      <c r="Q44">
        <v>2</v>
      </c>
      <c r="R44">
        <v>83.669952392578125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</row>
    <row r="45" spans="1:23">
      <c r="A45" t="s">
        <v>81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>
        <v>20.796779632568359</v>
      </c>
      <c r="H45">
        <v>21.021781921386719</v>
      </c>
      <c r="I45">
        <v>0.31820264458656311</v>
      </c>
      <c r="J45">
        <v>50000</v>
      </c>
      <c r="K45" t="s">
        <v>24</v>
      </c>
      <c r="L45" t="s">
        <v>24</v>
      </c>
      <c r="M45" t="b">
        <v>0</v>
      </c>
      <c r="N45">
        <v>1</v>
      </c>
      <c r="O45" t="b">
        <v>1</v>
      </c>
      <c r="P45">
        <v>3</v>
      </c>
      <c r="Q45">
        <v>14</v>
      </c>
      <c r="R45">
        <v>85.007888793945312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</row>
    <row r="46" spans="1:23">
      <c r="A46" t="s">
        <v>82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>
        <v>21.246786117553711</v>
      </c>
      <c r="H46">
        <v>21.021781921386719</v>
      </c>
      <c r="I46">
        <v>0.31820264458656311</v>
      </c>
      <c r="J46">
        <v>50000</v>
      </c>
      <c r="K46" t="s">
        <v>24</v>
      </c>
      <c r="L46" t="s">
        <v>24</v>
      </c>
      <c r="M46" t="b">
        <v>0</v>
      </c>
      <c r="N46">
        <v>1</v>
      </c>
      <c r="O46" t="b">
        <v>1</v>
      </c>
      <c r="P46">
        <v>3</v>
      </c>
      <c r="Q46">
        <v>15</v>
      </c>
      <c r="R46">
        <v>85.007888793945312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</row>
    <row r="47" spans="1:23">
      <c r="A47" t="s">
        <v>83</v>
      </c>
      <c r="B47" t="s">
        <v>84</v>
      </c>
      <c r="C47" t="s">
        <v>25</v>
      </c>
      <c r="D47" t="s">
        <v>33</v>
      </c>
      <c r="E47" t="s">
        <v>27</v>
      </c>
      <c r="F47" t="s">
        <v>28</v>
      </c>
      <c r="G47">
        <v>9.9859428405761719</v>
      </c>
      <c r="H47">
        <v>9.9703655242919922</v>
      </c>
      <c r="I47">
        <v>2.2029651328921318E-2</v>
      </c>
      <c r="J47">
        <v>35913188</v>
      </c>
      <c r="K47">
        <v>36253036</v>
      </c>
      <c r="L47">
        <v>480617.65625</v>
      </c>
      <c r="M47" t="b">
        <v>0</v>
      </c>
      <c r="N47">
        <v>1</v>
      </c>
      <c r="O47" t="b">
        <v>1</v>
      </c>
      <c r="P47">
        <v>1</v>
      </c>
      <c r="Q47">
        <v>2</v>
      </c>
      <c r="R47">
        <v>85.390151977539062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</row>
    <row r="48" spans="1:23">
      <c r="A48" t="s">
        <v>85</v>
      </c>
      <c r="B48" t="s">
        <v>84</v>
      </c>
      <c r="C48" t="s">
        <v>25</v>
      </c>
      <c r="D48" t="s">
        <v>33</v>
      </c>
      <c r="E48" t="s">
        <v>27</v>
      </c>
      <c r="F48" t="s">
        <v>28</v>
      </c>
      <c r="G48">
        <v>9.9547882080078125</v>
      </c>
      <c r="H48">
        <v>9.9703655242919922</v>
      </c>
      <c r="I48">
        <v>2.2029651328921318E-2</v>
      </c>
      <c r="J48">
        <v>36592884</v>
      </c>
      <c r="K48">
        <v>36253036</v>
      </c>
      <c r="L48">
        <v>480617.65625</v>
      </c>
      <c r="M48" t="b">
        <v>0</v>
      </c>
      <c r="N48">
        <v>1</v>
      </c>
      <c r="O48" t="b">
        <v>1</v>
      </c>
      <c r="P48">
        <v>3</v>
      </c>
      <c r="Q48">
        <v>4</v>
      </c>
      <c r="R48">
        <v>85.390151977539062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</row>
    <row r="49" spans="1:23">
      <c r="A49" t="s">
        <v>86</v>
      </c>
      <c r="B49" t="s">
        <v>87</v>
      </c>
      <c r="C49" t="s">
        <v>25</v>
      </c>
      <c r="D49" t="s">
        <v>33</v>
      </c>
      <c r="E49" t="s">
        <v>27</v>
      </c>
      <c r="F49" t="s">
        <v>28</v>
      </c>
      <c r="G49">
        <v>9.1100912094116211</v>
      </c>
      <c r="H49">
        <v>9.1108894348144531</v>
      </c>
      <c r="I49">
        <v>1.1281868210062385E-3</v>
      </c>
      <c r="J49">
        <v>60837160</v>
      </c>
      <c r="K49">
        <v>60807968</v>
      </c>
      <c r="L49">
        <v>41283.72265625</v>
      </c>
      <c r="M49" t="b">
        <v>0</v>
      </c>
      <c r="N49">
        <v>1</v>
      </c>
      <c r="O49" t="b">
        <v>1</v>
      </c>
      <c r="P49">
        <v>1</v>
      </c>
      <c r="Q49">
        <v>2</v>
      </c>
      <c r="R49">
        <v>85.199020385742188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</row>
    <row r="50" spans="1:23">
      <c r="A50" t="s">
        <v>88</v>
      </c>
      <c r="B50" t="s">
        <v>87</v>
      </c>
      <c r="C50" t="s">
        <v>25</v>
      </c>
      <c r="D50" t="s">
        <v>33</v>
      </c>
      <c r="E50" t="s">
        <v>27</v>
      </c>
      <c r="F50" t="s">
        <v>28</v>
      </c>
      <c r="G50">
        <v>9.1116867065429688</v>
      </c>
      <c r="H50">
        <v>9.1108894348144531</v>
      </c>
      <c r="I50">
        <v>1.1281868210062385E-3</v>
      </c>
      <c r="J50">
        <v>60778776</v>
      </c>
      <c r="K50">
        <v>60807968</v>
      </c>
      <c r="L50">
        <v>41283.72265625</v>
      </c>
      <c r="M50" t="b">
        <v>0</v>
      </c>
      <c r="N50">
        <v>1</v>
      </c>
      <c r="O50" t="b">
        <v>1</v>
      </c>
      <c r="P50">
        <v>1</v>
      </c>
      <c r="Q50">
        <v>3</v>
      </c>
      <c r="R50">
        <v>85.007888793945312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</row>
    <row r="51" spans="1:23">
      <c r="A51" t="s">
        <v>89</v>
      </c>
      <c r="B51" t="s">
        <v>90</v>
      </c>
      <c r="C51" t="s">
        <v>25</v>
      </c>
      <c r="D51" t="s">
        <v>33</v>
      </c>
      <c r="E51" t="s">
        <v>27</v>
      </c>
      <c r="F51" t="s">
        <v>28</v>
      </c>
      <c r="G51">
        <v>8.9672451019287109</v>
      </c>
      <c r="H51">
        <v>9.4032840728759766</v>
      </c>
      <c r="I51">
        <v>0.61665153503417969</v>
      </c>
      <c r="J51">
        <v>66298484</v>
      </c>
      <c r="K51">
        <v>52762296</v>
      </c>
      <c r="L51">
        <v>19143064</v>
      </c>
      <c r="M51" t="b">
        <v>0</v>
      </c>
      <c r="N51">
        <v>1</v>
      </c>
      <c r="O51" t="b">
        <v>1</v>
      </c>
      <c r="P51">
        <v>1</v>
      </c>
      <c r="Q51">
        <v>3</v>
      </c>
      <c r="R51">
        <v>84.625617980957031</v>
      </c>
      <c r="S51" t="s">
        <v>24</v>
      </c>
      <c r="T51" t="s">
        <v>24</v>
      </c>
      <c r="U51" t="s">
        <v>24</v>
      </c>
      <c r="V51" t="s">
        <v>29</v>
      </c>
      <c r="W51" t="s">
        <v>114</v>
      </c>
    </row>
    <row r="52" spans="1:23">
      <c r="A52" t="s">
        <v>91</v>
      </c>
      <c r="B52" t="s">
        <v>90</v>
      </c>
      <c r="C52" t="s">
        <v>25</v>
      </c>
      <c r="D52" t="s">
        <v>33</v>
      </c>
      <c r="E52" t="s">
        <v>27</v>
      </c>
      <c r="F52" t="s">
        <v>28</v>
      </c>
      <c r="G52">
        <v>9.8393220901489258</v>
      </c>
      <c r="H52">
        <v>9.4032840728759766</v>
      </c>
      <c r="I52">
        <v>0.61665153503417969</v>
      </c>
      <c r="J52">
        <v>39226104</v>
      </c>
      <c r="K52">
        <v>52762296</v>
      </c>
      <c r="L52">
        <v>19143064</v>
      </c>
      <c r="M52" t="b">
        <v>0</v>
      </c>
      <c r="N52">
        <v>1</v>
      </c>
      <c r="O52" t="b">
        <v>1</v>
      </c>
      <c r="P52">
        <v>3</v>
      </c>
      <c r="Q52">
        <v>4</v>
      </c>
      <c r="R52">
        <v>84.243354797363281</v>
      </c>
      <c r="S52" t="s">
        <v>24</v>
      </c>
      <c r="T52" t="s">
        <v>24</v>
      </c>
      <c r="U52" t="s">
        <v>24</v>
      </c>
      <c r="V52" t="s">
        <v>29</v>
      </c>
      <c r="W52" t="s">
        <v>114</v>
      </c>
    </row>
    <row r="53" spans="1:23">
      <c r="A53" t="s">
        <v>92</v>
      </c>
      <c r="B53" t="s">
        <v>93</v>
      </c>
      <c r="C53" t="s">
        <v>25</v>
      </c>
      <c r="D53" t="s">
        <v>33</v>
      </c>
      <c r="E53" t="s">
        <v>27</v>
      </c>
      <c r="F53" t="s">
        <v>28</v>
      </c>
      <c r="G53">
        <v>9.2202701568603516</v>
      </c>
      <c r="H53">
        <v>8.98468017578125</v>
      </c>
      <c r="I53">
        <v>0.33317521214485168</v>
      </c>
      <c r="J53">
        <v>56934076</v>
      </c>
      <c r="K53">
        <v>66267008</v>
      </c>
      <c r="L53">
        <v>13198756</v>
      </c>
      <c r="M53" t="b">
        <v>0</v>
      </c>
      <c r="N53">
        <v>1</v>
      </c>
      <c r="O53" t="b">
        <v>1</v>
      </c>
      <c r="P53">
        <v>1</v>
      </c>
      <c r="Q53">
        <v>3</v>
      </c>
      <c r="R53">
        <v>83.669952392578125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</row>
    <row r="54" spans="1:23">
      <c r="A54" t="s">
        <v>94</v>
      </c>
      <c r="B54" t="s">
        <v>93</v>
      </c>
      <c r="C54" t="s">
        <v>25</v>
      </c>
      <c r="D54" t="s">
        <v>33</v>
      </c>
      <c r="E54" t="s">
        <v>27</v>
      </c>
      <c r="F54" t="s">
        <v>28</v>
      </c>
      <c r="G54">
        <v>8.749089241027832</v>
      </c>
      <c r="H54">
        <v>8.98468017578125</v>
      </c>
      <c r="I54">
        <v>0.33317521214485168</v>
      </c>
      <c r="J54">
        <v>75599936</v>
      </c>
      <c r="K54">
        <v>66267008</v>
      </c>
      <c r="L54">
        <v>13198756</v>
      </c>
      <c r="M54" t="b">
        <v>0</v>
      </c>
      <c r="N54">
        <v>1</v>
      </c>
      <c r="O54" t="b">
        <v>1</v>
      </c>
      <c r="P54">
        <v>1</v>
      </c>
      <c r="Q54">
        <v>2</v>
      </c>
      <c r="R54">
        <v>83.0965576171875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</row>
    <row r="55" spans="1:23">
      <c r="A55" t="s">
        <v>95</v>
      </c>
      <c r="B55" t="s">
        <v>96</v>
      </c>
      <c r="C55" t="s">
        <v>25</v>
      </c>
      <c r="D55" t="s">
        <v>33</v>
      </c>
      <c r="E55" t="s">
        <v>27</v>
      </c>
      <c r="F55" t="s">
        <v>28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b">
        <v>0</v>
      </c>
      <c r="N55">
        <v>1</v>
      </c>
      <c r="O55" t="b">
        <v>1</v>
      </c>
      <c r="P55">
        <v>3</v>
      </c>
      <c r="Q55">
        <v>11</v>
      </c>
      <c r="R55" t="s">
        <v>24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</row>
    <row r="56" spans="1:23">
      <c r="A56" t="s">
        <v>97</v>
      </c>
      <c r="B56" t="s">
        <v>96</v>
      </c>
      <c r="C56" t="s">
        <v>25</v>
      </c>
      <c r="D56" t="s">
        <v>33</v>
      </c>
      <c r="E56" t="s">
        <v>27</v>
      </c>
      <c r="F56" t="s">
        <v>28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b">
        <v>0</v>
      </c>
      <c r="N56">
        <v>1</v>
      </c>
      <c r="O56" t="b">
        <v>1</v>
      </c>
      <c r="P56">
        <v>3</v>
      </c>
      <c r="Q56">
        <v>29</v>
      </c>
      <c r="R56" t="s">
        <v>24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</row>
    <row r="57" spans="1:23">
      <c r="A57" t="s">
        <v>98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>
        <v>25.122976303100586</v>
      </c>
      <c r="H57">
        <v>24.956218719482422</v>
      </c>
      <c r="I57">
        <v>0.23583084344863892</v>
      </c>
      <c r="J57">
        <v>5000</v>
      </c>
      <c r="K57" t="s">
        <v>24</v>
      </c>
      <c r="L57" t="s">
        <v>24</v>
      </c>
      <c r="M57" t="b">
        <v>0</v>
      </c>
      <c r="N57">
        <v>1</v>
      </c>
      <c r="O57" t="b">
        <v>1</v>
      </c>
      <c r="P57">
        <v>3</v>
      </c>
      <c r="Q57">
        <v>17</v>
      </c>
      <c r="R57">
        <v>85.007888793945312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</row>
    <row r="58" spans="1:23">
      <c r="A58" t="s">
        <v>99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>
        <v>24.789461135864258</v>
      </c>
      <c r="H58">
        <v>24.956218719482422</v>
      </c>
      <c r="I58">
        <v>0.23583084344863892</v>
      </c>
      <c r="J58">
        <v>5000</v>
      </c>
      <c r="K58" t="s">
        <v>24</v>
      </c>
      <c r="L58" t="s">
        <v>24</v>
      </c>
      <c r="M58" t="b">
        <v>0</v>
      </c>
      <c r="N58">
        <v>1</v>
      </c>
      <c r="O58" t="b">
        <v>1</v>
      </c>
      <c r="P58">
        <v>3</v>
      </c>
      <c r="Q58">
        <v>17</v>
      </c>
      <c r="R58">
        <v>85.199020385742188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</row>
    <row r="59" spans="1:23">
      <c r="A59" t="s">
        <v>100</v>
      </c>
      <c r="B59" t="s">
        <v>101</v>
      </c>
      <c r="C59" t="s">
        <v>25</v>
      </c>
      <c r="D59" t="s">
        <v>33</v>
      </c>
      <c r="E59" t="s">
        <v>27</v>
      </c>
      <c r="F59" t="s">
        <v>28</v>
      </c>
      <c r="G59">
        <v>8.7397480010986328</v>
      </c>
      <c r="H59">
        <v>8.6140899658203125</v>
      </c>
      <c r="I59">
        <v>0.17770662903785706</v>
      </c>
      <c r="J59">
        <v>76026128</v>
      </c>
      <c r="K59">
        <v>82232912</v>
      </c>
      <c r="L59">
        <v>8777724</v>
      </c>
      <c r="M59" t="b">
        <v>0</v>
      </c>
      <c r="N59">
        <v>1</v>
      </c>
      <c r="O59" t="b">
        <v>1</v>
      </c>
      <c r="P59">
        <v>1</v>
      </c>
      <c r="Q59">
        <v>3</v>
      </c>
      <c r="R59">
        <v>85.007888793945312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</row>
    <row r="60" spans="1:23">
      <c r="A60" t="s">
        <v>102</v>
      </c>
      <c r="B60" t="s">
        <v>101</v>
      </c>
      <c r="C60" t="s">
        <v>25</v>
      </c>
      <c r="D60" t="s">
        <v>33</v>
      </c>
      <c r="E60" t="s">
        <v>27</v>
      </c>
      <c r="F60" t="s">
        <v>28</v>
      </c>
      <c r="G60">
        <v>8.4884328842163086</v>
      </c>
      <c r="H60">
        <v>8.6140899658203125</v>
      </c>
      <c r="I60">
        <v>0.17770662903785706</v>
      </c>
      <c r="J60">
        <v>88439704</v>
      </c>
      <c r="K60">
        <v>82232912</v>
      </c>
      <c r="L60">
        <v>8777724</v>
      </c>
      <c r="M60" t="b">
        <v>0</v>
      </c>
      <c r="N60">
        <v>1</v>
      </c>
      <c r="O60" t="b">
        <v>1</v>
      </c>
      <c r="P60">
        <v>1</v>
      </c>
      <c r="Q60">
        <v>2</v>
      </c>
      <c r="R60">
        <v>85.007888793945312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</row>
    <row r="61" spans="1:23">
      <c r="A61" t="s">
        <v>103</v>
      </c>
      <c r="B61" t="s">
        <v>104</v>
      </c>
      <c r="C61" t="s">
        <v>25</v>
      </c>
      <c r="D61" t="s">
        <v>33</v>
      </c>
      <c r="E61" t="s">
        <v>27</v>
      </c>
      <c r="F61" t="s">
        <v>28</v>
      </c>
      <c r="G61">
        <v>7.7394752502441406</v>
      </c>
      <c r="H61">
        <v>7.7157497406005859</v>
      </c>
      <c r="I61">
        <v>3.3552937209606171E-2</v>
      </c>
      <c r="J61">
        <v>138802368</v>
      </c>
      <c r="K61">
        <v>140812800</v>
      </c>
      <c r="L61">
        <v>2843169</v>
      </c>
      <c r="M61" t="b">
        <v>0</v>
      </c>
      <c r="N61">
        <v>1</v>
      </c>
      <c r="O61" t="b">
        <v>0</v>
      </c>
      <c r="P61">
        <v>2</v>
      </c>
      <c r="Q61">
        <v>5</v>
      </c>
      <c r="R61">
        <v>85.199020385742188</v>
      </c>
      <c r="S61" t="s">
        <v>24</v>
      </c>
      <c r="T61" t="s">
        <v>24</v>
      </c>
      <c r="U61" t="s">
        <v>24</v>
      </c>
      <c r="V61" t="s">
        <v>29</v>
      </c>
      <c r="W61" t="s">
        <v>29</v>
      </c>
    </row>
    <row r="62" spans="1:23">
      <c r="A62" t="s">
        <v>105</v>
      </c>
      <c r="B62" t="s">
        <v>104</v>
      </c>
      <c r="C62" t="s">
        <v>25</v>
      </c>
      <c r="D62" t="s">
        <v>33</v>
      </c>
      <c r="E62" t="s">
        <v>27</v>
      </c>
      <c r="F62" t="s">
        <v>28</v>
      </c>
      <c r="G62">
        <v>7.6920242309570312</v>
      </c>
      <c r="H62">
        <v>7.7157497406005859</v>
      </c>
      <c r="I62">
        <v>3.3552937209606171E-2</v>
      </c>
      <c r="J62">
        <v>142823216</v>
      </c>
      <c r="K62">
        <v>140812800</v>
      </c>
      <c r="L62">
        <v>2843169</v>
      </c>
      <c r="M62" t="b">
        <v>0</v>
      </c>
      <c r="N62">
        <v>1</v>
      </c>
      <c r="O62" t="b">
        <v>0</v>
      </c>
      <c r="P62">
        <v>2</v>
      </c>
      <c r="Q62">
        <v>5</v>
      </c>
      <c r="R62">
        <v>85.007888793945312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</row>
    <row r="63" spans="1:23">
      <c r="A63" t="s">
        <v>106</v>
      </c>
      <c r="B63" t="s">
        <v>107</v>
      </c>
      <c r="C63" t="s">
        <v>25</v>
      </c>
      <c r="D63" t="s">
        <v>33</v>
      </c>
      <c r="E63" t="s">
        <v>27</v>
      </c>
      <c r="F63" t="s">
        <v>28</v>
      </c>
      <c r="G63">
        <v>8.4675073623657227</v>
      </c>
      <c r="H63">
        <v>8.6534671783447266</v>
      </c>
      <c r="I63">
        <v>0.26298755407333374</v>
      </c>
      <c r="J63">
        <v>89560480</v>
      </c>
      <c r="K63">
        <v>80580016</v>
      </c>
      <c r="L63">
        <v>12700300</v>
      </c>
      <c r="M63" t="b">
        <v>0</v>
      </c>
      <c r="N63">
        <v>1</v>
      </c>
      <c r="O63" t="b">
        <v>1</v>
      </c>
      <c r="P63">
        <v>1</v>
      </c>
      <c r="Q63">
        <v>2</v>
      </c>
      <c r="R63">
        <v>84.816757202148438</v>
      </c>
      <c r="S63" t="s">
        <v>24</v>
      </c>
      <c r="T63" t="s">
        <v>24</v>
      </c>
      <c r="U63" t="s">
        <v>24</v>
      </c>
      <c r="V63" t="s">
        <v>29</v>
      </c>
      <c r="W63" t="s">
        <v>29</v>
      </c>
    </row>
    <row r="64" spans="1:23">
      <c r="A64" t="s">
        <v>108</v>
      </c>
      <c r="B64" t="s">
        <v>107</v>
      </c>
      <c r="C64" t="s">
        <v>25</v>
      </c>
      <c r="D64" t="s">
        <v>33</v>
      </c>
      <c r="E64" t="s">
        <v>27</v>
      </c>
      <c r="F64" t="s">
        <v>28</v>
      </c>
      <c r="G64">
        <v>8.8394279479980469</v>
      </c>
      <c r="H64">
        <v>8.6534671783447266</v>
      </c>
      <c r="I64">
        <v>0.26298755407333374</v>
      </c>
      <c r="J64">
        <v>71599544</v>
      </c>
      <c r="K64">
        <v>80580016</v>
      </c>
      <c r="L64">
        <v>12700300</v>
      </c>
      <c r="M64" t="b">
        <v>0</v>
      </c>
      <c r="N64">
        <v>1</v>
      </c>
      <c r="O64" t="b">
        <v>1</v>
      </c>
      <c r="P64">
        <v>1</v>
      </c>
      <c r="Q64">
        <v>2</v>
      </c>
      <c r="R64">
        <v>84.625617980957031</v>
      </c>
      <c r="S64" t="s">
        <v>24</v>
      </c>
      <c r="T64" t="s">
        <v>24</v>
      </c>
      <c r="U64" t="s">
        <v>24</v>
      </c>
      <c r="V64" t="s">
        <v>29</v>
      </c>
      <c r="W64" t="s">
        <v>29</v>
      </c>
    </row>
    <row r="65" spans="1:23">
      <c r="A65" t="s">
        <v>109</v>
      </c>
      <c r="B65" t="s">
        <v>110</v>
      </c>
      <c r="C65" t="s">
        <v>25</v>
      </c>
      <c r="D65" t="s">
        <v>33</v>
      </c>
      <c r="E65" t="s">
        <v>27</v>
      </c>
      <c r="F65" t="s">
        <v>28</v>
      </c>
      <c r="G65">
        <v>8.1749057769775391</v>
      </c>
      <c r="H65">
        <v>8.1593399047851562</v>
      </c>
      <c r="I65">
        <v>2.201346680521965E-2</v>
      </c>
      <c r="J65">
        <v>106805000</v>
      </c>
      <c r="K65">
        <v>107814944</v>
      </c>
      <c r="L65">
        <v>1428282.125</v>
      </c>
      <c r="M65" t="b">
        <v>0</v>
      </c>
      <c r="N65">
        <v>1</v>
      </c>
      <c r="O65" t="b">
        <v>1</v>
      </c>
      <c r="P65">
        <v>1</v>
      </c>
      <c r="Q65">
        <v>2</v>
      </c>
      <c r="R65">
        <v>84.243354797363281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</row>
    <row r="66" spans="1:23">
      <c r="A66" t="s">
        <v>111</v>
      </c>
      <c r="B66" t="s">
        <v>110</v>
      </c>
      <c r="C66" t="s">
        <v>25</v>
      </c>
      <c r="D66" t="s">
        <v>33</v>
      </c>
      <c r="E66" t="s">
        <v>27</v>
      </c>
      <c r="F66" t="s">
        <v>28</v>
      </c>
      <c r="G66">
        <v>8.1437740325927734</v>
      </c>
      <c r="H66">
        <v>8.1593399047851562</v>
      </c>
      <c r="I66">
        <v>2.201346680521965E-2</v>
      </c>
      <c r="J66">
        <v>108824896</v>
      </c>
      <c r="K66">
        <v>107814944</v>
      </c>
      <c r="L66">
        <v>1428282.125</v>
      </c>
      <c r="M66" t="b">
        <v>0</v>
      </c>
      <c r="N66">
        <v>1</v>
      </c>
      <c r="O66" t="b">
        <v>1</v>
      </c>
      <c r="P66">
        <v>1</v>
      </c>
      <c r="Q66">
        <v>2</v>
      </c>
      <c r="R66">
        <v>84.052215576171875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</row>
    <row r="67" spans="1:23">
      <c r="A67" t="s">
        <v>112</v>
      </c>
      <c r="B67" t="s">
        <v>113</v>
      </c>
      <c r="C67" t="s">
        <v>25</v>
      </c>
      <c r="D67" t="s">
        <v>33</v>
      </c>
      <c r="E67" t="s">
        <v>27</v>
      </c>
      <c r="F67" t="s">
        <v>28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b">
        <v>0</v>
      </c>
      <c r="N67">
        <v>1</v>
      </c>
      <c r="O67" t="b">
        <v>1</v>
      </c>
      <c r="P67">
        <v>3</v>
      </c>
      <c r="Q67">
        <v>45</v>
      </c>
      <c r="R67" t="s">
        <v>24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</row>
    <row r="68" spans="1:23">
      <c r="A68" t="s">
        <v>115</v>
      </c>
      <c r="B68" t="s">
        <v>113</v>
      </c>
      <c r="C68" t="s">
        <v>25</v>
      </c>
      <c r="D68" t="s">
        <v>33</v>
      </c>
      <c r="E68" t="s">
        <v>27</v>
      </c>
      <c r="F68" t="s">
        <v>28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b">
        <v>0</v>
      </c>
      <c r="N68">
        <v>1</v>
      </c>
      <c r="O68" t="b">
        <v>1</v>
      </c>
      <c r="P68">
        <v>3</v>
      </c>
      <c r="Q68">
        <v>49</v>
      </c>
      <c r="R68" t="s">
        <v>24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</row>
    <row r="69" spans="1:23">
      <c r="A69" t="s">
        <v>116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>
        <v>28.383970260620117</v>
      </c>
      <c r="H69">
        <v>28.320011138916016</v>
      </c>
      <c r="I69">
        <v>9.0451858937740326E-2</v>
      </c>
      <c r="J69">
        <v>500</v>
      </c>
      <c r="K69" t="s">
        <v>24</v>
      </c>
      <c r="L69" t="s">
        <v>24</v>
      </c>
      <c r="M69" t="b">
        <v>0</v>
      </c>
      <c r="N69">
        <v>1</v>
      </c>
      <c r="O69" t="b">
        <v>1</v>
      </c>
      <c r="P69">
        <v>3</v>
      </c>
      <c r="Q69">
        <v>22</v>
      </c>
      <c r="R69">
        <v>85.007888793945312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</row>
    <row r="70" spans="1:23">
      <c r="A70" t="s">
        <v>117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>
        <v>28.256052017211914</v>
      </c>
      <c r="H70">
        <v>28.320011138916016</v>
      </c>
      <c r="I70">
        <v>9.0451858937740326E-2</v>
      </c>
      <c r="J70">
        <v>500</v>
      </c>
      <c r="K70" t="s">
        <v>24</v>
      </c>
      <c r="L70" t="s">
        <v>24</v>
      </c>
      <c r="M70" t="b">
        <v>0</v>
      </c>
      <c r="N70">
        <v>1</v>
      </c>
      <c r="O70" t="b">
        <v>1</v>
      </c>
      <c r="P70">
        <v>3</v>
      </c>
      <c r="Q70">
        <v>20</v>
      </c>
      <c r="R70">
        <v>85.199020385742188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</row>
    <row r="71" spans="1:23">
      <c r="A71" t="s">
        <v>118</v>
      </c>
      <c r="B71" t="s">
        <v>119</v>
      </c>
      <c r="C71" t="s">
        <v>25</v>
      </c>
      <c r="D71" t="s">
        <v>33</v>
      </c>
      <c r="E71" t="s">
        <v>27</v>
      </c>
      <c r="F71" t="s">
        <v>28</v>
      </c>
      <c r="G71">
        <v>9.4907512664794922</v>
      </c>
      <c r="H71">
        <v>9.4322891235351562</v>
      </c>
      <c r="I71">
        <v>8.2678630948066711E-2</v>
      </c>
      <c r="J71">
        <v>48381416</v>
      </c>
      <c r="K71">
        <v>50144960</v>
      </c>
      <c r="L71">
        <v>2494025</v>
      </c>
      <c r="M71" t="b">
        <v>0</v>
      </c>
      <c r="N71">
        <v>1</v>
      </c>
      <c r="O71" t="b">
        <v>1</v>
      </c>
      <c r="P71">
        <v>1</v>
      </c>
      <c r="Q71">
        <v>2</v>
      </c>
      <c r="R71">
        <v>85.199020385742188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</row>
    <row r="72" spans="1:23">
      <c r="A72" t="s">
        <v>120</v>
      </c>
      <c r="B72" t="s">
        <v>119</v>
      </c>
      <c r="C72" t="s">
        <v>25</v>
      </c>
      <c r="D72" t="s">
        <v>33</v>
      </c>
      <c r="E72" t="s">
        <v>27</v>
      </c>
      <c r="F72" t="s">
        <v>28</v>
      </c>
      <c r="G72">
        <v>9.3738260269165039</v>
      </c>
      <c r="H72">
        <v>9.4322891235351562</v>
      </c>
      <c r="I72">
        <v>8.2678630948066711E-2</v>
      </c>
      <c r="J72">
        <v>51908500</v>
      </c>
      <c r="K72">
        <v>50144960</v>
      </c>
      <c r="L72">
        <v>2494025</v>
      </c>
      <c r="M72" t="b">
        <v>0</v>
      </c>
      <c r="N72">
        <v>1</v>
      </c>
      <c r="O72" t="b">
        <v>1</v>
      </c>
      <c r="P72">
        <v>1</v>
      </c>
      <c r="Q72">
        <v>3</v>
      </c>
      <c r="R72">
        <v>85.390151977539062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</row>
    <row r="73" spans="1:23">
      <c r="A73" t="s">
        <v>121</v>
      </c>
      <c r="B73" t="s">
        <v>122</v>
      </c>
      <c r="C73" t="s">
        <v>25</v>
      </c>
      <c r="D73" t="s">
        <v>33</v>
      </c>
      <c r="E73" t="s">
        <v>27</v>
      </c>
      <c r="F73" t="s">
        <v>28</v>
      </c>
      <c r="G73">
        <v>8.0045394897460938</v>
      </c>
      <c r="H73">
        <v>7.9567246437072754</v>
      </c>
      <c r="I73">
        <v>6.7620404064655304E-2</v>
      </c>
      <c r="J73">
        <v>118336568</v>
      </c>
      <c r="K73">
        <v>121841648</v>
      </c>
      <c r="L73">
        <v>4956931.5</v>
      </c>
      <c r="M73" t="b">
        <v>0</v>
      </c>
      <c r="N73">
        <v>1</v>
      </c>
      <c r="O73" t="b">
        <v>1</v>
      </c>
      <c r="P73">
        <v>1</v>
      </c>
      <c r="Q73">
        <v>2</v>
      </c>
      <c r="R73">
        <v>85.199020385742188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</row>
    <row r="74" spans="1:23">
      <c r="A74" t="s">
        <v>123</v>
      </c>
      <c r="B74" t="s">
        <v>122</v>
      </c>
      <c r="C74" t="s">
        <v>25</v>
      </c>
      <c r="D74" t="s">
        <v>33</v>
      </c>
      <c r="E74" t="s">
        <v>27</v>
      </c>
      <c r="F74" t="s">
        <v>28</v>
      </c>
      <c r="G74">
        <v>7.908909797668457</v>
      </c>
      <c r="H74">
        <v>7.9567246437072754</v>
      </c>
      <c r="I74">
        <v>6.7620404064655304E-2</v>
      </c>
      <c r="J74">
        <v>125346728</v>
      </c>
      <c r="K74">
        <v>121841648</v>
      </c>
      <c r="L74">
        <v>4956931.5</v>
      </c>
      <c r="M74" t="b">
        <v>0</v>
      </c>
      <c r="N74">
        <v>1</v>
      </c>
      <c r="O74" t="b">
        <v>1</v>
      </c>
      <c r="P74">
        <v>1</v>
      </c>
      <c r="Q74">
        <v>2</v>
      </c>
      <c r="R74">
        <v>85.007888793945312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</row>
    <row r="75" spans="1:23">
      <c r="A75" t="s">
        <v>124</v>
      </c>
      <c r="B75" t="s">
        <v>125</v>
      </c>
      <c r="C75" t="s">
        <v>25</v>
      </c>
      <c r="D75" t="s">
        <v>33</v>
      </c>
      <c r="E75" t="s">
        <v>27</v>
      </c>
      <c r="F75" t="s">
        <v>28</v>
      </c>
      <c r="G75">
        <v>8.8877534866333008</v>
      </c>
      <c r="H75">
        <v>8.9728660583496094</v>
      </c>
      <c r="I75">
        <v>0.12036802619695663</v>
      </c>
      <c r="J75">
        <v>69547216</v>
      </c>
      <c r="K75">
        <v>66161272</v>
      </c>
      <c r="L75">
        <v>4788448</v>
      </c>
      <c r="M75" t="b">
        <v>0</v>
      </c>
      <c r="N75">
        <v>1</v>
      </c>
      <c r="O75" t="b">
        <v>1</v>
      </c>
      <c r="P75">
        <v>1</v>
      </c>
      <c r="Q75">
        <v>2</v>
      </c>
      <c r="R75">
        <v>84.816757202148438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</row>
    <row r="76" spans="1:23">
      <c r="A76" t="s">
        <v>126</v>
      </c>
      <c r="B76" t="s">
        <v>125</v>
      </c>
      <c r="C76" t="s">
        <v>25</v>
      </c>
      <c r="D76" t="s">
        <v>33</v>
      </c>
      <c r="E76" t="s">
        <v>27</v>
      </c>
      <c r="F76" t="s">
        <v>28</v>
      </c>
      <c r="G76">
        <v>9.0579795837402344</v>
      </c>
      <c r="H76">
        <v>8.9728660583496094</v>
      </c>
      <c r="I76">
        <v>0.12036802619695663</v>
      </c>
      <c r="J76">
        <v>62775328</v>
      </c>
      <c r="K76">
        <v>66161272</v>
      </c>
      <c r="L76">
        <v>4788448</v>
      </c>
      <c r="M76" t="b">
        <v>0</v>
      </c>
      <c r="N76">
        <v>1</v>
      </c>
      <c r="O76" t="b">
        <v>1</v>
      </c>
      <c r="P76">
        <v>1</v>
      </c>
      <c r="Q76">
        <v>2</v>
      </c>
      <c r="R76">
        <v>84.816757202148438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</row>
    <row r="77" spans="1:23">
      <c r="A77" t="s">
        <v>127</v>
      </c>
      <c r="B77" t="s">
        <v>128</v>
      </c>
      <c r="C77" t="s">
        <v>25</v>
      </c>
      <c r="D77" t="s">
        <v>33</v>
      </c>
      <c r="E77" t="s">
        <v>27</v>
      </c>
      <c r="F77" t="s">
        <v>28</v>
      </c>
      <c r="G77">
        <v>8.3746709823608398</v>
      </c>
      <c r="H77">
        <v>8.519892692565918</v>
      </c>
      <c r="I77">
        <v>0.20537450909614563</v>
      </c>
      <c r="J77">
        <v>94706632</v>
      </c>
      <c r="K77">
        <v>87112672</v>
      </c>
      <c r="L77">
        <v>10739487</v>
      </c>
      <c r="M77" t="b">
        <v>0</v>
      </c>
      <c r="N77">
        <v>1</v>
      </c>
      <c r="O77" t="b">
        <v>1</v>
      </c>
      <c r="P77">
        <v>1</v>
      </c>
      <c r="Q77">
        <v>2</v>
      </c>
      <c r="R77">
        <v>84.434486389160156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</row>
    <row r="78" spans="1:23">
      <c r="A78" t="s">
        <v>129</v>
      </c>
      <c r="B78" t="s">
        <v>128</v>
      </c>
      <c r="C78" t="s">
        <v>25</v>
      </c>
      <c r="D78" t="s">
        <v>33</v>
      </c>
      <c r="E78" t="s">
        <v>27</v>
      </c>
      <c r="F78" t="s">
        <v>28</v>
      </c>
      <c r="G78">
        <v>8.6651144027709961</v>
      </c>
      <c r="H78">
        <v>8.519892692565918</v>
      </c>
      <c r="I78">
        <v>0.20537450909614563</v>
      </c>
      <c r="J78">
        <v>79518704</v>
      </c>
      <c r="K78">
        <v>87112672</v>
      </c>
      <c r="L78">
        <v>10739487</v>
      </c>
      <c r="M78" t="b">
        <v>0</v>
      </c>
      <c r="N78">
        <v>1</v>
      </c>
      <c r="O78" t="b">
        <v>1</v>
      </c>
      <c r="P78">
        <v>1</v>
      </c>
      <c r="Q78">
        <v>2</v>
      </c>
      <c r="R78">
        <v>84.434486389160156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</row>
    <row r="79" spans="1:23">
      <c r="A79" t="s">
        <v>130</v>
      </c>
      <c r="B79" t="s">
        <v>131</v>
      </c>
      <c r="C79" t="s">
        <v>25</v>
      </c>
      <c r="D79" t="s">
        <v>33</v>
      </c>
      <c r="E79" t="s">
        <v>27</v>
      </c>
      <c r="F79" t="s">
        <v>28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b">
        <v>0</v>
      </c>
      <c r="N79">
        <v>1</v>
      </c>
      <c r="O79" t="b">
        <v>1</v>
      </c>
      <c r="P79">
        <v>3</v>
      </c>
      <c r="Q79">
        <v>48</v>
      </c>
      <c r="R79" t="s">
        <v>24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</row>
    <row r="80" spans="1:23">
      <c r="A80" t="s">
        <v>132</v>
      </c>
      <c r="B80" t="s">
        <v>131</v>
      </c>
      <c r="C80" t="s">
        <v>25</v>
      </c>
      <c r="D80" t="s">
        <v>33</v>
      </c>
      <c r="E80" t="s">
        <v>27</v>
      </c>
      <c r="F80" t="s">
        <v>28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b">
        <v>0</v>
      </c>
      <c r="N80">
        <v>1</v>
      </c>
      <c r="O80" t="b">
        <v>1</v>
      </c>
      <c r="P80">
        <v>3</v>
      </c>
      <c r="Q80">
        <v>49</v>
      </c>
      <c r="R80" t="s">
        <v>24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</row>
    <row r="81" spans="1:23">
      <c r="A81" t="s">
        <v>133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b">
        <v>0</v>
      </c>
      <c r="N81">
        <v>1</v>
      </c>
      <c r="O81" t="b">
        <v>1</v>
      </c>
      <c r="P81">
        <v>3</v>
      </c>
      <c r="Q81">
        <v>23</v>
      </c>
      <c r="R81" t="s">
        <v>24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</row>
    <row r="82" spans="1:23">
      <c r="A82" t="s">
        <v>134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b">
        <v>0</v>
      </c>
      <c r="N82">
        <v>1</v>
      </c>
      <c r="O82" t="b">
        <v>1</v>
      </c>
      <c r="P82">
        <v>3</v>
      </c>
      <c r="Q82">
        <v>22</v>
      </c>
      <c r="R82" t="s">
        <v>24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</row>
    <row r="83" spans="1:23">
      <c r="A83" t="s">
        <v>135</v>
      </c>
      <c r="B83" t="s">
        <v>136</v>
      </c>
      <c r="C83" t="s">
        <v>25</v>
      </c>
      <c r="D83" t="s">
        <v>33</v>
      </c>
      <c r="E83" t="s">
        <v>27</v>
      </c>
      <c r="F83" t="s">
        <v>28</v>
      </c>
      <c r="G83">
        <v>9.3949317932128906</v>
      </c>
      <c r="H83">
        <v>9.2930269241333008</v>
      </c>
      <c r="I83">
        <v>0.14411525428295135</v>
      </c>
      <c r="J83">
        <v>51253348</v>
      </c>
      <c r="K83">
        <v>54597472</v>
      </c>
      <c r="L83">
        <v>4729308.5</v>
      </c>
      <c r="M83" t="b">
        <v>0</v>
      </c>
      <c r="N83">
        <v>1</v>
      </c>
      <c r="O83" t="b">
        <v>1</v>
      </c>
      <c r="P83">
        <v>1</v>
      </c>
      <c r="Q83">
        <v>2</v>
      </c>
      <c r="R83">
        <v>85.199020385742188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</row>
    <row r="84" spans="1:23">
      <c r="A84" t="s">
        <v>137</v>
      </c>
      <c r="B84" t="s">
        <v>136</v>
      </c>
      <c r="C84" t="s">
        <v>25</v>
      </c>
      <c r="D84" t="s">
        <v>33</v>
      </c>
      <c r="E84" t="s">
        <v>27</v>
      </c>
      <c r="F84" t="s">
        <v>28</v>
      </c>
      <c r="G84">
        <v>9.1911220550537109</v>
      </c>
      <c r="H84">
        <v>9.2930269241333008</v>
      </c>
      <c r="I84">
        <v>0.14411525428295135</v>
      </c>
      <c r="J84">
        <v>57941600</v>
      </c>
      <c r="K84">
        <v>54597472</v>
      </c>
      <c r="L84">
        <v>4729308.5</v>
      </c>
      <c r="M84" t="b">
        <v>0</v>
      </c>
      <c r="N84">
        <v>1</v>
      </c>
      <c r="O84" t="b">
        <v>1</v>
      </c>
      <c r="P84">
        <v>1</v>
      </c>
      <c r="Q84">
        <v>3</v>
      </c>
      <c r="R84">
        <v>85.199020385742188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</row>
    <row r="85" spans="1:23">
      <c r="A85" t="s">
        <v>138</v>
      </c>
      <c r="B85" t="s">
        <v>139</v>
      </c>
      <c r="C85" t="s">
        <v>25</v>
      </c>
      <c r="D85" t="s">
        <v>33</v>
      </c>
      <c r="E85" t="s">
        <v>27</v>
      </c>
      <c r="F85" t="s">
        <v>28</v>
      </c>
      <c r="G85">
        <v>7.295201301574707</v>
      </c>
      <c r="H85">
        <v>7.2880163192749023</v>
      </c>
      <c r="I85">
        <v>1.0160761885344982E-2</v>
      </c>
      <c r="J85">
        <v>181348320</v>
      </c>
      <c r="K85">
        <v>182135840</v>
      </c>
      <c r="L85">
        <v>1113732.75</v>
      </c>
      <c r="M85" t="b">
        <v>0</v>
      </c>
      <c r="N85">
        <v>1</v>
      </c>
      <c r="O85" t="b">
        <v>0</v>
      </c>
      <c r="P85">
        <v>2</v>
      </c>
      <c r="Q85">
        <v>4</v>
      </c>
      <c r="R85">
        <v>85.007888793945312</v>
      </c>
      <c r="S85" t="s">
        <v>24</v>
      </c>
      <c r="T85" t="s">
        <v>24</v>
      </c>
      <c r="U85" t="s">
        <v>24</v>
      </c>
      <c r="V85" t="s">
        <v>29</v>
      </c>
      <c r="W85" t="s">
        <v>29</v>
      </c>
    </row>
    <row r="86" spans="1:23">
      <c r="A86" t="s">
        <v>140</v>
      </c>
      <c r="B86" t="s">
        <v>139</v>
      </c>
      <c r="C86" t="s">
        <v>25</v>
      </c>
      <c r="D86" t="s">
        <v>33</v>
      </c>
      <c r="E86" t="s">
        <v>27</v>
      </c>
      <c r="F86" t="s">
        <v>28</v>
      </c>
      <c r="G86">
        <v>7.2808318138122559</v>
      </c>
      <c r="H86">
        <v>7.2880163192749023</v>
      </c>
      <c r="I86">
        <v>1.0160761885344982E-2</v>
      </c>
      <c r="J86">
        <v>182923376</v>
      </c>
      <c r="K86">
        <v>182135840</v>
      </c>
      <c r="L86">
        <v>1113732.75</v>
      </c>
      <c r="M86" t="b">
        <v>0</v>
      </c>
      <c r="N86">
        <v>1</v>
      </c>
      <c r="O86" t="b">
        <v>0</v>
      </c>
      <c r="P86">
        <v>2</v>
      </c>
      <c r="Q86">
        <v>4</v>
      </c>
      <c r="R86">
        <v>85.007888793945312</v>
      </c>
      <c r="S86" t="s">
        <v>24</v>
      </c>
      <c r="T86" t="s">
        <v>24</v>
      </c>
      <c r="U86" t="s">
        <v>24</v>
      </c>
      <c r="V86" t="s">
        <v>29</v>
      </c>
      <c r="W86" t="s">
        <v>29</v>
      </c>
    </row>
    <row r="87" spans="1:23">
      <c r="A87" t="s">
        <v>141</v>
      </c>
      <c r="B87" t="s">
        <v>142</v>
      </c>
      <c r="C87" t="s">
        <v>25</v>
      </c>
      <c r="D87" t="s">
        <v>33</v>
      </c>
      <c r="E87" t="s">
        <v>27</v>
      </c>
      <c r="F87" t="s">
        <v>28</v>
      </c>
      <c r="G87">
        <v>8.8055219650268555</v>
      </c>
      <c r="H87">
        <v>8.9679088592529297</v>
      </c>
      <c r="I87">
        <v>0.22965042293071747</v>
      </c>
      <c r="J87">
        <v>73075536</v>
      </c>
      <c r="K87">
        <v>66588704</v>
      </c>
      <c r="L87">
        <v>9173769</v>
      </c>
      <c r="M87" t="b">
        <v>0</v>
      </c>
      <c r="N87">
        <v>1</v>
      </c>
      <c r="O87" t="b">
        <v>1</v>
      </c>
      <c r="P87">
        <v>1</v>
      </c>
      <c r="Q87">
        <v>2</v>
      </c>
      <c r="R87">
        <v>84.816757202148438</v>
      </c>
      <c r="S87" t="s">
        <v>24</v>
      </c>
      <c r="T87" t="s">
        <v>24</v>
      </c>
      <c r="U87" t="s">
        <v>24</v>
      </c>
      <c r="V87" t="s">
        <v>29</v>
      </c>
      <c r="W87" t="s">
        <v>29</v>
      </c>
    </row>
    <row r="88" spans="1:23">
      <c r="A88" t="s">
        <v>143</v>
      </c>
      <c r="B88" t="s">
        <v>142</v>
      </c>
      <c r="C88" t="s">
        <v>25</v>
      </c>
      <c r="D88" t="s">
        <v>33</v>
      </c>
      <c r="E88" t="s">
        <v>27</v>
      </c>
      <c r="F88" t="s">
        <v>28</v>
      </c>
      <c r="G88">
        <v>9.1302967071533203</v>
      </c>
      <c r="H88">
        <v>8.9679088592529297</v>
      </c>
      <c r="I88">
        <v>0.22965042293071747</v>
      </c>
      <c r="J88">
        <v>60101868</v>
      </c>
      <c r="K88">
        <v>66588704</v>
      </c>
      <c r="L88">
        <v>9173769</v>
      </c>
      <c r="M88" t="b">
        <v>0</v>
      </c>
      <c r="N88">
        <v>1</v>
      </c>
      <c r="O88" t="b">
        <v>1</v>
      </c>
      <c r="P88">
        <v>1</v>
      </c>
      <c r="Q88">
        <v>2</v>
      </c>
      <c r="R88">
        <v>85.007888793945312</v>
      </c>
      <c r="S88" t="s">
        <v>24</v>
      </c>
      <c r="T88" t="s">
        <v>24</v>
      </c>
      <c r="U88" t="s">
        <v>24</v>
      </c>
      <c r="V88" t="s">
        <v>29</v>
      </c>
      <c r="W88" t="s">
        <v>29</v>
      </c>
    </row>
    <row r="89" spans="1:23">
      <c r="A89" t="s">
        <v>144</v>
      </c>
      <c r="B89" t="s">
        <v>145</v>
      </c>
      <c r="C89" t="s">
        <v>25</v>
      </c>
      <c r="D89" t="s">
        <v>33</v>
      </c>
      <c r="E89" t="s">
        <v>27</v>
      </c>
      <c r="F89" t="s">
        <v>28</v>
      </c>
      <c r="G89">
        <v>7.955662727355957</v>
      </c>
      <c r="H89">
        <v>7.9978246688842773</v>
      </c>
      <c r="I89">
        <v>5.9625990688800812E-2</v>
      </c>
      <c r="J89">
        <v>121869080</v>
      </c>
      <c r="K89">
        <v>118853984</v>
      </c>
      <c r="L89">
        <v>4263984</v>
      </c>
      <c r="M89" t="b">
        <v>0</v>
      </c>
      <c r="N89">
        <v>1</v>
      </c>
      <c r="O89" t="b">
        <v>1</v>
      </c>
      <c r="P89">
        <v>1</v>
      </c>
      <c r="Q89">
        <v>2</v>
      </c>
      <c r="R89">
        <v>84.625617980957031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</row>
    <row r="90" spans="1:23">
      <c r="A90" t="s">
        <v>146</v>
      </c>
      <c r="B90" t="s">
        <v>145</v>
      </c>
      <c r="C90" t="s">
        <v>25</v>
      </c>
      <c r="D90" t="s">
        <v>33</v>
      </c>
      <c r="E90" t="s">
        <v>27</v>
      </c>
      <c r="F90" t="s">
        <v>28</v>
      </c>
      <c r="G90">
        <v>8.0399866104125977</v>
      </c>
      <c r="H90">
        <v>7.9978246688842773</v>
      </c>
      <c r="I90">
        <v>5.9625990688800812E-2</v>
      </c>
      <c r="J90">
        <v>115838896</v>
      </c>
      <c r="K90">
        <v>118853984</v>
      </c>
      <c r="L90">
        <v>4263984</v>
      </c>
      <c r="M90" t="b">
        <v>0</v>
      </c>
      <c r="N90">
        <v>1</v>
      </c>
      <c r="O90" t="b">
        <v>1</v>
      </c>
      <c r="P90">
        <v>1</v>
      </c>
      <c r="Q90">
        <v>2</v>
      </c>
      <c r="R90">
        <v>84.434486389160156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</row>
    <row r="91" spans="1:23">
      <c r="A91" t="s">
        <v>147</v>
      </c>
      <c r="B91" t="s">
        <v>148</v>
      </c>
      <c r="C91" t="s">
        <v>25</v>
      </c>
      <c r="D91" t="s">
        <v>33</v>
      </c>
      <c r="E91" t="s">
        <v>27</v>
      </c>
      <c r="F91" t="s">
        <v>28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b">
        <v>0</v>
      </c>
      <c r="N91">
        <v>1</v>
      </c>
      <c r="O91" t="b">
        <v>1</v>
      </c>
      <c r="P91">
        <v>3</v>
      </c>
      <c r="Q91">
        <v>29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</row>
    <row r="92" spans="1:23">
      <c r="A92" t="s">
        <v>149</v>
      </c>
      <c r="B92" t="s">
        <v>148</v>
      </c>
      <c r="C92" t="s">
        <v>25</v>
      </c>
      <c r="D92" t="s">
        <v>33</v>
      </c>
      <c r="E92" t="s">
        <v>27</v>
      </c>
      <c r="F92" t="s">
        <v>28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b">
        <v>0</v>
      </c>
      <c r="N92">
        <v>1</v>
      </c>
      <c r="O92" t="b">
        <v>1</v>
      </c>
      <c r="P92">
        <v>3</v>
      </c>
      <c r="Q92">
        <v>31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</row>
    <row r="93" spans="1:23">
      <c r="A93" t="s">
        <v>150</v>
      </c>
      <c r="B93" t="s">
        <v>24</v>
      </c>
      <c r="C93" t="s">
        <v>25</v>
      </c>
      <c r="D93" t="s">
        <v>151</v>
      </c>
      <c r="E93" t="s">
        <v>27</v>
      </c>
      <c r="F93" t="s">
        <v>28</v>
      </c>
      <c r="G93">
        <v>35.391895294189453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b">
        <v>0</v>
      </c>
      <c r="N93">
        <v>1</v>
      </c>
      <c r="O93" t="b">
        <v>1</v>
      </c>
      <c r="P93">
        <v>3</v>
      </c>
      <c r="Q93">
        <v>29</v>
      </c>
      <c r="R93">
        <v>78.70050048828125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</row>
    <row r="94" spans="1:23">
      <c r="A94" t="s">
        <v>152</v>
      </c>
      <c r="B94" t="s">
        <v>24</v>
      </c>
      <c r="C94" t="s">
        <v>25</v>
      </c>
      <c r="D94" t="s">
        <v>151</v>
      </c>
      <c r="E94" t="s">
        <v>27</v>
      </c>
      <c r="F94" t="s">
        <v>28</v>
      </c>
      <c r="G94">
        <v>34.478160858154297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b">
        <v>0</v>
      </c>
      <c r="N94">
        <v>1</v>
      </c>
      <c r="O94" t="b">
        <v>1</v>
      </c>
      <c r="P94">
        <v>3</v>
      </c>
      <c r="Q94">
        <v>28</v>
      </c>
      <c r="R94">
        <v>78.70050048828125</v>
      </c>
      <c r="S94" t="s">
        <v>24</v>
      </c>
      <c r="T94" t="s">
        <v>24</v>
      </c>
      <c r="U94" t="s">
        <v>24</v>
      </c>
      <c r="V94" t="s">
        <v>114</v>
      </c>
      <c r="W94" t="s">
        <v>29</v>
      </c>
    </row>
    <row r="95" spans="1:23">
      <c r="A95" t="s">
        <v>153</v>
      </c>
      <c r="B95" t="s">
        <v>154</v>
      </c>
      <c r="C95" t="s">
        <v>25</v>
      </c>
      <c r="D95" t="s">
        <v>33</v>
      </c>
      <c r="E95" t="s">
        <v>27</v>
      </c>
      <c r="F95" t="s">
        <v>28</v>
      </c>
      <c r="G95">
        <v>9.0295639038085938</v>
      </c>
      <c r="H95">
        <v>9.0063905715942383</v>
      </c>
      <c r="I95">
        <v>3.2772041857242584E-2</v>
      </c>
      <c r="J95">
        <v>63858068</v>
      </c>
      <c r="K95">
        <v>64761168</v>
      </c>
      <c r="L95">
        <v>1277173.5</v>
      </c>
      <c r="M95" t="b">
        <v>0</v>
      </c>
      <c r="N95">
        <v>1</v>
      </c>
      <c r="O95" t="b">
        <v>0</v>
      </c>
      <c r="P95">
        <v>2</v>
      </c>
      <c r="Q95">
        <v>6</v>
      </c>
      <c r="R95">
        <v>84.816757202148438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</row>
    <row r="96" spans="1:23">
      <c r="A96" t="s">
        <v>155</v>
      </c>
      <c r="B96" t="s">
        <v>154</v>
      </c>
      <c r="C96" t="s">
        <v>25</v>
      </c>
      <c r="D96" t="s">
        <v>33</v>
      </c>
      <c r="E96" t="s">
        <v>27</v>
      </c>
      <c r="F96" t="s">
        <v>28</v>
      </c>
      <c r="G96">
        <v>8.9832172393798828</v>
      </c>
      <c r="H96">
        <v>9.0063905715942383</v>
      </c>
      <c r="I96">
        <v>3.2772041857242584E-2</v>
      </c>
      <c r="J96">
        <v>65664264</v>
      </c>
      <c r="K96">
        <v>64761168</v>
      </c>
      <c r="L96">
        <v>1277173.5</v>
      </c>
      <c r="M96" t="b">
        <v>0</v>
      </c>
      <c r="N96">
        <v>1</v>
      </c>
      <c r="O96" t="b">
        <v>0</v>
      </c>
      <c r="P96">
        <v>2</v>
      </c>
      <c r="Q96">
        <v>6</v>
      </c>
      <c r="R96">
        <v>84.816757202148438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</row>
    <row r="97" spans="1:23">
      <c r="A97" t="s">
        <v>156</v>
      </c>
      <c r="B97" t="s">
        <v>157</v>
      </c>
      <c r="C97" t="s">
        <v>25</v>
      </c>
      <c r="D97" t="s">
        <v>33</v>
      </c>
      <c r="E97" t="s">
        <v>27</v>
      </c>
      <c r="F97" t="s">
        <v>28</v>
      </c>
      <c r="G97">
        <v>6.0022006034851074</v>
      </c>
      <c r="H97">
        <v>6.0450749397277832</v>
      </c>
      <c r="I97">
        <v>6.0633469372987747E-2</v>
      </c>
      <c r="J97">
        <v>394871488</v>
      </c>
      <c r="K97">
        <v>384941344</v>
      </c>
      <c r="L97">
        <v>14043344</v>
      </c>
      <c r="M97" t="b">
        <v>0</v>
      </c>
      <c r="N97">
        <v>1</v>
      </c>
      <c r="O97" t="b">
        <v>1</v>
      </c>
      <c r="P97">
        <v>1</v>
      </c>
      <c r="Q97">
        <v>2</v>
      </c>
      <c r="R97">
        <v>84.816757202148438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</row>
    <row r="98" spans="1:23">
      <c r="A98" t="s">
        <v>158</v>
      </c>
      <c r="B98" t="s">
        <v>157</v>
      </c>
      <c r="C98" t="s">
        <v>25</v>
      </c>
      <c r="D98" t="s">
        <v>33</v>
      </c>
      <c r="E98" t="s">
        <v>27</v>
      </c>
      <c r="F98" t="s">
        <v>28</v>
      </c>
      <c r="G98">
        <v>6.087949275970459</v>
      </c>
      <c r="H98">
        <v>6.0450749397277832</v>
      </c>
      <c r="I98">
        <v>6.0633469372987747E-2</v>
      </c>
      <c r="J98">
        <v>375011200</v>
      </c>
      <c r="K98">
        <v>384941344</v>
      </c>
      <c r="L98">
        <v>14043344</v>
      </c>
      <c r="M98" t="b">
        <v>0</v>
      </c>
      <c r="N98">
        <v>1</v>
      </c>
      <c r="O98" t="b">
        <v>1</v>
      </c>
      <c r="P98">
        <v>1</v>
      </c>
      <c r="Q98">
        <v>2</v>
      </c>
      <c r="R98">
        <v>84.816757202148438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</row>
    <row r="99" spans="1:23">
      <c r="A99" t="s">
        <v>159</v>
      </c>
      <c r="B99" t="s">
        <v>160</v>
      </c>
      <c r="C99" t="s">
        <v>25</v>
      </c>
      <c r="D99" t="s">
        <v>33</v>
      </c>
      <c r="E99" t="s">
        <v>27</v>
      </c>
      <c r="F99" t="s">
        <v>28</v>
      </c>
      <c r="G99">
        <v>8.6965312957763672</v>
      </c>
      <c r="H99">
        <v>8.681915283203125</v>
      </c>
      <c r="I99">
        <v>2.0670836791396141E-2</v>
      </c>
      <c r="J99">
        <v>78029368</v>
      </c>
      <c r="K99">
        <v>78721816</v>
      </c>
      <c r="L99">
        <v>979269.375</v>
      </c>
      <c r="M99" t="b">
        <v>0</v>
      </c>
      <c r="N99">
        <v>1</v>
      </c>
      <c r="O99" t="b">
        <v>1</v>
      </c>
      <c r="P99">
        <v>1</v>
      </c>
      <c r="Q99">
        <v>2</v>
      </c>
      <c r="R99">
        <v>84.816757202148438</v>
      </c>
      <c r="S99" t="s">
        <v>24</v>
      </c>
      <c r="T99" t="s">
        <v>24</v>
      </c>
      <c r="U99" t="s">
        <v>24</v>
      </c>
      <c r="V99" t="s">
        <v>29</v>
      </c>
      <c r="W99" t="s">
        <v>29</v>
      </c>
    </row>
    <row r="100" spans="1:23">
      <c r="A100" t="s">
        <v>161</v>
      </c>
      <c r="B100" t="s">
        <v>160</v>
      </c>
      <c r="C100" t="s">
        <v>25</v>
      </c>
      <c r="D100" t="s">
        <v>33</v>
      </c>
      <c r="E100" t="s">
        <v>27</v>
      </c>
      <c r="F100" t="s">
        <v>28</v>
      </c>
      <c r="G100">
        <v>8.6672983169555664</v>
      </c>
      <c r="H100">
        <v>8.681915283203125</v>
      </c>
      <c r="I100">
        <v>2.0670836791396141E-2</v>
      </c>
      <c r="J100">
        <v>79414264</v>
      </c>
      <c r="K100">
        <v>78721816</v>
      </c>
      <c r="L100">
        <v>979269.375</v>
      </c>
      <c r="M100" t="b">
        <v>0</v>
      </c>
      <c r="N100">
        <v>1</v>
      </c>
      <c r="O100" t="b">
        <v>1</v>
      </c>
      <c r="P100">
        <v>1</v>
      </c>
      <c r="Q100">
        <v>2</v>
      </c>
      <c r="R100">
        <v>84.816757202148438</v>
      </c>
      <c r="S100" t="s">
        <v>24</v>
      </c>
      <c r="T100" t="s">
        <v>24</v>
      </c>
      <c r="U100" t="s">
        <v>24</v>
      </c>
      <c r="V100" t="s">
        <v>29</v>
      </c>
      <c r="W100" t="s">
        <v>29</v>
      </c>
    </row>
    <row r="101" spans="1:23">
      <c r="A101" t="s">
        <v>162</v>
      </c>
      <c r="B101" t="s">
        <v>163</v>
      </c>
      <c r="C101" t="s">
        <v>25</v>
      </c>
      <c r="D101" t="s">
        <v>33</v>
      </c>
      <c r="E101" t="s">
        <v>27</v>
      </c>
      <c r="F101" t="s">
        <v>28</v>
      </c>
      <c r="G101">
        <v>10.83489990234375</v>
      </c>
      <c r="H101">
        <v>10.883831024169922</v>
      </c>
      <c r="I101">
        <v>6.9198384881019592E-2</v>
      </c>
      <c r="J101">
        <v>21546076</v>
      </c>
      <c r="K101">
        <v>20929932</v>
      </c>
      <c r="L101">
        <v>871359.1875</v>
      </c>
      <c r="M101" t="b">
        <v>0</v>
      </c>
      <c r="N101">
        <v>1</v>
      </c>
      <c r="O101" t="b">
        <v>1</v>
      </c>
      <c r="P101">
        <v>1</v>
      </c>
      <c r="Q101">
        <v>2</v>
      </c>
      <c r="R101">
        <v>84.816757202148438</v>
      </c>
      <c r="S101" t="s">
        <v>24</v>
      </c>
      <c r="T101" t="s">
        <v>24</v>
      </c>
      <c r="U101" t="s">
        <v>24</v>
      </c>
      <c r="V101" t="s">
        <v>29</v>
      </c>
      <c r="W101" t="s">
        <v>29</v>
      </c>
    </row>
    <row r="102" spans="1:23">
      <c r="A102" t="s">
        <v>164</v>
      </c>
      <c r="B102" t="s">
        <v>163</v>
      </c>
      <c r="C102" t="s">
        <v>25</v>
      </c>
      <c r="D102" t="s">
        <v>33</v>
      </c>
      <c r="E102" t="s">
        <v>27</v>
      </c>
      <c r="F102" t="s">
        <v>28</v>
      </c>
      <c r="G102">
        <v>10.932761192321777</v>
      </c>
      <c r="H102">
        <v>10.883831024169922</v>
      </c>
      <c r="I102">
        <v>6.9198384881019592E-2</v>
      </c>
      <c r="J102">
        <v>20313788</v>
      </c>
      <c r="K102">
        <v>20929932</v>
      </c>
      <c r="L102">
        <v>871359.1875</v>
      </c>
      <c r="M102" t="b">
        <v>0</v>
      </c>
      <c r="N102">
        <v>1</v>
      </c>
      <c r="O102" t="b">
        <v>1</v>
      </c>
      <c r="P102">
        <v>3</v>
      </c>
      <c r="Q102">
        <v>4</v>
      </c>
      <c r="R102">
        <v>84.625617980957031</v>
      </c>
      <c r="S102" t="s">
        <v>24</v>
      </c>
      <c r="T102" t="s">
        <v>24</v>
      </c>
      <c r="U102" t="s">
        <v>24</v>
      </c>
      <c r="V102" t="s">
        <v>29</v>
      </c>
      <c r="W102" t="s">
        <v>29</v>
      </c>
    </row>
    <row r="103" spans="1:23">
      <c r="A103" t="s">
        <v>165</v>
      </c>
      <c r="B103" t="s">
        <v>166</v>
      </c>
      <c r="C103" t="s">
        <v>25</v>
      </c>
      <c r="D103" t="s">
        <v>33</v>
      </c>
      <c r="E103" t="s">
        <v>27</v>
      </c>
      <c r="F103" t="s">
        <v>28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b">
        <v>0</v>
      </c>
      <c r="N103">
        <v>1</v>
      </c>
      <c r="O103" t="b">
        <v>1</v>
      </c>
      <c r="P103">
        <v>3</v>
      </c>
      <c r="Q103">
        <v>5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  <c r="W103" t="s">
        <v>29</v>
      </c>
    </row>
    <row r="104" spans="1:23">
      <c r="A104" t="s">
        <v>167</v>
      </c>
      <c r="B104" t="s">
        <v>166</v>
      </c>
      <c r="C104" t="s">
        <v>25</v>
      </c>
      <c r="D104" t="s">
        <v>33</v>
      </c>
      <c r="E104" t="s">
        <v>27</v>
      </c>
      <c r="F104" t="s">
        <v>28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b">
        <v>0</v>
      </c>
      <c r="N104">
        <v>1</v>
      </c>
      <c r="O104" t="b">
        <v>1</v>
      </c>
      <c r="P104">
        <v>3</v>
      </c>
      <c r="Q104">
        <v>37</v>
      </c>
      <c r="R104" t="s">
        <v>24</v>
      </c>
      <c r="S104" t="s">
        <v>24</v>
      </c>
      <c r="T104" t="s">
        <v>24</v>
      </c>
      <c r="U104" t="s">
        <v>24</v>
      </c>
      <c r="V104" t="s">
        <v>29</v>
      </c>
      <c r="W104" t="s">
        <v>29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04"/>
  <sheetViews>
    <sheetView topLeftCell="A78" workbookViewId="0">
      <selection activeCell="A8" sqref="A8:K104"/>
    </sheetView>
  </sheetViews>
  <sheetFormatPr baseColWidth="10" defaultColWidth="9.1640625" defaultRowHeight="15"/>
  <cols>
    <col min="1" max="1" width="9.1640625" customWidth="1"/>
    <col min="2" max="2" width="14.33203125" customWidth="1"/>
    <col min="257" max="257" width="9.1640625" customWidth="1"/>
    <col min="258" max="258" width="14.33203125" customWidth="1"/>
    <col min="513" max="513" width="9.1640625" customWidth="1"/>
    <col min="514" max="514" width="14.33203125" customWidth="1"/>
    <col min="769" max="769" width="9.1640625" customWidth="1"/>
    <col min="770" max="770" width="14.33203125" customWidth="1"/>
    <col min="1025" max="1025" width="9.1640625" customWidth="1"/>
    <col min="1026" max="1026" width="14.33203125" customWidth="1"/>
    <col min="1281" max="1281" width="9.1640625" customWidth="1"/>
    <col min="1282" max="1282" width="14.33203125" customWidth="1"/>
    <col min="1537" max="1537" width="9.1640625" customWidth="1"/>
    <col min="1538" max="1538" width="14.33203125" customWidth="1"/>
    <col min="1793" max="1793" width="9.1640625" customWidth="1"/>
    <col min="1794" max="1794" width="14.33203125" customWidth="1"/>
    <col min="2049" max="2049" width="9.1640625" customWidth="1"/>
    <col min="2050" max="2050" width="14.33203125" customWidth="1"/>
    <col min="2305" max="2305" width="9.1640625" customWidth="1"/>
    <col min="2306" max="2306" width="14.33203125" customWidth="1"/>
    <col min="2561" max="2561" width="9.1640625" customWidth="1"/>
    <col min="2562" max="2562" width="14.33203125" customWidth="1"/>
    <col min="2817" max="2817" width="9.1640625" customWidth="1"/>
    <col min="2818" max="2818" width="14.33203125" customWidth="1"/>
    <col min="3073" max="3073" width="9.1640625" customWidth="1"/>
    <col min="3074" max="3074" width="14.33203125" customWidth="1"/>
    <col min="3329" max="3329" width="9.1640625" customWidth="1"/>
    <col min="3330" max="3330" width="14.33203125" customWidth="1"/>
    <col min="3585" max="3585" width="9.1640625" customWidth="1"/>
    <col min="3586" max="3586" width="14.33203125" customWidth="1"/>
    <col min="3841" max="3841" width="9.1640625" customWidth="1"/>
    <col min="3842" max="3842" width="14.33203125" customWidth="1"/>
    <col min="4097" max="4097" width="9.1640625" customWidth="1"/>
    <col min="4098" max="4098" width="14.33203125" customWidth="1"/>
    <col min="4353" max="4353" width="9.1640625" customWidth="1"/>
    <col min="4354" max="4354" width="14.33203125" customWidth="1"/>
    <col min="4609" max="4609" width="9.1640625" customWidth="1"/>
    <col min="4610" max="4610" width="14.33203125" customWidth="1"/>
    <col min="4865" max="4865" width="9.1640625" customWidth="1"/>
    <col min="4866" max="4866" width="14.33203125" customWidth="1"/>
    <col min="5121" max="5121" width="9.1640625" customWidth="1"/>
    <col min="5122" max="5122" width="14.33203125" customWidth="1"/>
    <col min="5377" max="5377" width="9.1640625" customWidth="1"/>
    <col min="5378" max="5378" width="14.33203125" customWidth="1"/>
    <col min="5633" max="5633" width="9.1640625" customWidth="1"/>
    <col min="5634" max="5634" width="14.33203125" customWidth="1"/>
    <col min="5889" max="5889" width="9.1640625" customWidth="1"/>
    <col min="5890" max="5890" width="14.33203125" customWidth="1"/>
    <col min="6145" max="6145" width="9.1640625" customWidth="1"/>
    <col min="6146" max="6146" width="14.33203125" customWidth="1"/>
    <col min="6401" max="6401" width="9.1640625" customWidth="1"/>
    <col min="6402" max="6402" width="14.33203125" customWidth="1"/>
    <col min="6657" max="6657" width="9.1640625" customWidth="1"/>
    <col min="6658" max="6658" width="14.33203125" customWidth="1"/>
    <col min="6913" max="6913" width="9.1640625" customWidth="1"/>
    <col min="6914" max="6914" width="14.33203125" customWidth="1"/>
    <col min="7169" max="7169" width="9.1640625" customWidth="1"/>
    <col min="7170" max="7170" width="14.33203125" customWidth="1"/>
    <col min="7425" max="7425" width="9.1640625" customWidth="1"/>
    <col min="7426" max="7426" width="14.33203125" customWidth="1"/>
    <col min="7681" max="7681" width="9.1640625" customWidth="1"/>
    <col min="7682" max="7682" width="14.33203125" customWidth="1"/>
    <col min="7937" max="7937" width="9.1640625" customWidth="1"/>
    <col min="7938" max="7938" width="14.33203125" customWidth="1"/>
    <col min="8193" max="8193" width="9.1640625" customWidth="1"/>
    <col min="8194" max="8194" width="14.33203125" customWidth="1"/>
    <col min="8449" max="8449" width="9.1640625" customWidth="1"/>
    <col min="8450" max="8450" width="14.33203125" customWidth="1"/>
    <col min="8705" max="8705" width="9.1640625" customWidth="1"/>
    <col min="8706" max="8706" width="14.33203125" customWidth="1"/>
    <col min="8961" max="8961" width="9.1640625" customWidth="1"/>
    <col min="8962" max="8962" width="14.33203125" customWidth="1"/>
    <col min="9217" max="9217" width="9.1640625" customWidth="1"/>
    <col min="9218" max="9218" width="14.33203125" customWidth="1"/>
    <col min="9473" max="9473" width="9.1640625" customWidth="1"/>
    <col min="9474" max="9474" width="14.33203125" customWidth="1"/>
    <col min="9729" max="9729" width="9.1640625" customWidth="1"/>
    <col min="9730" max="9730" width="14.33203125" customWidth="1"/>
    <col min="9985" max="9985" width="9.1640625" customWidth="1"/>
    <col min="9986" max="9986" width="14.33203125" customWidth="1"/>
    <col min="10241" max="10241" width="9.1640625" customWidth="1"/>
    <col min="10242" max="10242" width="14.33203125" customWidth="1"/>
    <col min="10497" max="10497" width="9.1640625" customWidth="1"/>
    <col min="10498" max="10498" width="14.33203125" customWidth="1"/>
    <col min="10753" max="10753" width="9.1640625" customWidth="1"/>
    <col min="10754" max="10754" width="14.33203125" customWidth="1"/>
    <col min="11009" max="11009" width="9.1640625" customWidth="1"/>
    <col min="11010" max="11010" width="14.33203125" customWidth="1"/>
    <col min="11265" max="11265" width="9.1640625" customWidth="1"/>
    <col min="11266" max="11266" width="14.33203125" customWidth="1"/>
    <col min="11521" max="11521" width="9.1640625" customWidth="1"/>
    <col min="11522" max="11522" width="14.33203125" customWidth="1"/>
    <col min="11777" max="11777" width="9.1640625" customWidth="1"/>
    <col min="11778" max="11778" width="14.33203125" customWidth="1"/>
    <col min="12033" max="12033" width="9.1640625" customWidth="1"/>
    <col min="12034" max="12034" width="14.33203125" customWidth="1"/>
    <col min="12289" max="12289" width="9.1640625" customWidth="1"/>
    <col min="12290" max="12290" width="14.33203125" customWidth="1"/>
    <col min="12545" max="12545" width="9.1640625" customWidth="1"/>
    <col min="12546" max="12546" width="14.33203125" customWidth="1"/>
    <col min="12801" max="12801" width="9.1640625" customWidth="1"/>
    <col min="12802" max="12802" width="14.33203125" customWidth="1"/>
    <col min="13057" max="13057" width="9.1640625" customWidth="1"/>
    <col min="13058" max="13058" width="14.33203125" customWidth="1"/>
    <col min="13313" max="13313" width="9.1640625" customWidth="1"/>
    <col min="13314" max="13314" width="14.33203125" customWidth="1"/>
    <col min="13569" max="13569" width="9.1640625" customWidth="1"/>
    <col min="13570" max="13570" width="14.33203125" customWidth="1"/>
    <col min="13825" max="13825" width="9.1640625" customWidth="1"/>
    <col min="13826" max="13826" width="14.33203125" customWidth="1"/>
    <col min="14081" max="14081" width="9.1640625" customWidth="1"/>
    <col min="14082" max="14082" width="14.33203125" customWidth="1"/>
    <col min="14337" max="14337" width="9.1640625" customWidth="1"/>
    <col min="14338" max="14338" width="14.33203125" customWidth="1"/>
    <col min="14593" max="14593" width="9.1640625" customWidth="1"/>
    <col min="14594" max="14594" width="14.33203125" customWidth="1"/>
    <col min="14849" max="14849" width="9.1640625" customWidth="1"/>
    <col min="14850" max="14850" width="14.33203125" customWidth="1"/>
    <col min="15105" max="15105" width="9.1640625" customWidth="1"/>
    <col min="15106" max="15106" width="14.33203125" customWidth="1"/>
    <col min="15361" max="15361" width="9.1640625" customWidth="1"/>
    <col min="15362" max="15362" width="14.33203125" customWidth="1"/>
    <col min="15617" max="15617" width="9.1640625" customWidth="1"/>
    <col min="15618" max="15618" width="14.33203125" customWidth="1"/>
    <col min="15873" max="15873" width="9.1640625" customWidth="1"/>
    <col min="15874" max="15874" width="14.33203125" customWidth="1"/>
    <col min="16129" max="16129" width="9.1640625" customWidth="1"/>
    <col min="16130" max="16130" width="14.33203125" customWidth="1"/>
  </cols>
  <sheetData>
    <row r="1" spans="1:22">
      <c r="A1" t="s">
        <v>784</v>
      </c>
      <c r="B1" t="s">
        <v>785</v>
      </c>
    </row>
    <row r="2" spans="1:22">
      <c r="A2" t="s">
        <v>786</v>
      </c>
      <c r="B2" t="s">
        <v>787</v>
      </c>
    </row>
    <row r="3" spans="1:22">
      <c r="A3" t="s">
        <v>788</v>
      </c>
      <c r="B3" t="s">
        <v>799</v>
      </c>
    </row>
    <row r="4" spans="1:22">
      <c r="A4" t="s">
        <v>222</v>
      </c>
      <c r="B4" t="s">
        <v>800</v>
      </c>
    </row>
    <row r="5" spans="1:22">
      <c r="A5" t="s">
        <v>791</v>
      </c>
      <c r="B5" t="s">
        <v>792</v>
      </c>
    </row>
    <row r="6" spans="1:22">
      <c r="A6" t="s">
        <v>793</v>
      </c>
      <c r="B6" t="s">
        <v>794</v>
      </c>
    </row>
    <row r="8" spans="1:2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169</v>
      </c>
    </row>
    <row r="9" spans="1:22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10.986196517944336</v>
      </c>
      <c r="H9">
        <v>10.874823570251465</v>
      </c>
      <c r="I9">
        <v>0.15750513970851898</v>
      </c>
      <c r="J9">
        <v>50000000</v>
      </c>
      <c r="K9" t="s">
        <v>24</v>
      </c>
      <c r="L9" t="s">
        <v>24</v>
      </c>
      <c r="M9" t="b">
        <v>0</v>
      </c>
      <c r="N9">
        <v>2</v>
      </c>
      <c r="O9" t="b">
        <v>1</v>
      </c>
      <c r="P9">
        <v>3</v>
      </c>
      <c r="Q9">
        <v>4</v>
      </c>
      <c r="R9">
        <v>85.121177673339844</v>
      </c>
      <c r="S9" t="s">
        <v>24</v>
      </c>
      <c r="T9" t="s">
        <v>24</v>
      </c>
      <c r="U9" t="s">
        <v>24</v>
      </c>
      <c r="V9" t="s">
        <v>29</v>
      </c>
    </row>
    <row r="10" spans="1:22">
      <c r="A10" t="s">
        <v>30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10.763450622558594</v>
      </c>
      <c r="H10">
        <v>10.874823570251465</v>
      </c>
      <c r="I10">
        <v>0.15750513970851898</v>
      </c>
      <c r="J10">
        <v>50000000</v>
      </c>
      <c r="K10" t="s">
        <v>24</v>
      </c>
      <c r="L10" t="s">
        <v>24</v>
      </c>
      <c r="M10" t="b">
        <v>0</v>
      </c>
      <c r="N10">
        <v>2</v>
      </c>
      <c r="O10" t="b">
        <v>1</v>
      </c>
      <c r="P10">
        <v>1</v>
      </c>
      <c r="Q10">
        <v>2</v>
      </c>
      <c r="R10">
        <v>85.121177673339844</v>
      </c>
      <c r="S10" t="s">
        <v>24</v>
      </c>
      <c r="T10" t="s">
        <v>24</v>
      </c>
      <c r="U10" t="s">
        <v>24</v>
      </c>
      <c r="V10" t="s">
        <v>29</v>
      </c>
    </row>
    <row r="11" spans="1:22">
      <c r="A11" t="s">
        <v>31</v>
      </c>
      <c r="B11" t="s">
        <v>32</v>
      </c>
      <c r="C11" t="s">
        <v>25</v>
      </c>
      <c r="D11" t="s">
        <v>33</v>
      </c>
      <c r="E11" t="s">
        <v>27</v>
      </c>
      <c r="F11" t="s">
        <v>28</v>
      </c>
      <c r="G11">
        <v>12.312241554260254</v>
      </c>
      <c r="H11">
        <v>12.424184799194336</v>
      </c>
      <c r="I11">
        <v>0.15831097960472107</v>
      </c>
      <c r="J11">
        <v>17533924</v>
      </c>
      <c r="K11">
        <v>16468034</v>
      </c>
      <c r="L11">
        <v>1507395.375</v>
      </c>
      <c r="M11" t="b">
        <v>0</v>
      </c>
      <c r="N11">
        <v>2</v>
      </c>
      <c r="O11" t="b">
        <v>1</v>
      </c>
      <c r="P11">
        <v>3</v>
      </c>
      <c r="Q11">
        <v>4</v>
      </c>
      <c r="R11">
        <v>85.121177673339844</v>
      </c>
      <c r="S11" t="s">
        <v>24</v>
      </c>
      <c r="T11" t="s">
        <v>24</v>
      </c>
      <c r="U11" t="s">
        <v>24</v>
      </c>
      <c r="V11" t="s">
        <v>29</v>
      </c>
    </row>
    <row r="12" spans="1:22">
      <c r="A12" t="s">
        <v>34</v>
      </c>
      <c r="B12" t="s">
        <v>32</v>
      </c>
      <c r="C12" t="s">
        <v>25</v>
      </c>
      <c r="D12" t="s">
        <v>33</v>
      </c>
      <c r="E12" t="s">
        <v>27</v>
      </c>
      <c r="F12" t="s">
        <v>28</v>
      </c>
      <c r="G12">
        <v>12.536127090454102</v>
      </c>
      <c r="H12">
        <v>12.424184799194336</v>
      </c>
      <c r="I12">
        <v>0.15831097960472107</v>
      </c>
      <c r="J12">
        <v>15402145</v>
      </c>
      <c r="K12">
        <v>16468034</v>
      </c>
      <c r="L12">
        <v>1507395.375</v>
      </c>
      <c r="M12" t="b">
        <v>0</v>
      </c>
      <c r="N12">
        <v>2</v>
      </c>
      <c r="O12" t="b">
        <v>1</v>
      </c>
      <c r="P12">
        <v>3</v>
      </c>
      <c r="Q12">
        <v>4</v>
      </c>
      <c r="R12">
        <v>85.121177673339844</v>
      </c>
      <c r="S12" t="s">
        <v>24</v>
      </c>
      <c r="T12" t="s">
        <v>24</v>
      </c>
      <c r="U12" t="s">
        <v>24</v>
      </c>
      <c r="V12" t="s">
        <v>29</v>
      </c>
    </row>
    <row r="13" spans="1:22">
      <c r="A13" t="s">
        <v>35</v>
      </c>
      <c r="B13" t="s">
        <v>36</v>
      </c>
      <c r="C13" t="s">
        <v>25</v>
      </c>
      <c r="D13" t="s">
        <v>33</v>
      </c>
      <c r="E13" t="s">
        <v>27</v>
      </c>
      <c r="F13" t="s">
        <v>28</v>
      </c>
      <c r="G13">
        <v>15.376116752624512</v>
      </c>
      <c r="H13">
        <v>15.227243423461914</v>
      </c>
      <c r="I13">
        <v>0.21053868532180786</v>
      </c>
      <c r="J13">
        <v>2974690.5</v>
      </c>
      <c r="K13">
        <v>3254533</v>
      </c>
      <c r="L13">
        <v>395757.0625</v>
      </c>
      <c r="M13" t="b">
        <v>0</v>
      </c>
      <c r="N13">
        <v>2</v>
      </c>
      <c r="O13" t="b">
        <v>1</v>
      </c>
      <c r="P13">
        <v>3</v>
      </c>
      <c r="Q13">
        <v>6</v>
      </c>
      <c r="R13">
        <v>85.121177673339844</v>
      </c>
      <c r="S13" t="s">
        <v>24</v>
      </c>
      <c r="T13" t="s">
        <v>24</v>
      </c>
      <c r="U13" t="s">
        <v>24</v>
      </c>
      <c r="V13" t="s">
        <v>29</v>
      </c>
    </row>
    <row r="14" spans="1:22">
      <c r="A14" t="s">
        <v>37</v>
      </c>
      <c r="B14" t="s">
        <v>36</v>
      </c>
      <c r="C14" t="s">
        <v>25</v>
      </c>
      <c r="D14" t="s">
        <v>33</v>
      </c>
      <c r="E14" t="s">
        <v>27</v>
      </c>
      <c r="F14" t="s">
        <v>28</v>
      </c>
      <c r="G14">
        <v>15.078370094299316</v>
      </c>
      <c r="H14">
        <v>15.227243423461914</v>
      </c>
      <c r="I14">
        <v>0.21053868532180786</v>
      </c>
      <c r="J14">
        <v>3534375.5</v>
      </c>
      <c r="K14">
        <v>3254533</v>
      </c>
      <c r="L14">
        <v>395757.0625</v>
      </c>
      <c r="M14" t="b">
        <v>0</v>
      </c>
      <c r="N14">
        <v>2</v>
      </c>
      <c r="O14" t="b">
        <v>1</v>
      </c>
      <c r="P14">
        <v>3</v>
      </c>
      <c r="Q14">
        <v>7</v>
      </c>
      <c r="R14">
        <v>84.9305419921875</v>
      </c>
      <c r="S14" t="s">
        <v>24</v>
      </c>
      <c r="T14" t="s">
        <v>24</v>
      </c>
      <c r="U14" t="s">
        <v>24</v>
      </c>
      <c r="V14" t="s">
        <v>29</v>
      </c>
    </row>
    <row r="15" spans="1:22">
      <c r="A15" t="s">
        <v>38</v>
      </c>
      <c r="B15" t="s">
        <v>87</v>
      </c>
      <c r="C15" t="s">
        <v>25</v>
      </c>
      <c r="D15" t="s">
        <v>33</v>
      </c>
      <c r="E15" t="s">
        <v>27</v>
      </c>
      <c r="F15" t="s">
        <v>28</v>
      </c>
      <c r="G15">
        <v>16.75444221496582</v>
      </c>
      <c r="H15">
        <v>16.728178024291992</v>
      </c>
      <c r="I15">
        <v>3.7143174558877945E-2</v>
      </c>
      <c r="J15">
        <v>1339214.625</v>
      </c>
      <c r="K15">
        <v>1359893</v>
      </c>
      <c r="L15">
        <v>29243.638671875</v>
      </c>
      <c r="M15" t="b">
        <v>0</v>
      </c>
      <c r="N15">
        <v>2</v>
      </c>
      <c r="O15" t="b">
        <v>1</v>
      </c>
      <c r="P15">
        <v>3</v>
      </c>
      <c r="Q15">
        <v>8</v>
      </c>
      <c r="R15">
        <v>84.739898681640625</v>
      </c>
      <c r="S15" t="s">
        <v>24</v>
      </c>
      <c r="T15" t="s">
        <v>24</v>
      </c>
      <c r="U15" t="s">
        <v>24</v>
      </c>
      <c r="V15" t="s">
        <v>29</v>
      </c>
    </row>
    <row r="16" spans="1:22">
      <c r="A16" t="s">
        <v>40</v>
      </c>
      <c r="B16" t="s">
        <v>87</v>
      </c>
      <c r="C16" t="s">
        <v>25</v>
      </c>
      <c r="D16" t="s">
        <v>33</v>
      </c>
      <c r="E16" t="s">
        <v>27</v>
      </c>
      <c r="F16" t="s">
        <v>28</v>
      </c>
      <c r="G16">
        <v>16.701913833618164</v>
      </c>
      <c r="H16">
        <v>16.728178024291992</v>
      </c>
      <c r="I16">
        <v>3.7143174558877945E-2</v>
      </c>
      <c r="J16">
        <v>1380571.375</v>
      </c>
      <c r="K16">
        <v>1359893</v>
      </c>
      <c r="L16">
        <v>29243.638671875</v>
      </c>
      <c r="M16" t="b">
        <v>0</v>
      </c>
      <c r="N16">
        <v>2</v>
      </c>
      <c r="O16" t="b">
        <v>1</v>
      </c>
      <c r="P16">
        <v>3</v>
      </c>
      <c r="Q16">
        <v>9</v>
      </c>
      <c r="R16">
        <v>84.54925537109375</v>
      </c>
      <c r="S16" t="s">
        <v>24</v>
      </c>
      <c r="T16" t="s">
        <v>24</v>
      </c>
      <c r="U16" t="s">
        <v>24</v>
      </c>
      <c r="V16" t="s">
        <v>29</v>
      </c>
    </row>
    <row r="17" spans="1:22">
      <c r="A17" t="s">
        <v>41</v>
      </c>
      <c r="B17" t="s">
        <v>42</v>
      </c>
      <c r="C17" t="s">
        <v>25</v>
      </c>
      <c r="D17" t="s">
        <v>33</v>
      </c>
      <c r="E17" t="s">
        <v>27</v>
      </c>
      <c r="F17" t="s">
        <v>28</v>
      </c>
      <c r="G17">
        <v>14.957094192504883</v>
      </c>
      <c r="H17">
        <v>15.005580902099609</v>
      </c>
      <c r="I17">
        <v>6.8569891154766083E-2</v>
      </c>
      <c r="J17">
        <v>3791478</v>
      </c>
      <c r="K17">
        <v>3687970</v>
      </c>
      <c r="L17">
        <v>146382.421875</v>
      </c>
      <c r="M17" t="b">
        <v>0</v>
      </c>
      <c r="N17">
        <v>2</v>
      </c>
      <c r="O17" t="b">
        <v>1</v>
      </c>
      <c r="P17">
        <v>3</v>
      </c>
      <c r="Q17">
        <v>6</v>
      </c>
      <c r="R17">
        <v>84.739898681640625</v>
      </c>
      <c r="S17" t="s">
        <v>24</v>
      </c>
      <c r="T17" t="s">
        <v>24</v>
      </c>
      <c r="U17" t="s">
        <v>24</v>
      </c>
      <c r="V17" t="s">
        <v>29</v>
      </c>
    </row>
    <row r="18" spans="1:22">
      <c r="A18" t="s">
        <v>43</v>
      </c>
      <c r="B18" t="s">
        <v>42</v>
      </c>
      <c r="C18" t="s">
        <v>25</v>
      </c>
      <c r="D18" t="s">
        <v>33</v>
      </c>
      <c r="E18" t="s">
        <v>27</v>
      </c>
      <c r="F18" t="s">
        <v>28</v>
      </c>
      <c r="G18">
        <v>15.05406665802002</v>
      </c>
      <c r="H18">
        <v>15.005580902099609</v>
      </c>
      <c r="I18">
        <v>6.8569891154766083E-2</v>
      </c>
      <c r="J18">
        <v>3584462</v>
      </c>
      <c r="K18">
        <v>3687970</v>
      </c>
      <c r="L18">
        <v>146382.421875</v>
      </c>
      <c r="M18" t="b">
        <v>0</v>
      </c>
      <c r="N18">
        <v>2</v>
      </c>
      <c r="O18" t="b">
        <v>1</v>
      </c>
      <c r="P18">
        <v>3</v>
      </c>
      <c r="Q18">
        <v>6</v>
      </c>
      <c r="R18">
        <v>84.739898681640625</v>
      </c>
      <c r="S18" t="s">
        <v>24</v>
      </c>
      <c r="T18" t="s">
        <v>24</v>
      </c>
      <c r="U18" t="s">
        <v>24</v>
      </c>
      <c r="V18" t="s">
        <v>29</v>
      </c>
    </row>
    <row r="19" spans="1:22">
      <c r="A19" t="s">
        <v>44</v>
      </c>
      <c r="B19" t="s">
        <v>45</v>
      </c>
      <c r="C19" t="s">
        <v>25</v>
      </c>
      <c r="D19" t="s">
        <v>33</v>
      </c>
      <c r="E19" t="s">
        <v>27</v>
      </c>
      <c r="F19" t="s">
        <v>28</v>
      </c>
      <c r="G19">
        <v>17.479524612426758</v>
      </c>
      <c r="H19">
        <v>17.682470321655273</v>
      </c>
      <c r="I19">
        <v>0.28700858354568481</v>
      </c>
      <c r="J19">
        <v>880079.875</v>
      </c>
      <c r="K19">
        <v>787918.125</v>
      </c>
      <c r="L19">
        <v>130336.3515625</v>
      </c>
      <c r="M19" t="b">
        <v>0</v>
      </c>
      <c r="N19">
        <v>2</v>
      </c>
      <c r="O19" t="b">
        <v>1</v>
      </c>
      <c r="P19">
        <v>3</v>
      </c>
      <c r="Q19">
        <v>9</v>
      </c>
      <c r="R19">
        <v>84.9305419921875</v>
      </c>
      <c r="S19" t="s">
        <v>24</v>
      </c>
      <c r="T19" t="s">
        <v>24</v>
      </c>
      <c r="U19" t="s">
        <v>24</v>
      </c>
      <c r="V19" t="s">
        <v>29</v>
      </c>
    </row>
    <row r="20" spans="1:22">
      <c r="A20" t="s">
        <v>46</v>
      </c>
      <c r="B20" t="s">
        <v>45</v>
      </c>
      <c r="C20" t="s">
        <v>25</v>
      </c>
      <c r="D20" t="s">
        <v>33</v>
      </c>
      <c r="E20" t="s">
        <v>27</v>
      </c>
      <c r="F20" t="s">
        <v>28</v>
      </c>
      <c r="G20">
        <v>17.885416030883789</v>
      </c>
      <c r="H20">
        <v>17.682470321655273</v>
      </c>
      <c r="I20">
        <v>0.28700858354568481</v>
      </c>
      <c r="J20">
        <v>695756.4375</v>
      </c>
      <c r="K20">
        <v>787918.125</v>
      </c>
      <c r="L20">
        <v>130336.3515625</v>
      </c>
      <c r="M20" t="b">
        <v>0</v>
      </c>
      <c r="N20">
        <v>2</v>
      </c>
      <c r="O20" t="b">
        <v>1</v>
      </c>
      <c r="P20">
        <v>3</v>
      </c>
      <c r="Q20">
        <v>9</v>
      </c>
      <c r="R20">
        <v>84.9305419921875</v>
      </c>
      <c r="S20" t="s">
        <v>24</v>
      </c>
      <c r="T20" t="s">
        <v>24</v>
      </c>
      <c r="U20" t="s">
        <v>24</v>
      </c>
      <c r="V20" t="s">
        <v>29</v>
      </c>
    </row>
    <row r="21" spans="1:22">
      <c r="A21" t="s">
        <v>47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14.191905975341797</v>
      </c>
      <c r="H21">
        <v>13.847537994384766</v>
      </c>
      <c r="I21">
        <v>0.48700988292694092</v>
      </c>
      <c r="J21">
        <v>5000000</v>
      </c>
      <c r="K21" t="s">
        <v>24</v>
      </c>
      <c r="L21" t="s">
        <v>24</v>
      </c>
      <c r="M21" t="b">
        <v>0</v>
      </c>
      <c r="N21">
        <v>2</v>
      </c>
      <c r="O21" t="b">
        <v>1</v>
      </c>
      <c r="P21">
        <v>3</v>
      </c>
      <c r="Q21">
        <v>7</v>
      </c>
      <c r="R21">
        <v>85.311820983886719</v>
      </c>
      <c r="S21" t="s">
        <v>24</v>
      </c>
      <c r="T21" t="s">
        <v>24</v>
      </c>
      <c r="U21" t="s">
        <v>24</v>
      </c>
      <c r="V21" t="s">
        <v>29</v>
      </c>
    </row>
    <row r="22" spans="1:22">
      <c r="A22" t="s">
        <v>48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13.503170013427734</v>
      </c>
      <c r="H22">
        <v>13.847537994384766</v>
      </c>
      <c r="I22">
        <v>0.48700988292694092</v>
      </c>
      <c r="J22">
        <v>5000000</v>
      </c>
      <c r="K22" t="s">
        <v>24</v>
      </c>
      <c r="L22" t="s">
        <v>24</v>
      </c>
      <c r="M22" t="b">
        <v>0</v>
      </c>
      <c r="N22">
        <v>2</v>
      </c>
      <c r="O22" t="b">
        <v>1</v>
      </c>
      <c r="P22">
        <v>3</v>
      </c>
      <c r="Q22">
        <v>7</v>
      </c>
      <c r="R22">
        <v>85.311820983886719</v>
      </c>
      <c r="S22" t="s">
        <v>24</v>
      </c>
      <c r="T22" t="s">
        <v>24</v>
      </c>
      <c r="U22" t="s">
        <v>24</v>
      </c>
      <c r="V22" t="s">
        <v>29</v>
      </c>
    </row>
    <row r="23" spans="1:22">
      <c r="A23" t="s">
        <v>49</v>
      </c>
      <c r="B23" t="s">
        <v>50</v>
      </c>
      <c r="C23" t="s">
        <v>25</v>
      </c>
      <c r="D23" t="s">
        <v>33</v>
      </c>
      <c r="E23" t="s">
        <v>27</v>
      </c>
      <c r="F23" t="s">
        <v>28</v>
      </c>
      <c r="G23">
        <v>13.129573822021484</v>
      </c>
      <c r="H23">
        <v>13.272354125976562</v>
      </c>
      <c r="I23">
        <v>0.20192183554172516</v>
      </c>
      <c r="J23">
        <v>10923303</v>
      </c>
      <c r="K23">
        <v>10090974</v>
      </c>
      <c r="L23">
        <v>1177091.625</v>
      </c>
      <c r="M23" t="b">
        <v>0</v>
      </c>
      <c r="N23">
        <v>2</v>
      </c>
      <c r="O23" t="b">
        <v>1</v>
      </c>
      <c r="P23">
        <v>3</v>
      </c>
      <c r="Q23">
        <v>4</v>
      </c>
      <c r="R23">
        <v>85.311820983886719</v>
      </c>
      <c r="S23" t="s">
        <v>24</v>
      </c>
      <c r="T23" t="s">
        <v>24</v>
      </c>
      <c r="U23" t="s">
        <v>24</v>
      </c>
      <c r="V23" t="s">
        <v>29</v>
      </c>
    </row>
    <row r="24" spans="1:22">
      <c r="A24" t="s">
        <v>51</v>
      </c>
      <c r="B24" t="s">
        <v>50</v>
      </c>
      <c r="C24" t="s">
        <v>25</v>
      </c>
      <c r="D24" t="s">
        <v>33</v>
      </c>
      <c r="E24" t="s">
        <v>27</v>
      </c>
      <c r="F24" t="s">
        <v>28</v>
      </c>
      <c r="G24">
        <v>13.415134429931641</v>
      </c>
      <c r="H24">
        <v>13.272354125976562</v>
      </c>
      <c r="I24">
        <v>0.20192183554172516</v>
      </c>
      <c r="J24">
        <v>9258644</v>
      </c>
      <c r="K24">
        <v>10090974</v>
      </c>
      <c r="L24">
        <v>1177091.625</v>
      </c>
      <c r="M24" t="b">
        <v>0</v>
      </c>
      <c r="N24">
        <v>2</v>
      </c>
      <c r="O24" t="b">
        <v>1</v>
      </c>
      <c r="P24">
        <v>3</v>
      </c>
      <c r="Q24">
        <v>4</v>
      </c>
      <c r="R24">
        <v>85.121177673339844</v>
      </c>
      <c r="S24" t="s">
        <v>24</v>
      </c>
      <c r="T24" t="s">
        <v>24</v>
      </c>
      <c r="U24" t="s">
        <v>24</v>
      </c>
      <c r="V24" t="s">
        <v>29</v>
      </c>
    </row>
    <row r="25" spans="1:22">
      <c r="A25" t="s">
        <v>52</v>
      </c>
      <c r="B25" t="s">
        <v>139</v>
      </c>
      <c r="C25" t="s">
        <v>25</v>
      </c>
      <c r="D25" t="s">
        <v>33</v>
      </c>
      <c r="E25" t="s">
        <v>27</v>
      </c>
      <c r="F25" t="s">
        <v>28</v>
      </c>
      <c r="G25">
        <v>14.615647315979004</v>
      </c>
      <c r="H25">
        <v>14.436786651611328</v>
      </c>
      <c r="I25">
        <v>0.25294718146324158</v>
      </c>
      <c r="J25">
        <v>4620279.5</v>
      </c>
      <c r="K25">
        <v>5151919</v>
      </c>
      <c r="L25">
        <v>751851.4375</v>
      </c>
      <c r="M25" t="b">
        <v>0</v>
      </c>
      <c r="N25">
        <v>2</v>
      </c>
      <c r="O25" t="b">
        <v>1</v>
      </c>
      <c r="P25">
        <v>3</v>
      </c>
      <c r="Q25">
        <v>6</v>
      </c>
      <c r="R25">
        <v>84.9305419921875</v>
      </c>
      <c r="S25" t="s">
        <v>24</v>
      </c>
      <c r="T25" t="s">
        <v>24</v>
      </c>
      <c r="U25" t="s">
        <v>24</v>
      </c>
      <c r="V25" t="s">
        <v>29</v>
      </c>
    </row>
    <row r="26" spans="1:22">
      <c r="A26" t="s">
        <v>54</v>
      </c>
      <c r="B26" t="s">
        <v>139</v>
      </c>
      <c r="C26" t="s">
        <v>25</v>
      </c>
      <c r="D26" t="s">
        <v>33</v>
      </c>
      <c r="E26" t="s">
        <v>27</v>
      </c>
      <c r="F26" t="s">
        <v>28</v>
      </c>
      <c r="G26">
        <v>14.257925987243652</v>
      </c>
      <c r="H26">
        <v>14.436786651611328</v>
      </c>
      <c r="I26">
        <v>0.25294718146324158</v>
      </c>
      <c r="J26">
        <v>5683558</v>
      </c>
      <c r="K26">
        <v>5151919</v>
      </c>
      <c r="L26">
        <v>751851.4375</v>
      </c>
      <c r="M26" t="b">
        <v>0</v>
      </c>
      <c r="N26">
        <v>2</v>
      </c>
      <c r="O26" t="b">
        <v>1</v>
      </c>
      <c r="P26">
        <v>3</v>
      </c>
      <c r="Q26">
        <v>5</v>
      </c>
      <c r="R26">
        <v>84.739898681640625</v>
      </c>
      <c r="S26" t="s">
        <v>24</v>
      </c>
      <c r="T26" t="s">
        <v>24</v>
      </c>
      <c r="U26" t="s">
        <v>24</v>
      </c>
      <c r="V26" t="s">
        <v>29</v>
      </c>
    </row>
    <row r="27" spans="1:22">
      <c r="A27" t="s">
        <v>55</v>
      </c>
      <c r="B27" t="s">
        <v>104</v>
      </c>
      <c r="C27" t="s">
        <v>25</v>
      </c>
      <c r="D27" t="s">
        <v>33</v>
      </c>
      <c r="E27" t="s">
        <v>27</v>
      </c>
      <c r="F27" t="s">
        <v>28</v>
      </c>
      <c r="G27">
        <v>14.586101531982422</v>
      </c>
      <c r="H27">
        <v>14.65678596496582</v>
      </c>
      <c r="I27">
        <v>9.9962882697582245E-2</v>
      </c>
      <c r="J27">
        <v>4699999</v>
      </c>
      <c r="K27">
        <v>4515306</v>
      </c>
      <c r="L27">
        <v>261195.34375</v>
      </c>
      <c r="M27" t="b">
        <v>0</v>
      </c>
      <c r="N27">
        <v>2</v>
      </c>
      <c r="O27" t="b">
        <v>1</v>
      </c>
      <c r="P27">
        <v>3</v>
      </c>
      <c r="Q27">
        <v>6</v>
      </c>
      <c r="R27">
        <v>84.739898681640625</v>
      </c>
      <c r="S27" t="s">
        <v>24</v>
      </c>
      <c r="T27" t="s">
        <v>24</v>
      </c>
      <c r="U27" t="s">
        <v>24</v>
      </c>
      <c r="V27" t="s">
        <v>29</v>
      </c>
    </row>
    <row r="28" spans="1:22">
      <c r="A28" t="s">
        <v>57</v>
      </c>
      <c r="B28" t="s">
        <v>104</v>
      </c>
      <c r="C28" t="s">
        <v>25</v>
      </c>
      <c r="D28" t="s">
        <v>33</v>
      </c>
      <c r="E28" t="s">
        <v>27</v>
      </c>
      <c r="F28" t="s">
        <v>28</v>
      </c>
      <c r="G28">
        <v>14.727470397949219</v>
      </c>
      <c r="H28">
        <v>14.65678596496582</v>
      </c>
      <c r="I28">
        <v>9.9962882697582245E-2</v>
      </c>
      <c r="J28">
        <v>4330613</v>
      </c>
      <c r="K28">
        <v>4515306</v>
      </c>
      <c r="L28">
        <v>261195.34375</v>
      </c>
      <c r="M28" t="b">
        <v>0</v>
      </c>
      <c r="N28">
        <v>2</v>
      </c>
      <c r="O28" t="b">
        <v>1</v>
      </c>
      <c r="P28">
        <v>3</v>
      </c>
      <c r="Q28">
        <v>7</v>
      </c>
      <c r="R28">
        <v>84.54925537109375</v>
      </c>
      <c r="S28" t="s">
        <v>24</v>
      </c>
      <c r="T28" t="s">
        <v>24</v>
      </c>
      <c r="U28" t="s">
        <v>24</v>
      </c>
      <c r="V28" t="s">
        <v>29</v>
      </c>
    </row>
    <row r="29" spans="1:22">
      <c r="A29" t="s">
        <v>58</v>
      </c>
      <c r="B29" t="s">
        <v>59</v>
      </c>
      <c r="C29" t="s">
        <v>25</v>
      </c>
      <c r="D29" t="s">
        <v>33</v>
      </c>
      <c r="E29" t="s">
        <v>27</v>
      </c>
      <c r="F29" t="s">
        <v>28</v>
      </c>
      <c r="G29">
        <v>14.777107238769531</v>
      </c>
      <c r="H29">
        <v>14.941503524780273</v>
      </c>
      <c r="I29">
        <v>0.23249213397502899</v>
      </c>
      <c r="J29">
        <v>4207923</v>
      </c>
      <c r="K29">
        <v>3843203</v>
      </c>
      <c r="L29">
        <v>515791.96875</v>
      </c>
      <c r="M29" t="b">
        <v>0</v>
      </c>
      <c r="N29">
        <v>2</v>
      </c>
      <c r="O29" t="b">
        <v>1</v>
      </c>
      <c r="P29">
        <v>3</v>
      </c>
      <c r="Q29">
        <v>7</v>
      </c>
      <c r="R29">
        <v>84.54925537109375</v>
      </c>
      <c r="S29" t="s">
        <v>24</v>
      </c>
      <c r="T29" t="s">
        <v>24</v>
      </c>
      <c r="U29" t="s">
        <v>24</v>
      </c>
      <c r="V29" t="s">
        <v>29</v>
      </c>
    </row>
    <row r="30" spans="1:22">
      <c r="A30" t="s">
        <v>60</v>
      </c>
      <c r="B30" t="s">
        <v>59</v>
      </c>
      <c r="C30" t="s">
        <v>25</v>
      </c>
      <c r="D30" t="s">
        <v>33</v>
      </c>
      <c r="E30" t="s">
        <v>27</v>
      </c>
      <c r="F30" t="s">
        <v>28</v>
      </c>
      <c r="G30">
        <v>15.105900764465332</v>
      </c>
      <c r="H30">
        <v>14.941503524780273</v>
      </c>
      <c r="I30">
        <v>0.23249213397502899</v>
      </c>
      <c r="J30">
        <v>3478483</v>
      </c>
      <c r="K30">
        <v>3843203</v>
      </c>
      <c r="L30">
        <v>515791.96875</v>
      </c>
      <c r="M30" t="b">
        <v>0</v>
      </c>
      <c r="N30">
        <v>2</v>
      </c>
      <c r="O30" t="b">
        <v>1</v>
      </c>
      <c r="P30">
        <v>3</v>
      </c>
      <c r="Q30">
        <v>8</v>
      </c>
      <c r="R30">
        <v>84.739898681640625</v>
      </c>
      <c r="S30" t="s">
        <v>24</v>
      </c>
      <c r="T30" t="s">
        <v>24</v>
      </c>
      <c r="U30" t="s">
        <v>24</v>
      </c>
      <c r="V30" t="s">
        <v>29</v>
      </c>
    </row>
    <row r="31" spans="1:22">
      <c r="A31" t="s">
        <v>61</v>
      </c>
      <c r="B31" t="s">
        <v>62</v>
      </c>
      <c r="C31" t="s">
        <v>25</v>
      </c>
      <c r="D31" t="s">
        <v>33</v>
      </c>
      <c r="E31" t="s">
        <v>27</v>
      </c>
      <c r="F31" t="s">
        <v>28</v>
      </c>
      <c r="G31">
        <v>14.719987869262695</v>
      </c>
      <c r="H31">
        <v>14.830955505371094</v>
      </c>
      <c r="I31">
        <v>0.15693126618862152</v>
      </c>
      <c r="J31">
        <v>4349416</v>
      </c>
      <c r="K31">
        <v>4087173.75</v>
      </c>
      <c r="L31">
        <v>370866.53125</v>
      </c>
      <c r="M31" t="b">
        <v>0</v>
      </c>
      <c r="N31">
        <v>2</v>
      </c>
      <c r="O31" t="b">
        <v>1</v>
      </c>
      <c r="P31">
        <v>3</v>
      </c>
      <c r="Q31">
        <v>7</v>
      </c>
      <c r="R31">
        <v>84.358612060546875</v>
      </c>
      <c r="S31" t="s">
        <v>24</v>
      </c>
      <c r="T31" t="s">
        <v>24</v>
      </c>
      <c r="U31" t="s">
        <v>24</v>
      </c>
      <c r="V31" t="s">
        <v>29</v>
      </c>
    </row>
    <row r="32" spans="1:22">
      <c r="A32" t="s">
        <v>63</v>
      </c>
      <c r="B32" t="s">
        <v>62</v>
      </c>
      <c r="C32" t="s">
        <v>25</v>
      </c>
      <c r="D32" t="s">
        <v>33</v>
      </c>
      <c r="E32" t="s">
        <v>27</v>
      </c>
      <c r="F32" t="s">
        <v>28</v>
      </c>
      <c r="G32">
        <v>14.941922187805176</v>
      </c>
      <c r="H32">
        <v>14.830955505371094</v>
      </c>
      <c r="I32">
        <v>0.15693126618862152</v>
      </c>
      <c r="J32">
        <v>3824931.5</v>
      </c>
      <c r="K32">
        <v>4087173.75</v>
      </c>
      <c r="L32">
        <v>370866.53125</v>
      </c>
      <c r="M32" t="b">
        <v>0</v>
      </c>
      <c r="N32">
        <v>2</v>
      </c>
      <c r="O32" t="b">
        <v>1</v>
      </c>
      <c r="P32">
        <v>3</v>
      </c>
      <c r="Q32">
        <v>7</v>
      </c>
      <c r="R32">
        <v>84.358612060546875</v>
      </c>
      <c r="S32" t="s">
        <v>24</v>
      </c>
      <c r="T32" t="s">
        <v>24</v>
      </c>
      <c r="U32" t="s">
        <v>24</v>
      </c>
      <c r="V32" t="s">
        <v>29</v>
      </c>
    </row>
    <row r="33" spans="1:22">
      <c r="A33" t="s">
        <v>64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>
        <v>18.493825912475586</v>
      </c>
      <c r="H33">
        <v>18.537361145019531</v>
      </c>
      <c r="I33">
        <v>6.1569463461637497E-2</v>
      </c>
      <c r="J33">
        <v>500000</v>
      </c>
      <c r="K33" t="s">
        <v>24</v>
      </c>
      <c r="L33" t="s">
        <v>24</v>
      </c>
      <c r="M33" t="b">
        <v>0</v>
      </c>
      <c r="N33">
        <v>2</v>
      </c>
      <c r="O33" t="b">
        <v>1</v>
      </c>
      <c r="P33">
        <v>3</v>
      </c>
      <c r="Q33">
        <v>11</v>
      </c>
      <c r="R33">
        <v>85.502456665039062</v>
      </c>
      <c r="S33" t="s">
        <v>24</v>
      </c>
      <c r="T33" t="s">
        <v>24</v>
      </c>
      <c r="U33" t="s">
        <v>24</v>
      </c>
      <c r="V33" t="s">
        <v>29</v>
      </c>
    </row>
    <row r="34" spans="1:22">
      <c r="A34" t="s">
        <v>65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>
        <v>18.580898284912109</v>
      </c>
      <c r="H34">
        <v>18.537361145019531</v>
      </c>
      <c r="I34">
        <v>6.1569463461637497E-2</v>
      </c>
      <c r="J34">
        <v>500000</v>
      </c>
      <c r="K34" t="s">
        <v>24</v>
      </c>
      <c r="L34" t="s">
        <v>24</v>
      </c>
      <c r="M34" t="b">
        <v>0</v>
      </c>
      <c r="N34">
        <v>2</v>
      </c>
      <c r="O34" t="b">
        <v>1</v>
      </c>
      <c r="P34">
        <v>3</v>
      </c>
      <c r="Q34">
        <v>10</v>
      </c>
      <c r="R34">
        <v>85.502456665039062</v>
      </c>
      <c r="S34" t="s">
        <v>24</v>
      </c>
      <c r="T34" t="s">
        <v>24</v>
      </c>
      <c r="U34" t="s">
        <v>24</v>
      </c>
      <c r="V34" t="s">
        <v>29</v>
      </c>
    </row>
    <row r="35" spans="1:22">
      <c r="A35" t="s">
        <v>66</v>
      </c>
      <c r="B35" t="s">
        <v>67</v>
      </c>
      <c r="C35" t="s">
        <v>25</v>
      </c>
      <c r="D35" t="s">
        <v>33</v>
      </c>
      <c r="E35" t="s">
        <v>27</v>
      </c>
      <c r="F35" t="s">
        <v>28</v>
      </c>
      <c r="G35">
        <v>15.457557678222656</v>
      </c>
      <c r="H35">
        <v>15.438942909240723</v>
      </c>
      <c r="I35">
        <v>2.6325259357690811E-2</v>
      </c>
      <c r="J35">
        <v>2837675.75</v>
      </c>
      <c r="K35">
        <v>2868592.5</v>
      </c>
      <c r="L35">
        <v>43722.7109375</v>
      </c>
      <c r="M35" t="b">
        <v>0</v>
      </c>
      <c r="N35">
        <v>2</v>
      </c>
      <c r="O35" t="b">
        <v>1</v>
      </c>
      <c r="P35">
        <v>3</v>
      </c>
      <c r="Q35">
        <v>6</v>
      </c>
      <c r="R35">
        <v>85.502456665039062</v>
      </c>
      <c r="S35" t="s">
        <v>24</v>
      </c>
      <c r="T35" t="s">
        <v>24</v>
      </c>
      <c r="U35" t="s">
        <v>24</v>
      </c>
      <c r="V35" t="s">
        <v>29</v>
      </c>
    </row>
    <row r="36" spans="1:22">
      <c r="A36" t="s">
        <v>68</v>
      </c>
      <c r="B36" t="s">
        <v>67</v>
      </c>
      <c r="C36" t="s">
        <v>25</v>
      </c>
      <c r="D36" t="s">
        <v>33</v>
      </c>
      <c r="E36" t="s">
        <v>27</v>
      </c>
      <c r="F36" t="s">
        <v>28</v>
      </c>
      <c r="G36">
        <v>15.420328140258789</v>
      </c>
      <c r="H36">
        <v>15.438942909240723</v>
      </c>
      <c r="I36">
        <v>2.6325259357690811E-2</v>
      </c>
      <c r="J36">
        <v>2899509</v>
      </c>
      <c r="K36">
        <v>2868592.5</v>
      </c>
      <c r="L36">
        <v>43722.7109375</v>
      </c>
      <c r="M36" t="b">
        <v>0</v>
      </c>
      <c r="N36">
        <v>2</v>
      </c>
      <c r="O36" t="b">
        <v>1</v>
      </c>
      <c r="P36">
        <v>3</v>
      </c>
      <c r="Q36">
        <v>7</v>
      </c>
      <c r="R36">
        <v>85.502456665039062</v>
      </c>
      <c r="S36" t="s">
        <v>24</v>
      </c>
      <c r="T36" t="s">
        <v>24</v>
      </c>
      <c r="U36" t="s">
        <v>24</v>
      </c>
      <c r="V36" t="s">
        <v>29</v>
      </c>
    </row>
    <row r="37" spans="1:22">
      <c r="A37" t="s">
        <v>69</v>
      </c>
      <c r="B37" t="s">
        <v>157</v>
      </c>
      <c r="C37" t="s">
        <v>25</v>
      </c>
      <c r="D37" t="s">
        <v>33</v>
      </c>
      <c r="E37" t="s">
        <v>27</v>
      </c>
      <c r="F37" t="s">
        <v>28</v>
      </c>
      <c r="G37">
        <v>14.866862297058105</v>
      </c>
      <c r="H37">
        <v>14.830360412597656</v>
      </c>
      <c r="I37">
        <v>5.1621459424495697E-2</v>
      </c>
      <c r="J37">
        <v>3994828.25</v>
      </c>
      <c r="K37">
        <v>4081067.75</v>
      </c>
      <c r="L37">
        <v>121961.0703125</v>
      </c>
      <c r="M37" t="b">
        <v>0</v>
      </c>
      <c r="N37">
        <v>2</v>
      </c>
      <c r="O37" t="b">
        <v>1</v>
      </c>
      <c r="P37">
        <v>3</v>
      </c>
      <c r="Q37">
        <v>7</v>
      </c>
      <c r="R37">
        <v>85.121177673339844</v>
      </c>
      <c r="S37" t="s">
        <v>24</v>
      </c>
      <c r="T37" t="s">
        <v>24</v>
      </c>
      <c r="U37" t="s">
        <v>24</v>
      </c>
      <c r="V37" t="s">
        <v>29</v>
      </c>
    </row>
    <row r="38" spans="1:22">
      <c r="A38" t="s">
        <v>71</v>
      </c>
      <c r="B38" t="s">
        <v>157</v>
      </c>
      <c r="C38" t="s">
        <v>25</v>
      </c>
      <c r="D38" t="s">
        <v>33</v>
      </c>
      <c r="E38" t="s">
        <v>27</v>
      </c>
      <c r="F38" t="s">
        <v>28</v>
      </c>
      <c r="G38">
        <v>14.793858528137207</v>
      </c>
      <c r="H38">
        <v>14.830360412597656</v>
      </c>
      <c r="I38">
        <v>5.1621459424495697E-2</v>
      </c>
      <c r="J38">
        <v>4167307.25</v>
      </c>
      <c r="K38">
        <v>4081067.75</v>
      </c>
      <c r="L38">
        <v>121961.0703125</v>
      </c>
      <c r="M38" t="b">
        <v>0</v>
      </c>
      <c r="N38">
        <v>2</v>
      </c>
      <c r="O38" t="b">
        <v>1</v>
      </c>
      <c r="P38">
        <v>3</v>
      </c>
      <c r="Q38">
        <v>7</v>
      </c>
      <c r="R38">
        <v>84.9305419921875</v>
      </c>
      <c r="S38" t="s">
        <v>24</v>
      </c>
      <c r="T38" t="s">
        <v>24</v>
      </c>
      <c r="U38" t="s">
        <v>24</v>
      </c>
      <c r="V38" t="s">
        <v>29</v>
      </c>
    </row>
    <row r="39" spans="1:22">
      <c r="A39" t="s">
        <v>72</v>
      </c>
      <c r="B39" t="s">
        <v>122</v>
      </c>
      <c r="C39" t="s">
        <v>25</v>
      </c>
      <c r="D39" t="s">
        <v>33</v>
      </c>
      <c r="E39" t="s">
        <v>27</v>
      </c>
      <c r="F39" t="s">
        <v>28</v>
      </c>
      <c r="G39">
        <v>15.83725643157959</v>
      </c>
      <c r="H39">
        <v>15.899482727050781</v>
      </c>
      <c r="I39">
        <v>8.8001944124698639E-2</v>
      </c>
      <c r="J39">
        <v>2277636</v>
      </c>
      <c r="K39">
        <v>2198460.5</v>
      </c>
      <c r="L39">
        <v>111970.890625</v>
      </c>
      <c r="M39" t="b">
        <v>0</v>
      </c>
      <c r="N39">
        <v>2</v>
      </c>
      <c r="O39" t="b">
        <v>1</v>
      </c>
      <c r="P39">
        <v>3</v>
      </c>
      <c r="Q39">
        <v>8</v>
      </c>
      <c r="R39">
        <v>84.54925537109375</v>
      </c>
      <c r="S39" t="s">
        <v>24</v>
      </c>
      <c r="T39" t="s">
        <v>24</v>
      </c>
      <c r="U39" t="s">
        <v>24</v>
      </c>
      <c r="V39" t="s">
        <v>29</v>
      </c>
    </row>
    <row r="40" spans="1:22">
      <c r="A40" t="s">
        <v>74</v>
      </c>
      <c r="B40" t="s">
        <v>122</v>
      </c>
      <c r="C40" t="s">
        <v>25</v>
      </c>
      <c r="D40" t="s">
        <v>33</v>
      </c>
      <c r="E40" t="s">
        <v>27</v>
      </c>
      <c r="F40" t="s">
        <v>28</v>
      </c>
      <c r="G40">
        <v>15.961709976196289</v>
      </c>
      <c r="H40">
        <v>15.899482727050781</v>
      </c>
      <c r="I40">
        <v>8.8001944124698639E-2</v>
      </c>
      <c r="J40">
        <v>2119285.25</v>
      </c>
      <c r="K40">
        <v>2198460.5</v>
      </c>
      <c r="L40">
        <v>111970.890625</v>
      </c>
      <c r="M40" t="b">
        <v>0</v>
      </c>
      <c r="N40">
        <v>2</v>
      </c>
      <c r="O40" t="b">
        <v>1</v>
      </c>
      <c r="P40">
        <v>3</v>
      </c>
      <c r="Q40">
        <v>8</v>
      </c>
      <c r="R40">
        <v>84.167976379394531</v>
      </c>
      <c r="S40" t="s">
        <v>24</v>
      </c>
      <c r="T40" t="s">
        <v>24</v>
      </c>
      <c r="U40" t="s">
        <v>24</v>
      </c>
      <c r="V40" t="s">
        <v>29</v>
      </c>
    </row>
    <row r="41" spans="1:22">
      <c r="A41" t="s">
        <v>75</v>
      </c>
      <c r="B41" t="s">
        <v>76</v>
      </c>
      <c r="C41" t="s">
        <v>25</v>
      </c>
      <c r="D41" t="s">
        <v>33</v>
      </c>
      <c r="E41" t="s">
        <v>27</v>
      </c>
      <c r="F41" t="s">
        <v>28</v>
      </c>
      <c r="G41">
        <v>33.531906127929688</v>
      </c>
      <c r="H41">
        <v>24.329109191894531</v>
      </c>
      <c r="I41">
        <v>13.01471996307373</v>
      </c>
      <c r="J41">
        <v>80.912376403808594</v>
      </c>
      <c r="K41">
        <v>1718848</v>
      </c>
      <c r="L41">
        <v>2430703.75</v>
      </c>
      <c r="M41" t="b">
        <v>0</v>
      </c>
      <c r="N41">
        <v>2</v>
      </c>
      <c r="O41" t="b">
        <v>1</v>
      </c>
      <c r="P41">
        <v>3</v>
      </c>
      <c r="Q41">
        <v>26</v>
      </c>
      <c r="R41">
        <v>81.880294799804688</v>
      </c>
      <c r="S41" t="s">
        <v>24</v>
      </c>
      <c r="T41" t="s">
        <v>24</v>
      </c>
      <c r="U41" t="s">
        <v>24</v>
      </c>
      <c r="V41" t="s">
        <v>114</v>
      </c>
    </row>
    <row r="42" spans="1:22">
      <c r="A42" t="s">
        <v>77</v>
      </c>
      <c r="B42" t="s">
        <v>76</v>
      </c>
      <c r="C42" t="s">
        <v>25</v>
      </c>
      <c r="D42" t="s">
        <v>33</v>
      </c>
      <c r="E42" t="s">
        <v>27</v>
      </c>
      <c r="F42" t="s">
        <v>28</v>
      </c>
      <c r="G42">
        <v>15.126312255859375</v>
      </c>
      <c r="H42">
        <v>24.329109191894531</v>
      </c>
      <c r="I42">
        <v>13.01471996307373</v>
      </c>
      <c r="J42">
        <v>3437615</v>
      </c>
      <c r="K42">
        <v>1718848</v>
      </c>
      <c r="L42">
        <v>2430703.75</v>
      </c>
      <c r="M42" t="b">
        <v>0</v>
      </c>
      <c r="N42">
        <v>2</v>
      </c>
      <c r="O42" t="b">
        <v>1</v>
      </c>
      <c r="P42">
        <v>3</v>
      </c>
      <c r="Q42">
        <v>8</v>
      </c>
      <c r="R42">
        <v>84.739898681640625</v>
      </c>
      <c r="S42" t="s">
        <v>24</v>
      </c>
      <c r="T42" t="s">
        <v>24</v>
      </c>
      <c r="U42" t="s">
        <v>24</v>
      </c>
      <c r="V42" t="s">
        <v>114</v>
      </c>
    </row>
    <row r="43" spans="1:22">
      <c r="A43" t="s">
        <v>78</v>
      </c>
      <c r="B43" t="s">
        <v>79</v>
      </c>
      <c r="C43" t="s">
        <v>25</v>
      </c>
      <c r="D43" t="s">
        <v>33</v>
      </c>
      <c r="E43" t="s">
        <v>27</v>
      </c>
      <c r="F43" t="s">
        <v>28</v>
      </c>
      <c r="G43">
        <v>14.455774307250977</v>
      </c>
      <c r="H43">
        <v>14.514159202575684</v>
      </c>
      <c r="I43">
        <v>8.2568712532520294E-2</v>
      </c>
      <c r="J43">
        <v>5068386</v>
      </c>
      <c r="K43">
        <v>4902712</v>
      </c>
      <c r="L43">
        <v>234298.0625</v>
      </c>
      <c r="M43" t="b">
        <v>0</v>
      </c>
      <c r="N43">
        <v>2</v>
      </c>
      <c r="O43" t="b">
        <v>1</v>
      </c>
      <c r="P43">
        <v>3</v>
      </c>
      <c r="Q43">
        <v>7</v>
      </c>
      <c r="R43">
        <v>84.739898681640625</v>
      </c>
      <c r="S43" t="s">
        <v>24</v>
      </c>
      <c r="T43" t="s">
        <v>24</v>
      </c>
      <c r="U43" t="s">
        <v>24</v>
      </c>
      <c r="V43" t="s">
        <v>29</v>
      </c>
    </row>
    <row r="44" spans="1:22">
      <c r="A44" t="s">
        <v>80</v>
      </c>
      <c r="B44" t="s">
        <v>79</v>
      </c>
      <c r="C44" t="s">
        <v>25</v>
      </c>
      <c r="D44" t="s">
        <v>33</v>
      </c>
      <c r="E44" t="s">
        <v>27</v>
      </c>
      <c r="F44" t="s">
        <v>28</v>
      </c>
      <c r="G44">
        <v>14.572544097900391</v>
      </c>
      <c r="H44">
        <v>14.514159202575684</v>
      </c>
      <c r="I44">
        <v>8.2568712532520294E-2</v>
      </c>
      <c r="J44">
        <v>4737038.5</v>
      </c>
      <c r="K44">
        <v>4902712</v>
      </c>
      <c r="L44">
        <v>234298.0625</v>
      </c>
      <c r="M44" t="b">
        <v>0</v>
      </c>
      <c r="N44">
        <v>2</v>
      </c>
      <c r="O44" t="b">
        <v>1</v>
      </c>
      <c r="P44">
        <v>3</v>
      </c>
      <c r="Q44">
        <v>6</v>
      </c>
      <c r="R44">
        <v>84.739898681640625</v>
      </c>
      <c r="S44" t="s">
        <v>24</v>
      </c>
      <c r="T44" t="s">
        <v>24</v>
      </c>
      <c r="U44" t="s">
        <v>24</v>
      </c>
      <c r="V44" t="s">
        <v>29</v>
      </c>
    </row>
    <row r="45" spans="1:22">
      <c r="A45" t="s">
        <v>81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>
        <v>22.606040954589844</v>
      </c>
      <c r="H45">
        <v>22.638572692871094</v>
      </c>
      <c r="I45">
        <v>4.6006824821233749E-2</v>
      </c>
      <c r="J45">
        <v>50000</v>
      </c>
      <c r="K45" t="s">
        <v>24</v>
      </c>
      <c r="L45" t="s">
        <v>24</v>
      </c>
      <c r="M45" t="b">
        <v>0</v>
      </c>
      <c r="N45">
        <v>2</v>
      </c>
      <c r="O45" t="b">
        <v>1</v>
      </c>
      <c r="P45">
        <v>3</v>
      </c>
      <c r="Q45">
        <v>13</v>
      </c>
      <c r="R45">
        <v>85.693099975585938</v>
      </c>
      <c r="S45" t="s">
        <v>24</v>
      </c>
      <c r="T45" t="s">
        <v>24</v>
      </c>
      <c r="U45" t="s">
        <v>24</v>
      </c>
      <c r="V45" t="s">
        <v>29</v>
      </c>
    </row>
    <row r="46" spans="1:22">
      <c r="A46" t="s">
        <v>82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>
        <v>22.671104431152344</v>
      </c>
      <c r="H46">
        <v>22.638572692871094</v>
      </c>
      <c r="I46">
        <v>4.6006824821233749E-2</v>
      </c>
      <c r="J46">
        <v>50000</v>
      </c>
      <c r="K46" t="s">
        <v>24</v>
      </c>
      <c r="L46" t="s">
        <v>24</v>
      </c>
      <c r="M46" t="b">
        <v>0</v>
      </c>
      <c r="N46">
        <v>2</v>
      </c>
      <c r="O46" t="b">
        <v>1</v>
      </c>
      <c r="P46">
        <v>3</v>
      </c>
      <c r="Q46">
        <v>14</v>
      </c>
      <c r="R46">
        <v>85.693099975585938</v>
      </c>
      <c r="S46" t="s">
        <v>24</v>
      </c>
      <c r="T46" t="s">
        <v>24</v>
      </c>
      <c r="U46" t="s">
        <v>24</v>
      </c>
      <c r="V46" t="s">
        <v>29</v>
      </c>
    </row>
    <row r="47" spans="1:22">
      <c r="A47" t="s">
        <v>83</v>
      </c>
      <c r="B47" t="s">
        <v>84</v>
      </c>
      <c r="C47" t="s">
        <v>25</v>
      </c>
      <c r="D47" t="s">
        <v>33</v>
      </c>
      <c r="E47" t="s">
        <v>27</v>
      </c>
      <c r="F47" t="s">
        <v>28</v>
      </c>
      <c r="G47">
        <v>15.677135467529297</v>
      </c>
      <c r="H47">
        <v>15.680496215820312</v>
      </c>
      <c r="I47">
        <v>4.7521414235234261E-3</v>
      </c>
      <c r="J47">
        <v>2498895.25</v>
      </c>
      <c r="K47">
        <v>2494043</v>
      </c>
      <c r="L47">
        <v>6862.29443359375</v>
      </c>
      <c r="M47" t="b">
        <v>0</v>
      </c>
      <c r="N47">
        <v>2</v>
      </c>
      <c r="O47" t="b">
        <v>1</v>
      </c>
      <c r="P47">
        <v>3</v>
      </c>
      <c r="Q47">
        <v>7</v>
      </c>
      <c r="R47">
        <v>85.502456665039062</v>
      </c>
      <c r="S47" t="s">
        <v>24</v>
      </c>
      <c r="T47" t="s">
        <v>24</v>
      </c>
      <c r="U47" t="s">
        <v>24</v>
      </c>
      <c r="V47" t="s">
        <v>29</v>
      </c>
    </row>
    <row r="48" spans="1:22">
      <c r="A48" t="s">
        <v>85</v>
      </c>
      <c r="B48" t="s">
        <v>84</v>
      </c>
      <c r="C48" t="s">
        <v>25</v>
      </c>
      <c r="D48" t="s">
        <v>33</v>
      </c>
      <c r="E48" t="s">
        <v>27</v>
      </c>
      <c r="F48" t="s">
        <v>28</v>
      </c>
      <c r="G48">
        <v>15.683856010437012</v>
      </c>
      <c r="H48">
        <v>15.680496215820312</v>
      </c>
      <c r="I48">
        <v>4.7521414235234261E-3</v>
      </c>
      <c r="J48">
        <v>2489190.5</v>
      </c>
      <c r="K48">
        <v>2494043</v>
      </c>
      <c r="L48">
        <v>6862.29443359375</v>
      </c>
      <c r="M48" t="b">
        <v>0</v>
      </c>
      <c r="N48">
        <v>2</v>
      </c>
      <c r="O48" t="b">
        <v>1</v>
      </c>
      <c r="P48">
        <v>3</v>
      </c>
      <c r="Q48">
        <v>7</v>
      </c>
      <c r="R48">
        <v>85.502456665039062</v>
      </c>
      <c r="S48" t="s">
        <v>24</v>
      </c>
      <c r="T48" t="s">
        <v>24</v>
      </c>
      <c r="U48" t="s">
        <v>24</v>
      </c>
      <c r="V48" t="s">
        <v>29</v>
      </c>
    </row>
    <row r="49" spans="1:22">
      <c r="A49" t="s">
        <v>86</v>
      </c>
      <c r="B49" t="s">
        <v>39</v>
      </c>
      <c r="C49" t="s">
        <v>25</v>
      </c>
      <c r="D49" t="s">
        <v>33</v>
      </c>
      <c r="E49" t="s">
        <v>27</v>
      </c>
      <c r="F49" t="s">
        <v>28</v>
      </c>
      <c r="G49">
        <v>15.296405792236328</v>
      </c>
      <c r="H49">
        <v>15.44182300567627</v>
      </c>
      <c r="I49">
        <v>0.20565100014209747</v>
      </c>
      <c r="J49">
        <v>3115198.75</v>
      </c>
      <c r="K49">
        <v>2873802.75</v>
      </c>
      <c r="L49">
        <v>341385.5</v>
      </c>
      <c r="M49" t="b">
        <v>0</v>
      </c>
      <c r="N49">
        <v>2</v>
      </c>
      <c r="O49" t="b">
        <v>1</v>
      </c>
      <c r="P49">
        <v>3</v>
      </c>
      <c r="Q49">
        <v>5</v>
      </c>
      <c r="R49">
        <v>85.311820983886719</v>
      </c>
      <c r="S49" t="s">
        <v>24</v>
      </c>
      <c r="T49" t="s">
        <v>24</v>
      </c>
      <c r="U49" t="s">
        <v>24</v>
      </c>
      <c r="V49" t="s">
        <v>29</v>
      </c>
    </row>
    <row r="50" spans="1:22">
      <c r="A50" t="s">
        <v>88</v>
      </c>
      <c r="B50" t="s">
        <v>39</v>
      </c>
      <c r="C50" t="s">
        <v>25</v>
      </c>
      <c r="D50" t="s">
        <v>33</v>
      </c>
      <c r="E50" t="s">
        <v>27</v>
      </c>
      <c r="F50" t="s">
        <v>28</v>
      </c>
      <c r="G50">
        <v>15.587240219116211</v>
      </c>
      <c r="H50">
        <v>15.44182300567627</v>
      </c>
      <c r="I50">
        <v>0.20565100014209747</v>
      </c>
      <c r="J50">
        <v>2632406.75</v>
      </c>
      <c r="K50">
        <v>2873802.75</v>
      </c>
      <c r="L50">
        <v>341385.5</v>
      </c>
      <c r="M50" t="b">
        <v>0</v>
      </c>
      <c r="N50">
        <v>2</v>
      </c>
      <c r="O50" t="b">
        <v>1</v>
      </c>
      <c r="P50">
        <v>3</v>
      </c>
      <c r="Q50">
        <v>8</v>
      </c>
      <c r="R50">
        <v>84.9305419921875</v>
      </c>
      <c r="S50" t="s">
        <v>24</v>
      </c>
      <c r="T50" t="s">
        <v>24</v>
      </c>
      <c r="U50" t="s">
        <v>24</v>
      </c>
      <c r="V50" t="s">
        <v>29</v>
      </c>
    </row>
    <row r="51" spans="1:22">
      <c r="A51" t="s">
        <v>89</v>
      </c>
      <c r="B51" t="s">
        <v>90</v>
      </c>
      <c r="C51" t="s">
        <v>25</v>
      </c>
      <c r="D51" t="s">
        <v>33</v>
      </c>
      <c r="E51" t="s">
        <v>27</v>
      </c>
      <c r="F51" t="s">
        <v>28</v>
      </c>
      <c r="G51">
        <v>16.121479034423828</v>
      </c>
      <c r="H51">
        <v>16.474834442138672</v>
      </c>
      <c r="I51">
        <v>0.49971866607666016</v>
      </c>
      <c r="J51">
        <v>1932031.125</v>
      </c>
      <c r="K51">
        <v>1607633</v>
      </c>
      <c r="L51">
        <v>458768.125</v>
      </c>
      <c r="M51" t="b">
        <v>0</v>
      </c>
      <c r="N51">
        <v>2</v>
      </c>
      <c r="O51" t="b">
        <v>1</v>
      </c>
      <c r="P51">
        <v>3</v>
      </c>
      <c r="Q51">
        <v>8</v>
      </c>
      <c r="R51">
        <v>84.167976379394531</v>
      </c>
      <c r="S51" t="s">
        <v>24</v>
      </c>
      <c r="T51" t="s">
        <v>24</v>
      </c>
      <c r="U51" t="s">
        <v>24</v>
      </c>
      <c r="V51" t="s">
        <v>29</v>
      </c>
    </row>
    <row r="52" spans="1:22">
      <c r="A52" t="s">
        <v>91</v>
      </c>
      <c r="B52" t="s">
        <v>90</v>
      </c>
      <c r="C52" t="s">
        <v>25</v>
      </c>
      <c r="D52" t="s">
        <v>33</v>
      </c>
      <c r="E52" t="s">
        <v>27</v>
      </c>
      <c r="F52" t="s">
        <v>28</v>
      </c>
      <c r="G52">
        <v>16.828187942504883</v>
      </c>
      <c r="H52">
        <v>16.474834442138672</v>
      </c>
      <c r="I52">
        <v>0.49971866607666016</v>
      </c>
      <c r="J52">
        <v>1283235</v>
      </c>
      <c r="K52">
        <v>1607633</v>
      </c>
      <c r="L52">
        <v>458768.125</v>
      </c>
      <c r="M52" t="b">
        <v>0</v>
      </c>
      <c r="N52">
        <v>2</v>
      </c>
      <c r="O52" t="b">
        <v>1</v>
      </c>
      <c r="P52">
        <v>3</v>
      </c>
      <c r="Q52">
        <v>8</v>
      </c>
      <c r="R52">
        <v>83.786697387695312</v>
      </c>
      <c r="S52" t="s">
        <v>24</v>
      </c>
      <c r="T52" t="s">
        <v>24</v>
      </c>
      <c r="U52" t="s">
        <v>24</v>
      </c>
      <c r="V52" t="s">
        <v>29</v>
      </c>
    </row>
    <row r="53" spans="1:22">
      <c r="A53" t="s">
        <v>92</v>
      </c>
      <c r="B53" t="s">
        <v>93</v>
      </c>
      <c r="C53" t="s">
        <v>25</v>
      </c>
      <c r="D53" t="s">
        <v>33</v>
      </c>
      <c r="E53" t="s">
        <v>27</v>
      </c>
      <c r="F53" t="s">
        <v>28</v>
      </c>
      <c r="G53">
        <v>15.865276336669922</v>
      </c>
      <c r="H53">
        <v>16.008661270141602</v>
      </c>
      <c r="I53">
        <v>0.20277692377567291</v>
      </c>
      <c r="J53">
        <v>2240982.5</v>
      </c>
      <c r="K53">
        <v>2069560.25</v>
      </c>
      <c r="L53">
        <v>242427.765625</v>
      </c>
      <c r="M53" t="b">
        <v>0</v>
      </c>
      <c r="N53">
        <v>2</v>
      </c>
      <c r="O53" t="b">
        <v>1</v>
      </c>
      <c r="P53">
        <v>3</v>
      </c>
      <c r="Q53">
        <v>7</v>
      </c>
      <c r="R53">
        <v>84.739898681640625</v>
      </c>
      <c r="S53" t="s">
        <v>24</v>
      </c>
      <c r="T53" t="s">
        <v>24</v>
      </c>
      <c r="U53" t="s">
        <v>24</v>
      </c>
      <c r="V53" t="s">
        <v>29</v>
      </c>
    </row>
    <row r="54" spans="1:22">
      <c r="A54" t="s">
        <v>94</v>
      </c>
      <c r="B54" t="s">
        <v>93</v>
      </c>
      <c r="C54" t="s">
        <v>25</v>
      </c>
      <c r="D54" t="s">
        <v>33</v>
      </c>
      <c r="E54" t="s">
        <v>27</v>
      </c>
      <c r="F54" t="s">
        <v>28</v>
      </c>
      <c r="G54">
        <v>16.152046203613281</v>
      </c>
      <c r="H54">
        <v>16.008661270141602</v>
      </c>
      <c r="I54">
        <v>0.20277692377567291</v>
      </c>
      <c r="J54">
        <v>1898137.875</v>
      </c>
      <c r="K54">
        <v>2069560.25</v>
      </c>
      <c r="L54">
        <v>242427.765625</v>
      </c>
      <c r="M54" t="b">
        <v>0</v>
      </c>
      <c r="N54">
        <v>2</v>
      </c>
      <c r="O54" t="b">
        <v>1</v>
      </c>
      <c r="P54">
        <v>3</v>
      </c>
      <c r="Q54">
        <v>7</v>
      </c>
      <c r="R54">
        <v>85.121177673339844</v>
      </c>
      <c r="S54" t="s">
        <v>24</v>
      </c>
      <c r="T54" t="s">
        <v>24</v>
      </c>
      <c r="U54" t="s">
        <v>24</v>
      </c>
      <c r="V54" t="s">
        <v>29</v>
      </c>
    </row>
    <row r="55" spans="1:22">
      <c r="A55" t="s">
        <v>95</v>
      </c>
      <c r="B55" t="s">
        <v>96</v>
      </c>
      <c r="C55" t="s">
        <v>25</v>
      </c>
      <c r="D55" t="s">
        <v>33</v>
      </c>
      <c r="E55" t="s">
        <v>27</v>
      </c>
      <c r="F55" t="s">
        <v>28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b">
        <v>0</v>
      </c>
      <c r="N55">
        <v>2</v>
      </c>
      <c r="O55" t="b">
        <v>1</v>
      </c>
      <c r="P55">
        <v>3</v>
      </c>
      <c r="Q55">
        <v>47</v>
      </c>
      <c r="R55" t="s">
        <v>24</v>
      </c>
      <c r="S55" t="s">
        <v>24</v>
      </c>
      <c r="T55" t="s">
        <v>24</v>
      </c>
      <c r="U55" t="s">
        <v>24</v>
      </c>
      <c r="V55" t="s">
        <v>29</v>
      </c>
    </row>
    <row r="56" spans="1:22">
      <c r="A56" t="s">
        <v>97</v>
      </c>
      <c r="B56" t="s">
        <v>96</v>
      </c>
      <c r="C56" t="s">
        <v>25</v>
      </c>
      <c r="D56" t="s">
        <v>33</v>
      </c>
      <c r="E56" t="s">
        <v>27</v>
      </c>
      <c r="F56" t="s">
        <v>28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b">
        <v>0</v>
      </c>
      <c r="N56">
        <v>2</v>
      </c>
      <c r="O56" t="b">
        <v>1</v>
      </c>
      <c r="P56">
        <v>3</v>
      </c>
      <c r="Q56">
        <v>12</v>
      </c>
      <c r="R56" t="s">
        <v>24</v>
      </c>
      <c r="S56" t="s">
        <v>24</v>
      </c>
      <c r="T56" t="s">
        <v>24</v>
      </c>
      <c r="U56" t="s">
        <v>24</v>
      </c>
      <c r="V56" t="s">
        <v>29</v>
      </c>
    </row>
    <row r="57" spans="1:22">
      <c r="A57" t="s">
        <v>98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>
        <v>26.413654327392578</v>
      </c>
      <c r="H57">
        <v>26.416606903076172</v>
      </c>
      <c r="I57">
        <v>4.1769212111830711E-3</v>
      </c>
      <c r="J57">
        <v>5000</v>
      </c>
      <c r="K57" t="s">
        <v>24</v>
      </c>
      <c r="L57" t="s">
        <v>24</v>
      </c>
      <c r="M57" t="b">
        <v>0</v>
      </c>
      <c r="N57">
        <v>2</v>
      </c>
      <c r="O57" t="b">
        <v>1</v>
      </c>
      <c r="P57">
        <v>3</v>
      </c>
      <c r="Q57">
        <v>18</v>
      </c>
      <c r="R57">
        <v>85.693099975585938</v>
      </c>
      <c r="S57" t="s">
        <v>24</v>
      </c>
      <c r="T57" t="s">
        <v>24</v>
      </c>
      <c r="U57" t="s">
        <v>24</v>
      </c>
      <c r="V57" t="s">
        <v>29</v>
      </c>
    </row>
    <row r="58" spans="1:22">
      <c r="A58" t="s">
        <v>99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>
        <v>26.419561386108398</v>
      </c>
      <c r="H58">
        <v>26.416606903076172</v>
      </c>
      <c r="I58">
        <v>4.1769212111830711E-3</v>
      </c>
      <c r="J58">
        <v>5000</v>
      </c>
      <c r="K58" t="s">
        <v>24</v>
      </c>
      <c r="L58" t="s">
        <v>24</v>
      </c>
      <c r="M58" t="b">
        <v>0</v>
      </c>
      <c r="N58">
        <v>2</v>
      </c>
      <c r="O58" t="b">
        <v>1</v>
      </c>
      <c r="P58">
        <v>3</v>
      </c>
      <c r="Q58">
        <v>18</v>
      </c>
      <c r="R58">
        <v>85.693099975585938</v>
      </c>
      <c r="S58" t="s">
        <v>24</v>
      </c>
      <c r="T58" t="s">
        <v>24</v>
      </c>
      <c r="U58" t="s">
        <v>24</v>
      </c>
      <c r="V58" t="s">
        <v>29</v>
      </c>
    </row>
    <row r="59" spans="1:22">
      <c r="A59" t="s">
        <v>100</v>
      </c>
      <c r="B59" t="s">
        <v>101</v>
      </c>
      <c r="C59" t="s">
        <v>25</v>
      </c>
      <c r="D59" t="s">
        <v>33</v>
      </c>
      <c r="E59" t="s">
        <v>27</v>
      </c>
      <c r="F59" t="s">
        <v>28</v>
      </c>
      <c r="G59">
        <v>14.626873970031738</v>
      </c>
      <c r="H59">
        <v>14.574948310852051</v>
      </c>
      <c r="I59">
        <v>7.3433972895145416E-2</v>
      </c>
      <c r="J59">
        <v>4590344</v>
      </c>
      <c r="K59">
        <v>4732587</v>
      </c>
      <c r="L59">
        <v>201162.328125</v>
      </c>
      <c r="M59" t="b">
        <v>0</v>
      </c>
      <c r="N59">
        <v>2</v>
      </c>
      <c r="O59" t="b">
        <v>1</v>
      </c>
      <c r="P59">
        <v>3</v>
      </c>
      <c r="Q59">
        <v>7</v>
      </c>
      <c r="R59">
        <v>85.693099975585938</v>
      </c>
      <c r="S59" t="s">
        <v>24</v>
      </c>
      <c r="T59" t="s">
        <v>24</v>
      </c>
      <c r="U59" t="s">
        <v>24</v>
      </c>
      <c r="V59" t="s">
        <v>29</v>
      </c>
    </row>
    <row r="60" spans="1:22">
      <c r="A60" t="s">
        <v>102</v>
      </c>
      <c r="B60" t="s">
        <v>101</v>
      </c>
      <c r="C60" t="s">
        <v>25</v>
      </c>
      <c r="D60" t="s">
        <v>33</v>
      </c>
      <c r="E60" t="s">
        <v>27</v>
      </c>
      <c r="F60" t="s">
        <v>28</v>
      </c>
      <c r="G60">
        <v>14.523022651672363</v>
      </c>
      <c r="H60">
        <v>14.574948310852051</v>
      </c>
      <c r="I60">
        <v>7.3433972895145416E-2</v>
      </c>
      <c r="J60">
        <v>4874830.5</v>
      </c>
      <c r="K60">
        <v>4732587</v>
      </c>
      <c r="L60">
        <v>201162.328125</v>
      </c>
      <c r="M60" t="b">
        <v>0</v>
      </c>
      <c r="N60">
        <v>2</v>
      </c>
      <c r="O60" t="b">
        <v>1</v>
      </c>
      <c r="P60">
        <v>3</v>
      </c>
      <c r="Q60">
        <v>7</v>
      </c>
      <c r="R60">
        <v>85.693099975585938</v>
      </c>
      <c r="S60" t="s">
        <v>24</v>
      </c>
      <c r="T60" t="s">
        <v>24</v>
      </c>
      <c r="U60" t="s">
        <v>24</v>
      </c>
      <c r="V60" t="s">
        <v>29</v>
      </c>
    </row>
    <row r="61" spans="1:22">
      <c r="A61" t="s">
        <v>103</v>
      </c>
      <c r="B61" t="s">
        <v>56</v>
      </c>
      <c r="C61" t="s">
        <v>25</v>
      </c>
      <c r="D61" t="s">
        <v>33</v>
      </c>
      <c r="E61" t="s">
        <v>27</v>
      </c>
      <c r="F61" t="s">
        <v>28</v>
      </c>
      <c r="G61">
        <v>14.116595268249512</v>
      </c>
      <c r="H61">
        <v>14.093203544616699</v>
      </c>
      <c r="I61">
        <v>3.3080894500017166E-2</v>
      </c>
      <c r="J61">
        <v>6168209.5</v>
      </c>
      <c r="K61">
        <v>6252893</v>
      </c>
      <c r="L61">
        <v>119760.5546875</v>
      </c>
      <c r="M61" t="b">
        <v>0</v>
      </c>
      <c r="N61">
        <v>2</v>
      </c>
      <c r="O61" t="b">
        <v>1</v>
      </c>
      <c r="P61">
        <v>3</v>
      </c>
      <c r="Q61">
        <v>4</v>
      </c>
      <c r="R61">
        <v>85.693099975585938</v>
      </c>
      <c r="S61" t="s">
        <v>24</v>
      </c>
      <c r="T61" t="s">
        <v>24</v>
      </c>
      <c r="U61" t="s">
        <v>24</v>
      </c>
      <c r="V61" t="s">
        <v>29</v>
      </c>
    </row>
    <row r="62" spans="1:22">
      <c r="A62" t="s">
        <v>105</v>
      </c>
      <c r="B62" t="s">
        <v>56</v>
      </c>
      <c r="C62" t="s">
        <v>25</v>
      </c>
      <c r="D62" t="s">
        <v>33</v>
      </c>
      <c r="E62" t="s">
        <v>27</v>
      </c>
      <c r="F62" t="s">
        <v>28</v>
      </c>
      <c r="G62">
        <v>14.069811820983887</v>
      </c>
      <c r="H62">
        <v>14.093203544616699</v>
      </c>
      <c r="I62">
        <v>3.3080894500017166E-2</v>
      </c>
      <c r="J62">
        <v>6337576.5</v>
      </c>
      <c r="K62">
        <v>6252893</v>
      </c>
      <c r="L62">
        <v>119760.5546875</v>
      </c>
      <c r="M62" t="b">
        <v>0</v>
      </c>
      <c r="N62">
        <v>2</v>
      </c>
      <c r="O62" t="b">
        <v>1</v>
      </c>
      <c r="P62">
        <v>3</v>
      </c>
      <c r="Q62">
        <v>5</v>
      </c>
      <c r="R62">
        <v>85.311820983886719</v>
      </c>
      <c r="S62" t="s">
        <v>24</v>
      </c>
      <c r="T62" t="s">
        <v>24</v>
      </c>
      <c r="U62" t="s">
        <v>24</v>
      </c>
      <c r="V62" t="s">
        <v>29</v>
      </c>
    </row>
    <row r="63" spans="1:22">
      <c r="A63" t="s">
        <v>106</v>
      </c>
      <c r="B63" t="s">
        <v>107</v>
      </c>
      <c r="C63" t="s">
        <v>25</v>
      </c>
      <c r="D63" t="s">
        <v>33</v>
      </c>
      <c r="E63" t="s">
        <v>27</v>
      </c>
      <c r="F63" t="s">
        <v>28</v>
      </c>
      <c r="G63">
        <v>16.167709350585938</v>
      </c>
      <c r="H63">
        <v>16.277534484863281</v>
      </c>
      <c r="I63">
        <v>0.1553148478269577</v>
      </c>
      <c r="J63">
        <v>1881001.375</v>
      </c>
      <c r="K63">
        <v>1768684.375</v>
      </c>
      <c r="L63">
        <v>158840.21875</v>
      </c>
      <c r="M63" t="b">
        <v>0</v>
      </c>
      <c r="N63">
        <v>2</v>
      </c>
      <c r="O63" t="b">
        <v>1</v>
      </c>
      <c r="P63">
        <v>3</v>
      </c>
      <c r="Q63">
        <v>7</v>
      </c>
      <c r="R63">
        <v>85.121177673339844</v>
      </c>
      <c r="S63" t="s">
        <v>24</v>
      </c>
      <c r="T63" t="s">
        <v>24</v>
      </c>
      <c r="U63" t="s">
        <v>24</v>
      </c>
      <c r="V63" t="s">
        <v>29</v>
      </c>
    </row>
    <row r="64" spans="1:22">
      <c r="A64" t="s">
        <v>108</v>
      </c>
      <c r="B64" t="s">
        <v>107</v>
      </c>
      <c r="C64" t="s">
        <v>25</v>
      </c>
      <c r="D64" t="s">
        <v>33</v>
      </c>
      <c r="E64" t="s">
        <v>27</v>
      </c>
      <c r="F64" t="s">
        <v>28</v>
      </c>
      <c r="G64">
        <v>16.387357711791992</v>
      </c>
      <c r="H64">
        <v>16.277534484863281</v>
      </c>
      <c r="I64">
        <v>0.1553148478269577</v>
      </c>
      <c r="J64">
        <v>1656367.375</v>
      </c>
      <c r="K64">
        <v>1768684.375</v>
      </c>
      <c r="L64">
        <v>158840.21875</v>
      </c>
      <c r="M64" t="b">
        <v>0</v>
      </c>
      <c r="N64">
        <v>2</v>
      </c>
      <c r="O64" t="b">
        <v>1</v>
      </c>
      <c r="P64">
        <v>3</v>
      </c>
      <c r="Q64">
        <v>8</v>
      </c>
      <c r="R64">
        <v>84.9305419921875</v>
      </c>
      <c r="S64" t="s">
        <v>24</v>
      </c>
      <c r="T64" t="s">
        <v>24</v>
      </c>
      <c r="U64" t="s">
        <v>24</v>
      </c>
      <c r="V64" t="s">
        <v>29</v>
      </c>
    </row>
    <row r="65" spans="1:22">
      <c r="A65" t="s">
        <v>109</v>
      </c>
      <c r="B65" t="s">
        <v>110</v>
      </c>
      <c r="C65" t="s">
        <v>25</v>
      </c>
      <c r="D65" t="s">
        <v>33</v>
      </c>
      <c r="E65" t="s">
        <v>27</v>
      </c>
      <c r="F65" t="s">
        <v>28</v>
      </c>
      <c r="G65">
        <v>13.666501045227051</v>
      </c>
      <c r="H65">
        <v>13.713718414306641</v>
      </c>
      <c r="I65">
        <v>6.6774770617485046E-2</v>
      </c>
      <c r="J65">
        <v>8004590</v>
      </c>
      <c r="K65">
        <v>7791629.5</v>
      </c>
      <c r="L65">
        <v>301171.625</v>
      </c>
      <c r="M65" t="b">
        <v>0</v>
      </c>
      <c r="N65">
        <v>2</v>
      </c>
      <c r="O65" t="b">
        <v>1</v>
      </c>
      <c r="P65">
        <v>3</v>
      </c>
      <c r="Q65">
        <v>4</v>
      </c>
      <c r="R65">
        <v>85.121177673339844</v>
      </c>
      <c r="S65" t="s">
        <v>24</v>
      </c>
      <c r="T65" t="s">
        <v>24</v>
      </c>
      <c r="U65" t="s">
        <v>24</v>
      </c>
      <c r="V65" t="s">
        <v>29</v>
      </c>
    </row>
    <row r="66" spans="1:22">
      <c r="A66" t="s">
        <v>111</v>
      </c>
      <c r="B66" t="s">
        <v>110</v>
      </c>
      <c r="C66" t="s">
        <v>25</v>
      </c>
      <c r="D66" t="s">
        <v>33</v>
      </c>
      <c r="E66" t="s">
        <v>27</v>
      </c>
      <c r="F66" t="s">
        <v>28</v>
      </c>
      <c r="G66">
        <v>13.760934829711914</v>
      </c>
      <c r="H66">
        <v>13.713718414306641</v>
      </c>
      <c r="I66">
        <v>6.6774770617485046E-2</v>
      </c>
      <c r="J66">
        <v>7578669</v>
      </c>
      <c r="K66">
        <v>7791629.5</v>
      </c>
      <c r="L66">
        <v>301171.625</v>
      </c>
      <c r="M66" t="b">
        <v>0</v>
      </c>
      <c r="N66">
        <v>2</v>
      </c>
      <c r="O66" t="b">
        <v>1</v>
      </c>
      <c r="P66">
        <v>3</v>
      </c>
      <c r="Q66">
        <v>5</v>
      </c>
      <c r="R66">
        <v>85.311820983886719</v>
      </c>
      <c r="S66" t="s">
        <v>24</v>
      </c>
      <c r="T66" t="s">
        <v>24</v>
      </c>
      <c r="U66" t="s">
        <v>24</v>
      </c>
      <c r="V66" t="s">
        <v>29</v>
      </c>
    </row>
    <row r="67" spans="1:22">
      <c r="A67" t="s">
        <v>112</v>
      </c>
      <c r="B67" t="s">
        <v>113</v>
      </c>
      <c r="C67" t="s">
        <v>25</v>
      </c>
      <c r="D67" t="s">
        <v>33</v>
      </c>
      <c r="E67" t="s">
        <v>27</v>
      </c>
      <c r="F67" t="s">
        <v>28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b">
        <v>0</v>
      </c>
      <c r="N67">
        <v>2</v>
      </c>
      <c r="O67" t="b">
        <v>1</v>
      </c>
      <c r="P67">
        <v>3</v>
      </c>
      <c r="Q67">
        <v>39</v>
      </c>
      <c r="R67" t="s">
        <v>24</v>
      </c>
      <c r="S67" t="s">
        <v>24</v>
      </c>
      <c r="T67" t="s">
        <v>24</v>
      </c>
      <c r="U67" t="s">
        <v>24</v>
      </c>
      <c r="V67" t="s">
        <v>29</v>
      </c>
    </row>
    <row r="68" spans="1:22">
      <c r="A68" t="s">
        <v>115</v>
      </c>
      <c r="B68" t="s">
        <v>113</v>
      </c>
      <c r="C68" t="s">
        <v>25</v>
      </c>
      <c r="D68" t="s">
        <v>33</v>
      </c>
      <c r="E68" t="s">
        <v>27</v>
      </c>
      <c r="F68" t="s">
        <v>28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b">
        <v>0</v>
      </c>
      <c r="N68">
        <v>2</v>
      </c>
      <c r="O68" t="b">
        <v>1</v>
      </c>
      <c r="P68">
        <v>3</v>
      </c>
      <c r="Q68">
        <v>28</v>
      </c>
      <c r="R68" t="s">
        <v>24</v>
      </c>
      <c r="S68" t="s">
        <v>24</v>
      </c>
      <c r="T68" t="s">
        <v>24</v>
      </c>
      <c r="U68" t="s">
        <v>24</v>
      </c>
      <c r="V68" t="s">
        <v>29</v>
      </c>
    </row>
    <row r="69" spans="1:22">
      <c r="A69" t="s">
        <v>116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>
        <v>30.887943267822266</v>
      </c>
      <c r="H69">
        <v>30.351005554199219</v>
      </c>
      <c r="I69">
        <v>0.75934594869613647</v>
      </c>
      <c r="J69">
        <v>500</v>
      </c>
      <c r="K69" t="s">
        <v>24</v>
      </c>
      <c r="L69" t="s">
        <v>24</v>
      </c>
      <c r="M69" t="b">
        <v>0</v>
      </c>
      <c r="N69">
        <v>2</v>
      </c>
      <c r="O69" t="b">
        <v>1</v>
      </c>
      <c r="P69">
        <v>3</v>
      </c>
      <c r="Q69">
        <v>23</v>
      </c>
      <c r="R69">
        <v>85.502456665039062</v>
      </c>
      <c r="S69" t="s">
        <v>24</v>
      </c>
      <c r="T69" t="s">
        <v>24</v>
      </c>
      <c r="U69" t="s">
        <v>24</v>
      </c>
      <c r="V69" t="s">
        <v>114</v>
      </c>
    </row>
    <row r="70" spans="1:22">
      <c r="A70" t="s">
        <v>117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>
        <v>29.814065933227539</v>
      </c>
      <c r="H70">
        <v>30.351005554199219</v>
      </c>
      <c r="I70">
        <v>0.75934594869613647</v>
      </c>
      <c r="J70">
        <v>500</v>
      </c>
      <c r="K70" t="s">
        <v>24</v>
      </c>
      <c r="L70" t="s">
        <v>24</v>
      </c>
      <c r="M70" t="b">
        <v>0</v>
      </c>
      <c r="N70">
        <v>2</v>
      </c>
      <c r="O70" t="b">
        <v>1</v>
      </c>
      <c r="P70">
        <v>3</v>
      </c>
      <c r="Q70">
        <v>22</v>
      </c>
      <c r="R70">
        <v>85.693099975585938</v>
      </c>
      <c r="S70" t="s">
        <v>24</v>
      </c>
      <c r="T70" t="s">
        <v>24</v>
      </c>
      <c r="U70" t="s">
        <v>24</v>
      </c>
      <c r="V70" t="s">
        <v>114</v>
      </c>
    </row>
    <row r="71" spans="1:22">
      <c r="A71" t="s">
        <v>118</v>
      </c>
      <c r="B71" t="s">
        <v>119</v>
      </c>
      <c r="C71" t="s">
        <v>25</v>
      </c>
      <c r="D71" t="s">
        <v>33</v>
      </c>
      <c r="E71" t="s">
        <v>27</v>
      </c>
      <c r="F71" t="s">
        <v>28</v>
      </c>
      <c r="G71">
        <v>18.409618377685547</v>
      </c>
      <c r="H71">
        <v>18.440765380859375</v>
      </c>
      <c r="I71">
        <v>4.4049862772226334E-2</v>
      </c>
      <c r="J71">
        <v>513620.25</v>
      </c>
      <c r="K71">
        <v>504522.25</v>
      </c>
      <c r="L71">
        <v>12866.4931640625</v>
      </c>
      <c r="M71" t="b">
        <v>0</v>
      </c>
      <c r="N71">
        <v>2</v>
      </c>
      <c r="O71" t="b">
        <v>1</v>
      </c>
      <c r="P71">
        <v>3</v>
      </c>
      <c r="Q71">
        <v>9</v>
      </c>
      <c r="R71">
        <v>85.502456665039062</v>
      </c>
      <c r="S71" t="s">
        <v>24</v>
      </c>
      <c r="T71" t="s">
        <v>24</v>
      </c>
      <c r="U71" t="s">
        <v>24</v>
      </c>
      <c r="V71" t="s">
        <v>29</v>
      </c>
    </row>
    <row r="72" spans="1:22">
      <c r="A72" t="s">
        <v>120</v>
      </c>
      <c r="B72" t="s">
        <v>119</v>
      </c>
      <c r="C72" t="s">
        <v>25</v>
      </c>
      <c r="D72" t="s">
        <v>33</v>
      </c>
      <c r="E72" t="s">
        <v>27</v>
      </c>
      <c r="F72" t="s">
        <v>28</v>
      </c>
      <c r="G72">
        <v>18.471914291381836</v>
      </c>
      <c r="H72">
        <v>18.440765380859375</v>
      </c>
      <c r="I72">
        <v>4.4049862772226334E-2</v>
      </c>
      <c r="J72">
        <v>495424.28125</v>
      </c>
      <c r="K72">
        <v>504522.25</v>
      </c>
      <c r="L72">
        <v>12866.4931640625</v>
      </c>
      <c r="M72" t="b">
        <v>0</v>
      </c>
      <c r="N72">
        <v>2</v>
      </c>
      <c r="O72" t="b">
        <v>1</v>
      </c>
      <c r="P72">
        <v>3</v>
      </c>
      <c r="Q72">
        <v>11</v>
      </c>
      <c r="R72">
        <v>85.502456665039062</v>
      </c>
      <c r="S72" t="s">
        <v>24</v>
      </c>
      <c r="T72" t="s">
        <v>24</v>
      </c>
      <c r="U72" t="s">
        <v>24</v>
      </c>
      <c r="V72" t="s">
        <v>29</v>
      </c>
    </row>
    <row r="73" spans="1:22">
      <c r="A73" t="s">
        <v>121</v>
      </c>
      <c r="B73" t="s">
        <v>73</v>
      </c>
      <c r="C73" t="s">
        <v>25</v>
      </c>
      <c r="D73" t="s">
        <v>33</v>
      </c>
      <c r="E73" t="s">
        <v>27</v>
      </c>
      <c r="F73" t="s">
        <v>28</v>
      </c>
      <c r="G73">
        <v>13.980414390563965</v>
      </c>
      <c r="H73">
        <v>13.836774826049805</v>
      </c>
      <c r="I73">
        <v>0.20313769578933716</v>
      </c>
      <c r="J73">
        <v>6674257</v>
      </c>
      <c r="K73">
        <v>7278178.5</v>
      </c>
      <c r="L73">
        <v>854074</v>
      </c>
      <c r="M73" t="b">
        <v>0</v>
      </c>
      <c r="N73">
        <v>2</v>
      </c>
      <c r="O73" t="b">
        <v>1</v>
      </c>
      <c r="P73">
        <v>3</v>
      </c>
      <c r="Q73">
        <v>5</v>
      </c>
      <c r="R73">
        <v>85.693099975585938</v>
      </c>
      <c r="S73" t="s">
        <v>24</v>
      </c>
      <c r="T73" t="s">
        <v>24</v>
      </c>
      <c r="U73" t="s">
        <v>24</v>
      </c>
      <c r="V73" t="s">
        <v>29</v>
      </c>
    </row>
    <row r="74" spans="1:22">
      <c r="A74" t="s">
        <v>123</v>
      </c>
      <c r="B74" t="s">
        <v>73</v>
      </c>
      <c r="C74" t="s">
        <v>25</v>
      </c>
      <c r="D74" t="s">
        <v>33</v>
      </c>
      <c r="E74" t="s">
        <v>27</v>
      </c>
      <c r="F74" t="s">
        <v>28</v>
      </c>
      <c r="G74">
        <v>13.693134307861328</v>
      </c>
      <c r="H74">
        <v>13.836774826049805</v>
      </c>
      <c r="I74">
        <v>0.20313769578933716</v>
      </c>
      <c r="J74">
        <v>7882100</v>
      </c>
      <c r="K74">
        <v>7278178.5</v>
      </c>
      <c r="L74">
        <v>854074</v>
      </c>
      <c r="M74" t="b">
        <v>0</v>
      </c>
      <c r="N74">
        <v>2</v>
      </c>
      <c r="O74" t="b">
        <v>1</v>
      </c>
      <c r="P74">
        <v>3</v>
      </c>
      <c r="Q74">
        <v>5</v>
      </c>
      <c r="R74">
        <v>85.693099975585938</v>
      </c>
      <c r="S74" t="s">
        <v>24</v>
      </c>
      <c r="T74" t="s">
        <v>24</v>
      </c>
      <c r="U74" t="s">
        <v>24</v>
      </c>
      <c r="V74" t="s">
        <v>29</v>
      </c>
    </row>
    <row r="75" spans="1:22">
      <c r="A75" t="s">
        <v>124</v>
      </c>
      <c r="B75" t="s">
        <v>125</v>
      </c>
      <c r="C75" t="s">
        <v>25</v>
      </c>
      <c r="D75" t="s">
        <v>33</v>
      </c>
      <c r="E75" t="s">
        <v>27</v>
      </c>
      <c r="F75" t="s">
        <v>28</v>
      </c>
      <c r="G75">
        <v>16.00224494934082</v>
      </c>
      <c r="H75">
        <v>25.982524871826172</v>
      </c>
      <c r="I75">
        <v>14.114245414733887</v>
      </c>
      <c r="J75">
        <v>2070124.875</v>
      </c>
      <c r="K75">
        <v>1035072.3125</v>
      </c>
      <c r="L75">
        <v>1463785.375</v>
      </c>
      <c r="M75" t="b">
        <v>0</v>
      </c>
      <c r="N75">
        <v>2</v>
      </c>
      <c r="O75" t="b">
        <v>1</v>
      </c>
      <c r="P75">
        <v>3</v>
      </c>
      <c r="Q75">
        <v>8</v>
      </c>
      <c r="R75">
        <v>85.502456665039062</v>
      </c>
      <c r="S75" t="s">
        <v>24</v>
      </c>
      <c r="T75" t="s">
        <v>24</v>
      </c>
      <c r="U75" t="s">
        <v>24</v>
      </c>
      <c r="V75" t="s">
        <v>114</v>
      </c>
    </row>
    <row r="76" spans="1:22">
      <c r="A76" t="s">
        <v>126</v>
      </c>
      <c r="B76" t="s">
        <v>125</v>
      </c>
      <c r="C76" t="s">
        <v>25</v>
      </c>
      <c r="D76" t="s">
        <v>33</v>
      </c>
      <c r="E76" t="s">
        <v>27</v>
      </c>
      <c r="F76" t="s">
        <v>28</v>
      </c>
      <c r="G76">
        <v>35.962802886962891</v>
      </c>
      <c r="H76">
        <v>25.982524871826172</v>
      </c>
      <c r="I76">
        <v>14.114245414733887</v>
      </c>
      <c r="J76">
        <v>19.803657531738281</v>
      </c>
      <c r="K76">
        <v>1035072.3125</v>
      </c>
      <c r="L76">
        <v>1463785.375</v>
      </c>
      <c r="M76" t="b">
        <v>0</v>
      </c>
      <c r="N76">
        <v>2</v>
      </c>
      <c r="O76" t="b">
        <v>1</v>
      </c>
      <c r="P76">
        <v>3</v>
      </c>
      <c r="Q76">
        <v>27</v>
      </c>
      <c r="R76">
        <v>82.45220947265625</v>
      </c>
      <c r="S76" t="s">
        <v>24</v>
      </c>
      <c r="T76" t="s">
        <v>24</v>
      </c>
      <c r="U76" t="s">
        <v>24</v>
      </c>
      <c r="V76" t="s">
        <v>114</v>
      </c>
    </row>
    <row r="77" spans="1:22">
      <c r="A77" t="s">
        <v>127</v>
      </c>
      <c r="B77" t="s">
        <v>128</v>
      </c>
      <c r="C77" t="s">
        <v>25</v>
      </c>
      <c r="D77" t="s">
        <v>33</v>
      </c>
      <c r="E77" t="s">
        <v>27</v>
      </c>
      <c r="F77" t="s">
        <v>28</v>
      </c>
      <c r="G77">
        <v>16.248783111572266</v>
      </c>
      <c r="H77">
        <v>16.414356231689453</v>
      </c>
      <c r="I77">
        <v>0.23415575921535492</v>
      </c>
      <c r="J77">
        <v>1794743.75</v>
      </c>
      <c r="K77">
        <v>1638175.25</v>
      </c>
      <c r="L77">
        <v>221421.390625</v>
      </c>
      <c r="M77" t="b">
        <v>0</v>
      </c>
      <c r="N77">
        <v>2</v>
      </c>
      <c r="O77" t="b">
        <v>1</v>
      </c>
      <c r="P77">
        <v>3</v>
      </c>
      <c r="Q77">
        <v>7</v>
      </c>
      <c r="R77">
        <v>85.311820983886719</v>
      </c>
      <c r="S77" t="s">
        <v>24</v>
      </c>
      <c r="T77" t="s">
        <v>24</v>
      </c>
      <c r="U77" t="s">
        <v>24</v>
      </c>
      <c r="V77" t="s">
        <v>29</v>
      </c>
    </row>
    <row r="78" spans="1:22">
      <c r="A78" t="s">
        <v>129</v>
      </c>
      <c r="B78" t="s">
        <v>128</v>
      </c>
      <c r="C78" t="s">
        <v>25</v>
      </c>
      <c r="D78" t="s">
        <v>33</v>
      </c>
      <c r="E78" t="s">
        <v>27</v>
      </c>
      <c r="F78" t="s">
        <v>28</v>
      </c>
      <c r="G78">
        <v>16.579929351806641</v>
      </c>
      <c r="H78">
        <v>16.414356231689453</v>
      </c>
      <c r="I78">
        <v>0.23415575921535492</v>
      </c>
      <c r="J78">
        <v>1481606.625</v>
      </c>
      <c r="K78">
        <v>1638175.25</v>
      </c>
      <c r="L78">
        <v>221421.390625</v>
      </c>
      <c r="M78" t="b">
        <v>0</v>
      </c>
      <c r="N78">
        <v>2</v>
      </c>
      <c r="O78" t="b">
        <v>1</v>
      </c>
      <c r="P78">
        <v>3</v>
      </c>
      <c r="Q78">
        <v>8</v>
      </c>
      <c r="R78">
        <v>85.311820983886719</v>
      </c>
      <c r="S78" t="s">
        <v>24</v>
      </c>
      <c r="T78" t="s">
        <v>24</v>
      </c>
      <c r="U78" t="s">
        <v>24</v>
      </c>
      <c r="V78" t="s">
        <v>29</v>
      </c>
    </row>
    <row r="79" spans="1:22">
      <c r="A79" t="s">
        <v>130</v>
      </c>
      <c r="B79" t="s">
        <v>131</v>
      </c>
      <c r="C79" t="s">
        <v>25</v>
      </c>
      <c r="D79" t="s">
        <v>33</v>
      </c>
      <c r="E79" t="s">
        <v>27</v>
      </c>
      <c r="F79" t="s">
        <v>28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b">
        <v>0</v>
      </c>
      <c r="N79">
        <v>2</v>
      </c>
      <c r="O79" t="b">
        <v>1</v>
      </c>
      <c r="P79">
        <v>3</v>
      </c>
      <c r="Q79">
        <v>49</v>
      </c>
      <c r="R79" t="s">
        <v>24</v>
      </c>
      <c r="S79" t="s">
        <v>24</v>
      </c>
      <c r="T79" t="s">
        <v>24</v>
      </c>
      <c r="U79" t="s">
        <v>24</v>
      </c>
      <c r="V79" t="s">
        <v>29</v>
      </c>
    </row>
    <row r="80" spans="1:22">
      <c r="A80" t="s">
        <v>132</v>
      </c>
      <c r="B80" t="s">
        <v>131</v>
      </c>
      <c r="C80" t="s">
        <v>25</v>
      </c>
      <c r="D80" t="s">
        <v>33</v>
      </c>
      <c r="E80" t="s">
        <v>27</v>
      </c>
      <c r="F80" t="s">
        <v>28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b">
        <v>0</v>
      </c>
      <c r="N80">
        <v>2</v>
      </c>
      <c r="O80" t="b">
        <v>1</v>
      </c>
      <c r="P80">
        <v>3</v>
      </c>
      <c r="Q80">
        <v>49</v>
      </c>
      <c r="R80" t="s">
        <v>24</v>
      </c>
      <c r="S80" t="s">
        <v>24</v>
      </c>
      <c r="T80" t="s">
        <v>24</v>
      </c>
      <c r="U80" t="s">
        <v>24</v>
      </c>
      <c r="V80" t="s">
        <v>29</v>
      </c>
    </row>
    <row r="81" spans="1:22">
      <c r="A81" t="s">
        <v>133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b">
        <v>0</v>
      </c>
      <c r="N81">
        <v>2</v>
      </c>
      <c r="O81" t="b">
        <v>1</v>
      </c>
      <c r="P81">
        <v>3</v>
      </c>
      <c r="Q81">
        <v>23</v>
      </c>
      <c r="R81" t="s">
        <v>24</v>
      </c>
      <c r="S81" t="s">
        <v>24</v>
      </c>
      <c r="T81" t="s">
        <v>24</v>
      </c>
      <c r="U81" t="s">
        <v>24</v>
      </c>
      <c r="V81" t="s">
        <v>29</v>
      </c>
    </row>
    <row r="82" spans="1:22">
      <c r="A82" t="s">
        <v>134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b">
        <v>0</v>
      </c>
      <c r="N82">
        <v>2</v>
      </c>
      <c r="O82" t="b">
        <v>1</v>
      </c>
      <c r="P82">
        <v>3</v>
      </c>
      <c r="Q82">
        <v>23</v>
      </c>
      <c r="R82" t="s">
        <v>24</v>
      </c>
      <c r="S82" t="s">
        <v>24</v>
      </c>
      <c r="T82" t="s">
        <v>24</v>
      </c>
      <c r="U82" t="s">
        <v>24</v>
      </c>
      <c r="V82" t="s">
        <v>29</v>
      </c>
    </row>
    <row r="83" spans="1:22">
      <c r="A83" t="s">
        <v>135</v>
      </c>
      <c r="B83" t="s">
        <v>136</v>
      </c>
      <c r="C83" t="s">
        <v>25</v>
      </c>
      <c r="D83" t="s">
        <v>33</v>
      </c>
      <c r="E83" t="s">
        <v>27</v>
      </c>
      <c r="F83" t="s">
        <v>28</v>
      </c>
      <c r="G83">
        <v>16.351947784423828</v>
      </c>
      <c r="H83">
        <v>16.2574462890625</v>
      </c>
      <c r="I83">
        <v>0.13364529609680176</v>
      </c>
      <c r="J83">
        <v>1690677.625</v>
      </c>
      <c r="K83">
        <v>1788437.625</v>
      </c>
      <c r="L83">
        <v>138253.515625</v>
      </c>
      <c r="M83" t="b">
        <v>0</v>
      </c>
      <c r="N83">
        <v>2</v>
      </c>
      <c r="O83" t="b">
        <v>1</v>
      </c>
      <c r="P83">
        <v>3</v>
      </c>
      <c r="Q83">
        <v>9</v>
      </c>
      <c r="R83">
        <v>85.693099975585938</v>
      </c>
      <c r="S83" t="s">
        <v>24</v>
      </c>
      <c r="T83" t="s">
        <v>24</v>
      </c>
      <c r="U83" t="s">
        <v>24</v>
      </c>
      <c r="V83" t="s">
        <v>29</v>
      </c>
    </row>
    <row r="84" spans="1:22">
      <c r="A84" t="s">
        <v>137</v>
      </c>
      <c r="B84" t="s">
        <v>136</v>
      </c>
      <c r="C84" t="s">
        <v>25</v>
      </c>
      <c r="D84" t="s">
        <v>33</v>
      </c>
      <c r="E84" t="s">
        <v>27</v>
      </c>
      <c r="F84" t="s">
        <v>28</v>
      </c>
      <c r="G84">
        <v>16.162944793701172</v>
      </c>
      <c r="H84">
        <v>16.2574462890625</v>
      </c>
      <c r="I84">
        <v>0.13364529609680176</v>
      </c>
      <c r="J84">
        <v>1886197.625</v>
      </c>
      <c r="K84">
        <v>1788437.625</v>
      </c>
      <c r="L84">
        <v>138253.515625</v>
      </c>
      <c r="M84" t="b">
        <v>0</v>
      </c>
      <c r="N84">
        <v>2</v>
      </c>
      <c r="O84" t="b">
        <v>1</v>
      </c>
      <c r="P84">
        <v>3</v>
      </c>
      <c r="Q84">
        <v>8</v>
      </c>
      <c r="R84">
        <v>85.693099975585938</v>
      </c>
      <c r="S84" t="s">
        <v>24</v>
      </c>
      <c r="T84" t="s">
        <v>24</v>
      </c>
      <c r="U84" t="s">
        <v>24</v>
      </c>
      <c r="V84" t="s">
        <v>29</v>
      </c>
    </row>
    <row r="85" spans="1:22">
      <c r="A85" t="s">
        <v>138</v>
      </c>
      <c r="B85" t="s">
        <v>53</v>
      </c>
      <c r="C85" t="s">
        <v>25</v>
      </c>
      <c r="D85" t="s">
        <v>33</v>
      </c>
      <c r="E85" t="s">
        <v>27</v>
      </c>
      <c r="F85" t="s">
        <v>28</v>
      </c>
      <c r="G85">
        <v>17.011613845825195</v>
      </c>
      <c r="H85">
        <v>16.978485107421875</v>
      </c>
      <c r="I85">
        <v>4.6851109713315964E-2</v>
      </c>
      <c r="J85">
        <v>1153937.25</v>
      </c>
      <c r="K85">
        <v>1176501.75</v>
      </c>
      <c r="L85">
        <v>31911.021484375</v>
      </c>
      <c r="M85" t="b">
        <v>0</v>
      </c>
      <c r="N85">
        <v>2</v>
      </c>
      <c r="O85" t="b">
        <v>1</v>
      </c>
      <c r="P85">
        <v>3</v>
      </c>
      <c r="Q85">
        <v>8</v>
      </c>
      <c r="R85">
        <v>85.502456665039062</v>
      </c>
      <c r="S85" t="s">
        <v>24</v>
      </c>
      <c r="T85" t="s">
        <v>24</v>
      </c>
      <c r="U85" t="s">
        <v>24</v>
      </c>
      <c r="V85" t="s">
        <v>29</v>
      </c>
    </row>
    <row r="86" spans="1:22">
      <c r="A86" t="s">
        <v>140</v>
      </c>
      <c r="B86" t="s">
        <v>53</v>
      </c>
      <c r="C86" t="s">
        <v>25</v>
      </c>
      <c r="D86" t="s">
        <v>33</v>
      </c>
      <c r="E86" t="s">
        <v>27</v>
      </c>
      <c r="F86" t="s">
        <v>28</v>
      </c>
      <c r="G86">
        <v>16.945356369018555</v>
      </c>
      <c r="H86">
        <v>16.978485107421875</v>
      </c>
      <c r="I86">
        <v>4.6851109713315964E-2</v>
      </c>
      <c r="J86">
        <v>1199066.25</v>
      </c>
      <c r="K86">
        <v>1176501.75</v>
      </c>
      <c r="L86">
        <v>31911.021484375</v>
      </c>
      <c r="M86" t="b">
        <v>0</v>
      </c>
      <c r="N86">
        <v>2</v>
      </c>
      <c r="O86" t="b">
        <v>1</v>
      </c>
      <c r="P86">
        <v>3</v>
      </c>
      <c r="Q86">
        <v>9</v>
      </c>
      <c r="R86">
        <v>85.502456665039062</v>
      </c>
      <c r="S86" t="s">
        <v>24</v>
      </c>
      <c r="T86" t="s">
        <v>24</v>
      </c>
      <c r="U86" t="s">
        <v>24</v>
      </c>
      <c r="V86" t="s">
        <v>29</v>
      </c>
    </row>
    <row r="87" spans="1:22">
      <c r="A87" t="s">
        <v>141</v>
      </c>
      <c r="B87" t="s">
        <v>142</v>
      </c>
      <c r="C87" t="s">
        <v>25</v>
      </c>
      <c r="D87" t="s">
        <v>33</v>
      </c>
      <c r="E87" t="s">
        <v>27</v>
      </c>
      <c r="F87" t="s">
        <v>28</v>
      </c>
      <c r="G87">
        <v>16.924798965454102</v>
      </c>
      <c r="H87">
        <v>17.222515106201172</v>
      </c>
      <c r="I87">
        <v>0.42103421688079834</v>
      </c>
      <c r="J87">
        <v>1213423.875</v>
      </c>
      <c r="K87">
        <v>1036501.6875</v>
      </c>
      <c r="L87">
        <v>250205.75</v>
      </c>
      <c r="M87" t="b">
        <v>0</v>
      </c>
      <c r="N87">
        <v>2</v>
      </c>
      <c r="O87" t="b">
        <v>1</v>
      </c>
      <c r="P87">
        <v>1</v>
      </c>
      <c r="Q87">
        <v>2</v>
      </c>
      <c r="R87">
        <v>85.693099975585938</v>
      </c>
      <c r="S87" t="s">
        <v>24</v>
      </c>
      <c r="T87" t="s">
        <v>24</v>
      </c>
      <c r="U87" t="s">
        <v>24</v>
      </c>
      <c r="V87" t="s">
        <v>29</v>
      </c>
    </row>
    <row r="88" spans="1:22">
      <c r="A88" t="s">
        <v>143</v>
      </c>
      <c r="B88" t="s">
        <v>142</v>
      </c>
      <c r="C88" t="s">
        <v>25</v>
      </c>
      <c r="D88" t="s">
        <v>33</v>
      </c>
      <c r="E88" t="s">
        <v>27</v>
      </c>
      <c r="F88" t="s">
        <v>28</v>
      </c>
      <c r="G88">
        <v>17.520231246948242</v>
      </c>
      <c r="H88">
        <v>17.222515106201172</v>
      </c>
      <c r="I88">
        <v>0.42103421688079834</v>
      </c>
      <c r="J88">
        <v>859579.5</v>
      </c>
      <c r="K88">
        <v>1036501.6875</v>
      </c>
      <c r="L88">
        <v>250205.75</v>
      </c>
      <c r="M88" t="b">
        <v>0</v>
      </c>
      <c r="N88">
        <v>2</v>
      </c>
      <c r="O88" t="b">
        <v>1</v>
      </c>
      <c r="P88">
        <v>3</v>
      </c>
      <c r="Q88">
        <v>9</v>
      </c>
      <c r="R88">
        <v>85.502456665039062</v>
      </c>
      <c r="S88" t="s">
        <v>24</v>
      </c>
      <c r="T88" t="s">
        <v>24</v>
      </c>
      <c r="U88" t="s">
        <v>24</v>
      </c>
      <c r="V88" t="s">
        <v>29</v>
      </c>
    </row>
    <row r="89" spans="1:22">
      <c r="A89" t="s">
        <v>144</v>
      </c>
      <c r="B89" t="s">
        <v>145</v>
      </c>
      <c r="C89" t="s">
        <v>25</v>
      </c>
      <c r="D89" t="s">
        <v>33</v>
      </c>
      <c r="E89" t="s">
        <v>27</v>
      </c>
      <c r="F89" t="s">
        <v>28</v>
      </c>
      <c r="G89">
        <v>15.146646499633789</v>
      </c>
      <c r="H89">
        <v>15.119174957275391</v>
      </c>
      <c r="I89">
        <v>3.8851302117109299E-2</v>
      </c>
      <c r="J89">
        <v>3397379</v>
      </c>
      <c r="K89">
        <v>3452288</v>
      </c>
      <c r="L89">
        <v>77653.0546875</v>
      </c>
      <c r="M89" t="b">
        <v>0</v>
      </c>
      <c r="N89">
        <v>2</v>
      </c>
      <c r="O89" t="b">
        <v>1</v>
      </c>
      <c r="P89">
        <v>3</v>
      </c>
      <c r="Q89">
        <v>6</v>
      </c>
      <c r="R89">
        <v>85.502456665039062</v>
      </c>
      <c r="S89" t="s">
        <v>24</v>
      </c>
      <c r="T89" t="s">
        <v>24</v>
      </c>
      <c r="U89" t="s">
        <v>24</v>
      </c>
      <c r="V89" t="s">
        <v>29</v>
      </c>
    </row>
    <row r="90" spans="1:22">
      <c r="A90" t="s">
        <v>146</v>
      </c>
      <c r="B90" t="s">
        <v>145</v>
      </c>
      <c r="C90" t="s">
        <v>25</v>
      </c>
      <c r="D90" t="s">
        <v>33</v>
      </c>
      <c r="E90" t="s">
        <v>27</v>
      </c>
      <c r="F90" t="s">
        <v>28</v>
      </c>
      <c r="G90">
        <v>15.091702461242676</v>
      </c>
      <c r="H90">
        <v>15.119174957275391</v>
      </c>
      <c r="I90">
        <v>3.8851302117109299E-2</v>
      </c>
      <c r="J90">
        <v>3507197</v>
      </c>
      <c r="K90">
        <v>3452288</v>
      </c>
      <c r="L90">
        <v>77653.0546875</v>
      </c>
      <c r="M90" t="b">
        <v>0</v>
      </c>
      <c r="N90">
        <v>2</v>
      </c>
      <c r="O90" t="b">
        <v>1</v>
      </c>
      <c r="P90">
        <v>3</v>
      </c>
      <c r="Q90">
        <v>7</v>
      </c>
      <c r="R90">
        <v>85.502456665039062</v>
      </c>
      <c r="S90" t="s">
        <v>24</v>
      </c>
      <c r="T90" t="s">
        <v>24</v>
      </c>
      <c r="U90" t="s">
        <v>24</v>
      </c>
      <c r="V90" t="s">
        <v>29</v>
      </c>
    </row>
    <row r="91" spans="1:22">
      <c r="A91" t="s">
        <v>147</v>
      </c>
      <c r="B91" t="s">
        <v>148</v>
      </c>
      <c r="C91" t="s">
        <v>25</v>
      </c>
      <c r="D91" t="s">
        <v>33</v>
      </c>
      <c r="E91" t="s">
        <v>27</v>
      </c>
      <c r="F91" t="s">
        <v>28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b">
        <v>0</v>
      </c>
      <c r="N91">
        <v>2</v>
      </c>
      <c r="O91" t="b">
        <v>1</v>
      </c>
      <c r="P91">
        <v>3</v>
      </c>
      <c r="Q91">
        <v>49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</row>
    <row r="92" spans="1:22">
      <c r="A92" t="s">
        <v>149</v>
      </c>
      <c r="B92" t="s">
        <v>148</v>
      </c>
      <c r="C92" t="s">
        <v>25</v>
      </c>
      <c r="D92" t="s">
        <v>33</v>
      </c>
      <c r="E92" t="s">
        <v>27</v>
      </c>
      <c r="F92" t="s">
        <v>28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b">
        <v>0</v>
      </c>
      <c r="N92">
        <v>2</v>
      </c>
      <c r="O92" t="b">
        <v>1</v>
      </c>
      <c r="P92">
        <v>3</v>
      </c>
      <c r="Q92">
        <v>6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</row>
    <row r="93" spans="1:22">
      <c r="A93" t="s">
        <v>150</v>
      </c>
      <c r="B93" t="s">
        <v>24</v>
      </c>
      <c r="C93" t="s">
        <v>25</v>
      </c>
      <c r="D93" t="s">
        <v>151</v>
      </c>
      <c r="E93" t="s">
        <v>27</v>
      </c>
      <c r="F93" t="s">
        <v>28</v>
      </c>
      <c r="G93">
        <v>36.474597930908203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b">
        <v>0</v>
      </c>
      <c r="N93">
        <v>2</v>
      </c>
      <c r="O93" t="b">
        <v>1</v>
      </c>
      <c r="P93">
        <v>3</v>
      </c>
      <c r="Q93">
        <v>29</v>
      </c>
      <c r="R93">
        <v>79.973892211914062</v>
      </c>
      <c r="S93" t="s">
        <v>24</v>
      </c>
      <c r="T93" t="s">
        <v>24</v>
      </c>
      <c r="U93" t="s">
        <v>24</v>
      </c>
      <c r="V93" t="s">
        <v>29</v>
      </c>
    </row>
    <row r="94" spans="1:22">
      <c r="A94" t="s">
        <v>152</v>
      </c>
      <c r="B94" t="s">
        <v>24</v>
      </c>
      <c r="C94" t="s">
        <v>25</v>
      </c>
      <c r="D94" t="s">
        <v>151</v>
      </c>
      <c r="E94" t="s">
        <v>27</v>
      </c>
      <c r="F94" t="s">
        <v>28</v>
      </c>
      <c r="G94">
        <v>35.635955810546875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b">
        <v>0</v>
      </c>
      <c r="N94">
        <v>2</v>
      </c>
      <c r="O94" t="b">
        <v>1</v>
      </c>
      <c r="P94">
        <v>3</v>
      </c>
      <c r="Q94">
        <v>28</v>
      </c>
      <c r="R94">
        <v>78.639404296875</v>
      </c>
      <c r="S94" t="s">
        <v>24</v>
      </c>
      <c r="T94" t="s">
        <v>24</v>
      </c>
      <c r="U94" t="s">
        <v>24</v>
      </c>
      <c r="V94" t="s">
        <v>29</v>
      </c>
    </row>
    <row r="95" spans="1:22">
      <c r="A95" t="s">
        <v>153</v>
      </c>
      <c r="B95" t="s">
        <v>154</v>
      </c>
      <c r="C95" t="s">
        <v>25</v>
      </c>
      <c r="D95" t="s">
        <v>33</v>
      </c>
      <c r="E95" t="s">
        <v>27</v>
      </c>
      <c r="F95" t="s">
        <v>28</v>
      </c>
      <c r="G95">
        <v>14.614715576171875</v>
      </c>
      <c r="H95">
        <v>14.356014251708984</v>
      </c>
      <c r="I95">
        <v>0.36585891246795654</v>
      </c>
      <c r="J95">
        <v>4622772.5</v>
      </c>
      <c r="K95">
        <v>5430116.5</v>
      </c>
      <c r="L95">
        <v>1141756.875</v>
      </c>
      <c r="M95" t="b">
        <v>0</v>
      </c>
      <c r="N95">
        <v>2</v>
      </c>
      <c r="O95" t="b">
        <v>1</v>
      </c>
      <c r="P95">
        <v>3</v>
      </c>
      <c r="Q95">
        <v>6</v>
      </c>
      <c r="R95">
        <v>85.502456665039062</v>
      </c>
      <c r="S95" t="s">
        <v>24</v>
      </c>
      <c r="T95" t="s">
        <v>24</v>
      </c>
      <c r="U95" t="s">
        <v>24</v>
      </c>
      <c r="V95" t="s">
        <v>29</v>
      </c>
    </row>
    <row r="96" spans="1:22">
      <c r="A96" t="s">
        <v>155</v>
      </c>
      <c r="B96" t="s">
        <v>154</v>
      </c>
      <c r="C96" t="s">
        <v>25</v>
      </c>
      <c r="D96" t="s">
        <v>33</v>
      </c>
      <c r="E96" t="s">
        <v>27</v>
      </c>
      <c r="F96" t="s">
        <v>28</v>
      </c>
      <c r="G96">
        <v>14.097312927246094</v>
      </c>
      <c r="H96">
        <v>14.356014251708984</v>
      </c>
      <c r="I96">
        <v>0.36585891246795654</v>
      </c>
      <c r="J96">
        <v>6237460.5</v>
      </c>
      <c r="K96">
        <v>5430116.5</v>
      </c>
      <c r="L96">
        <v>1141756.875</v>
      </c>
      <c r="M96" t="b">
        <v>0</v>
      </c>
      <c r="N96">
        <v>2</v>
      </c>
      <c r="O96" t="b">
        <v>1</v>
      </c>
      <c r="P96">
        <v>3</v>
      </c>
      <c r="Q96">
        <v>4</v>
      </c>
      <c r="R96">
        <v>85.502456665039062</v>
      </c>
      <c r="S96" t="s">
        <v>24</v>
      </c>
      <c r="T96" t="s">
        <v>24</v>
      </c>
      <c r="U96" t="s">
        <v>24</v>
      </c>
      <c r="V96" t="s">
        <v>29</v>
      </c>
    </row>
    <row r="97" spans="1:22">
      <c r="A97" t="s">
        <v>156</v>
      </c>
      <c r="B97" t="s">
        <v>70</v>
      </c>
      <c r="C97" t="s">
        <v>25</v>
      </c>
      <c r="D97" t="s">
        <v>33</v>
      </c>
      <c r="E97" t="s">
        <v>27</v>
      </c>
      <c r="F97" t="s">
        <v>28</v>
      </c>
      <c r="G97">
        <v>14.091026306152344</v>
      </c>
      <c r="H97">
        <v>14.083637237548828</v>
      </c>
      <c r="I97">
        <v>1.0449721477925777E-2</v>
      </c>
      <c r="J97">
        <v>6260206</v>
      </c>
      <c r="K97">
        <v>6287104</v>
      </c>
      <c r="L97">
        <v>38039.515625</v>
      </c>
      <c r="M97" t="b">
        <v>0</v>
      </c>
      <c r="N97">
        <v>2</v>
      </c>
      <c r="O97" t="b">
        <v>1</v>
      </c>
      <c r="P97">
        <v>3</v>
      </c>
      <c r="Q97">
        <v>5</v>
      </c>
      <c r="R97">
        <v>85.502456665039062</v>
      </c>
      <c r="S97" t="s">
        <v>24</v>
      </c>
      <c r="T97" t="s">
        <v>24</v>
      </c>
      <c r="U97" t="s">
        <v>24</v>
      </c>
      <c r="V97" t="s">
        <v>29</v>
      </c>
    </row>
    <row r="98" spans="1:22">
      <c r="A98" t="s">
        <v>158</v>
      </c>
      <c r="B98" t="s">
        <v>70</v>
      </c>
      <c r="C98" t="s">
        <v>25</v>
      </c>
      <c r="D98" t="s">
        <v>33</v>
      </c>
      <c r="E98" t="s">
        <v>27</v>
      </c>
      <c r="F98" t="s">
        <v>28</v>
      </c>
      <c r="G98">
        <v>14.076248168945312</v>
      </c>
      <c r="H98">
        <v>14.083637237548828</v>
      </c>
      <c r="I98">
        <v>1.0449721477925777E-2</v>
      </c>
      <c r="J98">
        <v>6314002</v>
      </c>
      <c r="K98">
        <v>6287104</v>
      </c>
      <c r="L98">
        <v>38039.515625</v>
      </c>
      <c r="M98" t="b">
        <v>0</v>
      </c>
      <c r="N98">
        <v>2</v>
      </c>
      <c r="O98" t="b">
        <v>1</v>
      </c>
      <c r="P98">
        <v>3</v>
      </c>
      <c r="Q98">
        <v>7</v>
      </c>
      <c r="R98">
        <v>85.502456665039062</v>
      </c>
      <c r="S98" t="s">
        <v>24</v>
      </c>
      <c r="T98" t="s">
        <v>24</v>
      </c>
      <c r="U98" t="s">
        <v>24</v>
      </c>
      <c r="V98" t="s">
        <v>29</v>
      </c>
    </row>
    <row r="99" spans="1:22">
      <c r="A99" t="s">
        <v>159</v>
      </c>
      <c r="B99" t="s">
        <v>160</v>
      </c>
      <c r="C99" t="s">
        <v>25</v>
      </c>
      <c r="D99" t="s">
        <v>33</v>
      </c>
      <c r="E99" t="s">
        <v>27</v>
      </c>
      <c r="F99" t="s">
        <v>28</v>
      </c>
      <c r="G99">
        <v>15.802946090698242</v>
      </c>
      <c r="H99">
        <v>15.873851776123047</v>
      </c>
      <c r="I99">
        <v>0.10027578473091125</v>
      </c>
      <c r="J99">
        <v>2323335.5</v>
      </c>
      <c r="K99">
        <v>2231762.5</v>
      </c>
      <c r="L99">
        <v>129503.6015625</v>
      </c>
      <c r="M99" t="b">
        <v>0</v>
      </c>
      <c r="N99">
        <v>2</v>
      </c>
      <c r="O99" t="b">
        <v>1</v>
      </c>
      <c r="P99">
        <v>3</v>
      </c>
      <c r="Q99">
        <v>9</v>
      </c>
      <c r="R99">
        <v>85.693099975585938</v>
      </c>
      <c r="S99" t="s">
        <v>24</v>
      </c>
      <c r="T99" t="s">
        <v>24</v>
      </c>
      <c r="U99" t="s">
        <v>24</v>
      </c>
      <c r="V99" t="s">
        <v>29</v>
      </c>
    </row>
    <row r="100" spans="1:22">
      <c r="A100" t="s">
        <v>161</v>
      </c>
      <c r="B100" t="s">
        <v>160</v>
      </c>
      <c r="C100" t="s">
        <v>25</v>
      </c>
      <c r="D100" t="s">
        <v>33</v>
      </c>
      <c r="E100" t="s">
        <v>27</v>
      </c>
      <c r="F100" t="s">
        <v>28</v>
      </c>
      <c r="G100">
        <v>15.944757461547852</v>
      </c>
      <c r="H100">
        <v>15.873851776123047</v>
      </c>
      <c r="I100">
        <v>0.10027578473091125</v>
      </c>
      <c r="J100">
        <v>2140189.75</v>
      </c>
      <c r="K100">
        <v>2231762.5</v>
      </c>
      <c r="L100">
        <v>129503.6015625</v>
      </c>
      <c r="M100" t="b">
        <v>0</v>
      </c>
      <c r="N100">
        <v>2</v>
      </c>
      <c r="O100" t="b">
        <v>1</v>
      </c>
      <c r="P100">
        <v>3</v>
      </c>
      <c r="Q100">
        <v>6</v>
      </c>
      <c r="R100">
        <v>85.693099975585938</v>
      </c>
      <c r="S100" t="s">
        <v>24</v>
      </c>
      <c r="T100" t="s">
        <v>24</v>
      </c>
      <c r="U100" t="s">
        <v>24</v>
      </c>
      <c r="V100" t="s">
        <v>29</v>
      </c>
    </row>
    <row r="101" spans="1:22">
      <c r="A101" t="s">
        <v>162</v>
      </c>
      <c r="B101" t="s">
        <v>163</v>
      </c>
      <c r="C101" t="s">
        <v>25</v>
      </c>
      <c r="D101" t="s">
        <v>33</v>
      </c>
      <c r="E101" t="s">
        <v>27</v>
      </c>
      <c r="F101" t="s">
        <v>28</v>
      </c>
      <c r="G101">
        <v>20.660219192504883</v>
      </c>
      <c r="H101">
        <v>20.842067718505859</v>
      </c>
      <c r="I101">
        <v>0.25717130303382874</v>
      </c>
      <c r="J101">
        <v>139543.46875</v>
      </c>
      <c r="K101">
        <v>126294.75</v>
      </c>
      <c r="L101">
        <v>18736.5234375</v>
      </c>
      <c r="M101" t="b">
        <v>0</v>
      </c>
      <c r="N101">
        <v>2</v>
      </c>
      <c r="O101" t="b">
        <v>1</v>
      </c>
      <c r="P101">
        <v>3</v>
      </c>
      <c r="Q101">
        <v>12</v>
      </c>
      <c r="R101">
        <v>85.311820983886719</v>
      </c>
      <c r="S101" t="s">
        <v>24</v>
      </c>
      <c r="T101" t="s">
        <v>24</v>
      </c>
      <c r="U101" t="s">
        <v>24</v>
      </c>
      <c r="V101" t="s">
        <v>29</v>
      </c>
    </row>
    <row r="102" spans="1:22">
      <c r="A102" t="s">
        <v>164</v>
      </c>
      <c r="B102" t="s">
        <v>163</v>
      </c>
      <c r="C102" t="s">
        <v>25</v>
      </c>
      <c r="D102" t="s">
        <v>33</v>
      </c>
      <c r="E102" t="s">
        <v>27</v>
      </c>
      <c r="F102" t="s">
        <v>28</v>
      </c>
      <c r="G102">
        <v>21.023914337158203</v>
      </c>
      <c r="H102">
        <v>20.842067718505859</v>
      </c>
      <c r="I102">
        <v>0.25717130303382874</v>
      </c>
      <c r="J102">
        <v>113046.0234375</v>
      </c>
      <c r="K102">
        <v>126294.75</v>
      </c>
      <c r="L102">
        <v>18736.5234375</v>
      </c>
      <c r="M102" t="b">
        <v>0</v>
      </c>
      <c r="N102">
        <v>2</v>
      </c>
      <c r="O102" t="b">
        <v>1</v>
      </c>
      <c r="P102">
        <v>3</v>
      </c>
      <c r="Q102">
        <v>13</v>
      </c>
      <c r="R102">
        <v>85.311820983886719</v>
      </c>
      <c r="S102" t="s">
        <v>24</v>
      </c>
      <c r="T102" t="s">
        <v>24</v>
      </c>
      <c r="U102" t="s">
        <v>24</v>
      </c>
      <c r="V102" t="s">
        <v>29</v>
      </c>
    </row>
    <row r="103" spans="1:22">
      <c r="A103" t="s">
        <v>165</v>
      </c>
      <c r="B103" t="s">
        <v>166</v>
      </c>
      <c r="C103" t="s">
        <v>25</v>
      </c>
      <c r="D103" t="s">
        <v>33</v>
      </c>
      <c r="E103" t="s">
        <v>27</v>
      </c>
      <c r="F103" t="s">
        <v>28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b">
        <v>0</v>
      </c>
      <c r="N103">
        <v>2</v>
      </c>
      <c r="O103" t="b">
        <v>1</v>
      </c>
      <c r="P103">
        <v>3</v>
      </c>
      <c r="Q103">
        <v>48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</row>
    <row r="104" spans="1:22">
      <c r="A104" t="s">
        <v>167</v>
      </c>
      <c r="B104" t="s">
        <v>166</v>
      </c>
      <c r="C104" t="s">
        <v>25</v>
      </c>
      <c r="D104" t="s">
        <v>33</v>
      </c>
      <c r="E104" t="s">
        <v>27</v>
      </c>
      <c r="F104" t="s">
        <v>28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b">
        <v>0</v>
      </c>
      <c r="N104">
        <v>2</v>
      </c>
      <c r="O104" t="b">
        <v>1</v>
      </c>
      <c r="P104">
        <v>3</v>
      </c>
      <c r="Q104">
        <v>11</v>
      </c>
      <c r="R104" t="s">
        <v>24</v>
      </c>
      <c r="S104" t="s">
        <v>24</v>
      </c>
      <c r="T104" t="s">
        <v>24</v>
      </c>
      <c r="U104" t="s">
        <v>24</v>
      </c>
      <c r="V104" t="s">
        <v>29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04"/>
  <sheetViews>
    <sheetView topLeftCell="A69" workbookViewId="0">
      <selection activeCell="A8" sqref="A8:K104"/>
    </sheetView>
  </sheetViews>
  <sheetFormatPr baseColWidth="10" defaultColWidth="9.1640625" defaultRowHeight="15"/>
  <cols>
    <col min="1" max="1" width="9.1640625" customWidth="1"/>
  </cols>
  <sheetData>
    <row r="1" spans="1:23">
      <c r="A1" t="s">
        <v>784</v>
      </c>
      <c r="B1" t="s">
        <v>785</v>
      </c>
    </row>
    <row r="2" spans="1:23">
      <c r="A2" t="s">
        <v>786</v>
      </c>
      <c r="B2" t="s">
        <v>787</v>
      </c>
    </row>
    <row r="3" spans="1:23">
      <c r="A3" t="s">
        <v>788</v>
      </c>
      <c r="B3" t="s">
        <v>806</v>
      </c>
    </row>
    <row r="4" spans="1:23">
      <c r="A4" t="s">
        <v>222</v>
      </c>
      <c r="B4" t="s">
        <v>807</v>
      </c>
    </row>
    <row r="5" spans="1:23">
      <c r="A5" t="s">
        <v>791</v>
      </c>
      <c r="B5" t="s">
        <v>792</v>
      </c>
    </row>
    <row r="6" spans="1:23">
      <c r="A6" t="s">
        <v>793</v>
      </c>
      <c r="B6" t="s">
        <v>794</v>
      </c>
    </row>
    <row r="8" spans="1:2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169</v>
      </c>
      <c r="W8" t="s">
        <v>22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10.95405101776123</v>
      </c>
      <c r="H9">
        <v>10.744235992431641</v>
      </c>
      <c r="I9">
        <v>0.29672259092330933</v>
      </c>
      <c r="J9">
        <v>50000000</v>
      </c>
      <c r="K9" t="s">
        <v>24</v>
      </c>
      <c r="L9" t="s">
        <v>24</v>
      </c>
      <c r="M9" t="b">
        <v>0</v>
      </c>
      <c r="N9">
        <v>2</v>
      </c>
      <c r="O9" t="b">
        <v>1</v>
      </c>
      <c r="P9">
        <v>3</v>
      </c>
      <c r="Q9">
        <v>4</v>
      </c>
      <c r="R9">
        <v>84.816757202148438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</row>
    <row r="10" spans="1:23">
      <c r="A10" t="s">
        <v>30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10.534421920776367</v>
      </c>
      <c r="H10">
        <v>10.744235992431641</v>
      </c>
      <c r="I10">
        <v>0.29672259092330933</v>
      </c>
      <c r="J10">
        <v>50000000</v>
      </c>
      <c r="K10" t="s">
        <v>24</v>
      </c>
      <c r="L10" t="s">
        <v>24</v>
      </c>
      <c r="M10" t="b">
        <v>0</v>
      </c>
      <c r="N10">
        <v>2</v>
      </c>
      <c r="O10" t="b">
        <v>1</v>
      </c>
      <c r="P10">
        <v>1</v>
      </c>
      <c r="Q10">
        <v>2</v>
      </c>
      <c r="R10">
        <v>84.816757202148438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</row>
    <row r="11" spans="1:23">
      <c r="A11" t="s">
        <v>31</v>
      </c>
      <c r="B11" t="s">
        <v>32</v>
      </c>
      <c r="C11" t="s">
        <v>25</v>
      </c>
      <c r="D11" t="s">
        <v>33</v>
      </c>
      <c r="E11" t="s">
        <v>27</v>
      </c>
      <c r="F11" t="s">
        <v>28</v>
      </c>
      <c r="G11">
        <v>13.00941276550293</v>
      </c>
      <c r="H11">
        <v>13.192507743835449</v>
      </c>
      <c r="I11">
        <v>0.25893539190292358</v>
      </c>
      <c r="J11">
        <v>11517389</v>
      </c>
      <c r="K11">
        <v>10448597</v>
      </c>
      <c r="L11">
        <v>1511500.125</v>
      </c>
      <c r="M11" t="b">
        <v>0</v>
      </c>
      <c r="N11">
        <v>2</v>
      </c>
      <c r="O11" t="b">
        <v>1</v>
      </c>
      <c r="P11">
        <v>3</v>
      </c>
      <c r="Q11">
        <v>4</v>
      </c>
      <c r="R11">
        <v>85.007888793945312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</row>
    <row r="12" spans="1:23">
      <c r="A12" t="s">
        <v>34</v>
      </c>
      <c r="B12" t="s">
        <v>32</v>
      </c>
      <c r="C12" t="s">
        <v>25</v>
      </c>
      <c r="D12" t="s">
        <v>33</v>
      </c>
      <c r="E12" t="s">
        <v>27</v>
      </c>
      <c r="F12" t="s">
        <v>28</v>
      </c>
      <c r="G12">
        <v>13.375602722167969</v>
      </c>
      <c r="H12">
        <v>13.192507743835449</v>
      </c>
      <c r="I12">
        <v>0.25893539190292358</v>
      </c>
      <c r="J12">
        <v>9379805</v>
      </c>
      <c r="K12">
        <v>10448597</v>
      </c>
      <c r="L12">
        <v>1511500.125</v>
      </c>
      <c r="M12" t="b">
        <v>0</v>
      </c>
      <c r="N12">
        <v>2</v>
      </c>
      <c r="O12" t="b">
        <v>1</v>
      </c>
      <c r="P12">
        <v>3</v>
      </c>
      <c r="Q12">
        <v>6</v>
      </c>
      <c r="R12">
        <v>85.007888793945312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</row>
    <row r="13" spans="1:23">
      <c r="A13" t="s">
        <v>35</v>
      </c>
      <c r="B13" t="s">
        <v>36</v>
      </c>
      <c r="C13" t="s">
        <v>25</v>
      </c>
      <c r="D13" t="s">
        <v>33</v>
      </c>
      <c r="E13" t="s">
        <v>27</v>
      </c>
      <c r="F13" t="s">
        <v>28</v>
      </c>
      <c r="G13">
        <v>18.082672119140625</v>
      </c>
      <c r="H13">
        <v>18.070270538330078</v>
      </c>
      <c r="I13">
        <v>1.7538484185934067E-2</v>
      </c>
      <c r="J13">
        <v>670058.625</v>
      </c>
      <c r="K13">
        <v>674749.9375</v>
      </c>
      <c r="L13">
        <v>6634.517578125</v>
      </c>
      <c r="M13" t="b">
        <v>0</v>
      </c>
      <c r="N13">
        <v>2</v>
      </c>
      <c r="O13" t="b">
        <v>1</v>
      </c>
      <c r="P13">
        <v>3</v>
      </c>
      <c r="Q13">
        <v>10</v>
      </c>
      <c r="R13">
        <v>85.007888793945312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</row>
    <row r="14" spans="1:23">
      <c r="A14" t="s">
        <v>37</v>
      </c>
      <c r="B14" t="s">
        <v>36</v>
      </c>
      <c r="C14" t="s">
        <v>25</v>
      </c>
      <c r="D14" t="s">
        <v>33</v>
      </c>
      <c r="E14" t="s">
        <v>27</v>
      </c>
      <c r="F14" t="s">
        <v>28</v>
      </c>
      <c r="G14">
        <v>18.057868957519531</v>
      </c>
      <c r="H14">
        <v>18.070270538330078</v>
      </c>
      <c r="I14">
        <v>1.7538484185934067E-2</v>
      </c>
      <c r="J14">
        <v>679441.25</v>
      </c>
      <c r="K14">
        <v>674749.9375</v>
      </c>
      <c r="L14">
        <v>6634.517578125</v>
      </c>
      <c r="M14" t="b">
        <v>0</v>
      </c>
      <c r="N14">
        <v>2</v>
      </c>
      <c r="O14" t="b">
        <v>1</v>
      </c>
      <c r="P14">
        <v>3</v>
      </c>
      <c r="Q14">
        <v>9</v>
      </c>
      <c r="R14">
        <v>85.007888793945312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</row>
    <row r="15" spans="1:23">
      <c r="A15" t="s">
        <v>38</v>
      </c>
      <c r="B15" t="s">
        <v>39</v>
      </c>
      <c r="C15" t="s">
        <v>25</v>
      </c>
      <c r="D15" t="s">
        <v>33</v>
      </c>
      <c r="E15" t="s">
        <v>27</v>
      </c>
      <c r="F15" t="s">
        <v>28</v>
      </c>
      <c r="G15">
        <v>18.538320541381836</v>
      </c>
      <c r="H15">
        <v>18.663528442382812</v>
      </c>
      <c r="I15">
        <v>0.17707206308841705</v>
      </c>
      <c r="J15">
        <v>519004.53125</v>
      </c>
      <c r="K15">
        <v>485014.0625</v>
      </c>
      <c r="L15">
        <v>48069.78125</v>
      </c>
      <c r="M15" t="b">
        <v>0</v>
      </c>
      <c r="N15">
        <v>2</v>
      </c>
      <c r="O15" t="b">
        <v>1</v>
      </c>
      <c r="P15">
        <v>3</v>
      </c>
      <c r="Q15">
        <v>10</v>
      </c>
      <c r="R15">
        <v>84.816757202148438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</row>
    <row r="16" spans="1:23">
      <c r="A16" t="s">
        <v>40</v>
      </c>
      <c r="B16" t="s">
        <v>39</v>
      </c>
      <c r="C16" t="s">
        <v>25</v>
      </c>
      <c r="D16" t="s">
        <v>33</v>
      </c>
      <c r="E16" t="s">
        <v>27</v>
      </c>
      <c r="F16" t="s">
        <v>28</v>
      </c>
      <c r="G16">
        <v>18.788738250732422</v>
      </c>
      <c r="H16">
        <v>18.663528442382812</v>
      </c>
      <c r="I16">
        <v>0.17707206308841705</v>
      </c>
      <c r="J16">
        <v>451023.59375</v>
      </c>
      <c r="K16">
        <v>485014.0625</v>
      </c>
      <c r="L16">
        <v>48069.78125</v>
      </c>
      <c r="M16" t="b">
        <v>0</v>
      </c>
      <c r="N16">
        <v>2</v>
      </c>
      <c r="O16" t="b">
        <v>1</v>
      </c>
      <c r="P16">
        <v>3</v>
      </c>
      <c r="Q16">
        <v>11</v>
      </c>
      <c r="R16">
        <v>84.625617980957031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</row>
    <row r="17" spans="1:23">
      <c r="A17" t="s">
        <v>41</v>
      </c>
      <c r="B17" t="s">
        <v>42</v>
      </c>
      <c r="C17" t="s">
        <v>25</v>
      </c>
      <c r="D17" t="s">
        <v>33</v>
      </c>
      <c r="E17" t="s">
        <v>27</v>
      </c>
      <c r="F17" t="s">
        <v>28</v>
      </c>
      <c r="G17">
        <v>16.219705581665039</v>
      </c>
      <c r="H17">
        <v>16.343910217285156</v>
      </c>
      <c r="I17">
        <v>0.17565187811851501</v>
      </c>
      <c r="J17">
        <v>1904186.125</v>
      </c>
      <c r="K17">
        <v>1780410</v>
      </c>
      <c r="L17">
        <v>175045.96875</v>
      </c>
      <c r="M17" t="b">
        <v>0</v>
      </c>
      <c r="N17">
        <v>2</v>
      </c>
      <c r="O17" t="b">
        <v>1</v>
      </c>
      <c r="P17">
        <v>3</v>
      </c>
      <c r="Q17">
        <v>9</v>
      </c>
      <c r="R17">
        <v>84.434486389160156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</row>
    <row r="18" spans="1:23">
      <c r="A18" t="s">
        <v>43</v>
      </c>
      <c r="B18" t="s">
        <v>42</v>
      </c>
      <c r="C18" t="s">
        <v>25</v>
      </c>
      <c r="D18" t="s">
        <v>33</v>
      </c>
      <c r="E18" t="s">
        <v>27</v>
      </c>
      <c r="F18" t="s">
        <v>28</v>
      </c>
      <c r="G18">
        <v>16.468114852905273</v>
      </c>
      <c r="H18">
        <v>16.343910217285156</v>
      </c>
      <c r="I18">
        <v>0.17565187811851501</v>
      </c>
      <c r="J18">
        <v>1656633.75</v>
      </c>
      <c r="K18">
        <v>1780410</v>
      </c>
      <c r="L18">
        <v>175045.96875</v>
      </c>
      <c r="M18" t="b">
        <v>0</v>
      </c>
      <c r="N18">
        <v>2</v>
      </c>
      <c r="O18" t="b">
        <v>1</v>
      </c>
      <c r="P18">
        <v>3</v>
      </c>
      <c r="Q18">
        <v>8</v>
      </c>
      <c r="R18">
        <v>84.243354797363281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</row>
    <row r="19" spans="1:23">
      <c r="A19" t="s">
        <v>44</v>
      </c>
      <c r="B19" t="s">
        <v>45</v>
      </c>
      <c r="C19" t="s">
        <v>25</v>
      </c>
      <c r="D19" t="s">
        <v>33</v>
      </c>
      <c r="E19" t="s">
        <v>27</v>
      </c>
      <c r="F19" t="s">
        <v>28</v>
      </c>
      <c r="G19">
        <v>22.267679214477539</v>
      </c>
      <c r="H19">
        <v>23.469287872314453</v>
      </c>
      <c r="I19">
        <v>1.6993298530578613</v>
      </c>
      <c r="J19">
        <v>64142.2109375</v>
      </c>
      <c r="K19">
        <v>40407.4765625</v>
      </c>
      <c r="L19">
        <v>33565.98046875</v>
      </c>
      <c r="M19" t="b">
        <v>0</v>
      </c>
      <c r="N19">
        <v>2</v>
      </c>
      <c r="O19" t="b">
        <v>1</v>
      </c>
      <c r="P19">
        <v>3</v>
      </c>
      <c r="Q19">
        <v>12</v>
      </c>
      <c r="R19">
        <v>83.47882080078125</v>
      </c>
      <c r="S19" t="s">
        <v>24</v>
      </c>
      <c r="T19" t="s">
        <v>24</v>
      </c>
      <c r="U19" t="s">
        <v>24</v>
      </c>
      <c r="V19" t="s">
        <v>114</v>
      </c>
      <c r="W19" t="s">
        <v>29</v>
      </c>
    </row>
    <row r="20" spans="1:23">
      <c r="A20" t="s">
        <v>46</v>
      </c>
      <c r="B20" t="s">
        <v>45</v>
      </c>
      <c r="C20" t="s">
        <v>25</v>
      </c>
      <c r="D20" t="s">
        <v>33</v>
      </c>
      <c r="E20" t="s">
        <v>27</v>
      </c>
      <c r="F20" t="s">
        <v>28</v>
      </c>
      <c r="G20">
        <v>24.670894622802734</v>
      </c>
      <c r="H20">
        <v>23.469287872314453</v>
      </c>
      <c r="I20">
        <v>1.6993298530578613</v>
      </c>
      <c r="J20">
        <v>16672.744140625</v>
      </c>
      <c r="K20">
        <v>40407.4765625</v>
      </c>
      <c r="L20">
        <v>33565.98046875</v>
      </c>
      <c r="M20" t="b">
        <v>0</v>
      </c>
      <c r="N20">
        <v>2</v>
      </c>
      <c r="O20" t="b">
        <v>1</v>
      </c>
      <c r="P20">
        <v>3</v>
      </c>
      <c r="Q20">
        <v>15</v>
      </c>
      <c r="R20">
        <v>83.47882080078125</v>
      </c>
      <c r="S20" t="s">
        <v>24</v>
      </c>
      <c r="T20" t="s">
        <v>24</v>
      </c>
      <c r="U20" t="s">
        <v>24</v>
      </c>
      <c r="V20" t="s">
        <v>114</v>
      </c>
      <c r="W20" t="s">
        <v>29</v>
      </c>
    </row>
    <row r="21" spans="1:23">
      <c r="A21" t="s">
        <v>47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13.780325889587402</v>
      </c>
      <c r="H21">
        <v>13.730930328369141</v>
      </c>
      <c r="I21">
        <v>6.9855876266956329E-2</v>
      </c>
      <c r="J21">
        <v>5000000</v>
      </c>
      <c r="K21" t="s">
        <v>24</v>
      </c>
      <c r="L21" t="s">
        <v>24</v>
      </c>
      <c r="M21" t="b">
        <v>0</v>
      </c>
      <c r="N21">
        <v>2</v>
      </c>
      <c r="O21" t="b">
        <v>1</v>
      </c>
      <c r="P21">
        <v>3</v>
      </c>
      <c r="Q21">
        <v>7</v>
      </c>
      <c r="R21">
        <v>85.007888793945312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</row>
    <row r="22" spans="1:23">
      <c r="A22" t="s">
        <v>48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13.681534767150879</v>
      </c>
      <c r="H22">
        <v>13.730930328369141</v>
      </c>
      <c r="I22">
        <v>6.9855876266956329E-2</v>
      </c>
      <c r="J22">
        <v>5000000</v>
      </c>
      <c r="K22" t="s">
        <v>24</v>
      </c>
      <c r="L22" t="s">
        <v>24</v>
      </c>
      <c r="M22" t="b">
        <v>0</v>
      </c>
      <c r="N22">
        <v>2</v>
      </c>
      <c r="O22" t="b">
        <v>1</v>
      </c>
      <c r="P22">
        <v>3</v>
      </c>
      <c r="Q22">
        <v>7</v>
      </c>
      <c r="R22">
        <v>85.007888793945312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</row>
    <row r="23" spans="1:23">
      <c r="A23" t="s">
        <v>49</v>
      </c>
      <c r="B23" t="s">
        <v>50</v>
      </c>
      <c r="C23" t="s">
        <v>25</v>
      </c>
      <c r="D23" t="s">
        <v>33</v>
      </c>
      <c r="E23" t="s">
        <v>27</v>
      </c>
      <c r="F23" t="s">
        <v>28</v>
      </c>
      <c r="G23">
        <v>12.864546775817871</v>
      </c>
      <c r="H23">
        <v>13.117115020751953</v>
      </c>
      <c r="I23">
        <v>0.35718542337417603</v>
      </c>
      <c r="J23">
        <v>12491832</v>
      </c>
      <c r="K23">
        <v>10951408</v>
      </c>
      <c r="L23">
        <v>2178487.75</v>
      </c>
      <c r="M23" t="b">
        <v>0</v>
      </c>
      <c r="N23">
        <v>2</v>
      </c>
      <c r="O23" t="b">
        <v>1</v>
      </c>
      <c r="P23">
        <v>1</v>
      </c>
      <c r="Q23">
        <v>2</v>
      </c>
      <c r="R23">
        <v>85.199020385742188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</row>
    <row r="24" spans="1:23">
      <c r="A24" t="s">
        <v>51</v>
      </c>
      <c r="B24" t="s">
        <v>50</v>
      </c>
      <c r="C24" t="s">
        <v>25</v>
      </c>
      <c r="D24" t="s">
        <v>33</v>
      </c>
      <c r="E24" t="s">
        <v>27</v>
      </c>
      <c r="F24" t="s">
        <v>28</v>
      </c>
      <c r="G24">
        <v>13.369683265686035</v>
      </c>
      <c r="H24">
        <v>13.117115020751953</v>
      </c>
      <c r="I24">
        <v>0.35718542337417603</v>
      </c>
      <c r="J24">
        <v>9410985</v>
      </c>
      <c r="K24">
        <v>10951408</v>
      </c>
      <c r="L24">
        <v>2178487.75</v>
      </c>
      <c r="M24" t="b">
        <v>0</v>
      </c>
      <c r="N24">
        <v>2</v>
      </c>
      <c r="O24" t="b">
        <v>1</v>
      </c>
      <c r="P24">
        <v>3</v>
      </c>
      <c r="Q24">
        <v>6</v>
      </c>
      <c r="R24">
        <v>85.007888793945312</v>
      </c>
      <c r="S24" t="s">
        <v>24</v>
      </c>
      <c r="T24" t="s">
        <v>24</v>
      </c>
      <c r="U24" t="s">
        <v>24</v>
      </c>
      <c r="V24" t="s">
        <v>29</v>
      </c>
      <c r="W24" t="s">
        <v>29</v>
      </c>
    </row>
    <row r="25" spans="1:23">
      <c r="A25" t="s">
        <v>52</v>
      </c>
      <c r="B25" t="s">
        <v>53</v>
      </c>
      <c r="C25" t="s">
        <v>25</v>
      </c>
      <c r="D25" t="s">
        <v>33</v>
      </c>
      <c r="E25" t="s">
        <v>27</v>
      </c>
      <c r="F25" t="s">
        <v>28</v>
      </c>
      <c r="G25">
        <v>22.254722595214844</v>
      </c>
      <c r="H25">
        <v>22.031295776367188</v>
      </c>
      <c r="I25">
        <v>0.31597325205802917</v>
      </c>
      <c r="J25">
        <v>64609.83203125</v>
      </c>
      <c r="K25">
        <v>73806.90625</v>
      </c>
      <c r="L25">
        <v>13006.6240234375</v>
      </c>
      <c r="M25" t="b">
        <v>0</v>
      </c>
      <c r="N25">
        <v>2</v>
      </c>
      <c r="O25" t="b">
        <v>1</v>
      </c>
      <c r="P25">
        <v>3</v>
      </c>
      <c r="Q25">
        <v>14</v>
      </c>
      <c r="R25">
        <v>85.007888793945312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</row>
    <row r="26" spans="1:23">
      <c r="A26" t="s">
        <v>54</v>
      </c>
      <c r="B26" t="s">
        <v>53</v>
      </c>
      <c r="C26" t="s">
        <v>25</v>
      </c>
      <c r="D26" t="s">
        <v>33</v>
      </c>
      <c r="E26" t="s">
        <v>27</v>
      </c>
      <c r="F26" t="s">
        <v>28</v>
      </c>
      <c r="G26">
        <v>21.807868957519531</v>
      </c>
      <c r="H26">
        <v>22.031295776367188</v>
      </c>
      <c r="I26">
        <v>0.31597325205802917</v>
      </c>
      <c r="J26">
        <v>83003.9765625</v>
      </c>
      <c r="K26">
        <v>73806.90625</v>
      </c>
      <c r="L26">
        <v>13006.6240234375</v>
      </c>
      <c r="M26" t="b">
        <v>0</v>
      </c>
      <c r="N26">
        <v>2</v>
      </c>
      <c r="O26" t="b">
        <v>1</v>
      </c>
      <c r="P26">
        <v>3</v>
      </c>
      <c r="Q26">
        <v>13</v>
      </c>
      <c r="R26">
        <v>85.007888793945312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</row>
    <row r="27" spans="1:23">
      <c r="A27" t="s">
        <v>55</v>
      </c>
      <c r="B27" t="s">
        <v>56</v>
      </c>
      <c r="C27" t="s">
        <v>25</v>
      </c>
      <c r="D27" t="s">
        <v>33</v>
      </c>
      <c r="E27" t="s">
        <v>27</v>
      </c>
      <c r="F27" t="s">
        <v>28</v>
      </c>
      <c r="G27">
        <v>15.160746574401855</v>
      </c>
      <c r="H27">
        <v>15.175846099853516</v>
      </c>
      <c r="I27">
        <v>2.1354628726840019E-2</v>
      </c>
      <c r="J27">
        <v>3447827.75</v>
      </c>
      <c r="K27">
        <v>3418885.5</v>
      </c>
      <c r="L27">
        <v>40930.34375</v>
      </c>
      <c r="M27" t="b">
        <v>0</v>
      </c>
      <c r="N27">
        <v>2</v>
      </c>
      <c r="O27" t="b">
        <v>1</v>
      </c>
      <c r="P27">
        <v>3</v>
      </c>
      <c r="Q27">
        <v>7</v>
      </c>
      <c r="R27">
        <v>84.816757202148438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</row>
    <row r="28" spans="1:23">
      <c r="A28" t="s">
        <v>57</v>
      </c>
      <c r="B28" t="s">
        <v>56</v>
      </c>
      <c r="C28" t="s">
        <v>25</v>
      </c>
      <c r="D28" t="s">
        <v>33</v>
      </c>
      <c r="E28" t="s">
        <v>27</v>
      </c>
      <c r="F28" t="s">
        <v>28</v>
      </c>
      <c r="G28">
        <v>15.190946578979492</v>
      </c>
      <c r="H28">
        <v>15.175846099853516</v>
      </c>
      <c r="I28">
        <v>2.1354628726840019E-2</v>
      </c>
      <c r="J28">
        <v>3389943.5</v>
      </c>
      <c r="K28">
        <v>3418885.5</v>
      </c>
      <c r="L28">
        <v>40930.34375</v>
      </c>
      <c r="M28" t="b">
        <v>0</v>
      </c>
      <c r="N28">
        <v>2</v>
      </c>
      <c r="O28" t="b">
        <v>1</v>
      </c>
      <c r="P28">
        <v>3</v>
      </c>
      <c r="Q28">
        <v>8</v>
      </c>
      <c r="R28">
        <v>84.625617980957031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</row>
    <row r="29" spans="1:23">
      <c r="A29" t="s">
        <v>58</v>
      </c>
      <c r="B29" t="s">
        <v>59</v>
      </c>
      <c r="C29" t="s">
        <v>25</v>
      </c>
      <c r="D29" t="s">
        <v>33</v>
      </c>
      <c r="E29" t="s">
        <v>27</v>
      </c>
      <c r="F29" t="s">
        <v>28</v>
      </c>
      <c r="G29">
        <v>16.731971740722656</v>
      </c>
      <c r="H29">
        <v>16.936988830566406</v>
      </c>
      <c r="I29">
        <v>0.28993794322013855</v>
      </c>
      <c r="J29">
        <v>1428836.125</v>
      </c>
      <c r="K29">
        <v>1282115.5</v>
      </c>
      <c r="L29">
        <v>207494.203125</v>
      </c>
      <c r="M29" t="b">
        <v>0</v>
      </c>
      <c r="N29">
        <v>2</v>
      </c>
      <c r="O29" t="b">
        <v>1</v>
      </c>
      <c r="P29">
        <v>3</v>
      </c>
      <c r="Q29">
        <v>8</v>
      </c>
      <c r="R29">
        <v>84.434486389160156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</row>
    <row r="30" spans="1:23">
      <c r="A30" t="s">
        <v>60</v>
      </c>
      <c r="B30" t="s">
        <v>59</v>
      </c>
      <c r="C30" t="s">
        <v>25</v>
      </c>
      <c r="D30" t="s">
        <v>33</v>
      </c>
      <c r="E30" t="s">
        <v>27</v>
      </c>
      <c r="F30" t="s">
        <v>28</v>
      </c>
      <c r="G30">
        <v>17.142005920410156</v>
      </c>
      <c r="H30">
        <v>16.936988830566406</v>
      </c>
      <c r="I30">
        <v>0.28993794322013855</v>
      </c>
      <c r="J30">
        <v>1135395</v>
      </c>
      <c r="K30">
        <v>1282115.5</v>
      </c>
      <c r="L30">
        <v>207494.203125</v>
      </c>
      <c r="M30" t="b">
        <v>0</v>
      </c>
      <c r="N30">
        <v>2</v>
      </c>
      <c r="O30" t="b">
        <v>1</v>
      </c>
      <c r="P30">
        <v>3</v>
      </c>
      <c r="Q30">
        <v>9</v>
      </c>
      <c r="R30">
        <v>84.243354797363281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</row>
    <row r="31" spans="1:23">
      <c r="A31" t="s">
        <v>61</v>
      </c>
      <c r="B31" t="s">
        <v>62</v>
      </c>
      <c r="C31" t="s">
        <v>25</v>
      </c>
      <c r="D31" t="s">
        <v>33</v>
      </c>
      <c r="E31" t="s">
        <v>27</v>
      </c>
      <c r="F31" t="s">
        <v>28</v>
      </c>
      <c r="G31">
        <v>38.983150482177734</v>
      </c>
      <c r="H31">
        <v>39.160346984863281</v>
      </c>
      <c r="I31">
        <v>0.25059640407562256</v>
      </c>
      <c r="J31">
        <v>5.4606904983520508</v>
      </c>
      <c r="K31">
        <v>4.9686994552612305</v>
      </c>
      <c r="L31">
        <v>0.69578075408935547</v>
      </c>
      <c r="M31" t="b">
        <v>0</v>
      </c>
      <c r="N31">
        <v>2</v>
      </c>
      <c r="O31" t="b">
        <v>1</v>
      </c>
      <c r="P31">
        <v>3</v>
      </c>
      <c r="Q31">
        <v>27</v>
      </c>
      <c r="R31">
        <v>77.553695678710938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</row>
    <row r="32" spans="1:23">
      <c r="A32" t="s">
        <v>63</v>
      </c>
      <c r="B32" t="s">
        <v>62</v>
      </c>
      <c r="C32" t="s">
        <v>25</v>
      </c>
      <c r="D32" t="s">
        <v>33</v>
      </c>
      <c r="E32" t="s">
        <v>27</v>
      </c>
      <c r="F32" t="s">
        <v>28</v>
      </c>
      <c r="G32">
        <v>39.337547302246094</v>
      </c>
      <c r="H32">
        <v>39.160346984863281</v>
      </c>
      <c r="I32">
        <v>0.25059640407562256</v>
      </c>
      <c r="J32">
        <v>4.476707935333252</v>
      </c>
      <c r="K32">
        <v>4.9686994552612305</v>
      </c>
      <c r="L32">
        <v>0.69578075408935547</v>
      </c>
      <c r="M32" t="b">
        <v>0</v>
      </c>
      <c r="N32">
        <v>2</v>
      </c>
      <c r="O32" t="b">
        <v>1</v>
      </c>
      <c r="P32">
        <v>3</v>
      </c>
      <c r="Q32">
        <v>28</v>
      </c>
      <c r="R32">
        <v>83.287689208984375</v>
      </c>
      <c r="S32">
        <v>79.082763671875</v>
      </c>
      <c r="T32" t="s">
        <v>24</v>
      </c>
      <c r="U32" t="s">
        <v>24</v>
      </c>
      <c r="V32" t="s">
        <v>29</v>
      </c>
      <c r="W32" t="s">
        <v>114</v>
      </c>
    </row>
    <row r="33" spans="1:23">
      <c r="A33" t="s">
        <v>64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>
        <v>19.16621208190918</v>
      </c>
      <c r="H33">
        <v>19.003002166748047</v>
      </c>
      <c r="I33">
        <v>0.23081502318382263</v>
      </c>
      <c r="J33">
        <v>500000</v>
      </c>
      <c r="K33" t="s">
        <v>24</v>
      </c>
      <c r="L33" t="s">
        <v>24</v>
      </c>
      <c r="M33" t="b">
        <v>0</v>
      </c>
      <c r="N33">
        <v>2</v>
      </c>
      <c r="O33" t="b">
        <v>1</v>
      </c>
      <c r="P33">
        <v>3</v>
      </c>
      <c r="Q33">
        <v>11</v>
      </c>
      <c r="R33">
        <v>85.199020385742188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</row>
    <row r="34" spans="1:23">
      <c r="A34" t="s">
        <v>65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>
        <v>18.839790344238281</v>
      </c>
      <c r="H34">
        <v>19.003002166748047</v>
      </c>
      <c r="I34">
        <v>0.23081502318382263</v>
      </c>
      <c r="J34">
        <v>500000</v>
      </c>
      <c r="K34" t="s">
        <v>24</v>
      </c>
      <c r="L34" t="s">
        <v>24</v>
      </c>
      <c r="M34" t="b">
        <v>0</v>
      </c>
      <c r="N34">
        <v>2</v>
      </c>
      <c r="O34" t="b">
        <v>1</v>
      </c>
      <c r="P34">
        <v>3</v>
      </c>
      <c r="Q34">
        <v>10</v>
      </c>
      <c r="R34">
        <v>85.199020385742188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</row>
    <row r="35" spans="1:23">
      <c r="A35" t="s">
        <v>66</v>
      </c>
      <c r="B35" t="s">
        <v>67</v>
      </c>
      <c r="C35" t="s">
        <v>25</v>
      </c>
      <c r="D35" t="s">
        <v>33</v>
      </c>
      <c r="E35" t="s">
        <v>27</v>
      </c>
      <c r="F35" t="s">
        <v>28</v>
      </c>
      <c r="G35">
        <v>19.560953140258789</v>
      </c>
      <c r="H35">
        <v>19.225175857543945</v>
      </c>
      <c r="I35">
        <v>0.4748607873916626</v>
      </c>
      <c r="J35">
        <v>292536.28125</v>
      </c>
      <c r="K35">
        <v>359405.90625</v>
      </c>
      <c r="L35">
        <v>94567.9296875</v>
      </c>
      <c r="M35" t="b">
        <v>0</v>
      </c>
      <c r="N35">
        <v>2</v>
      </c>
      <c r="O35" t="b">
        <v>1</v>
      </c>
      <c r="P35">
        <v>3</v>
      </c>
      <c r="Q35">
        <v>11</v>
      </c>
      <c r="R35">
        <v>85.199020385742188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</row>
    <row r="36" spans="1:23">
      <c r="A36" t="s">
        <v>68</v>
      </c>
      <c r="B36" t="s">
        <v>67</v>
      </c>
      <c r="C36" t="s">
        <v>25</v>
      </c>
      <c r="D36" t="s">
        <v>33</v>
      </c>
      <c r="E36" t="s">
        <v>27</v>
      </c>
      <c r="F36" t="s">
        <v>28</v>
      </c>
      <c r="G36">
        <v>18.889398574829102</v>
      </c>
      <c r="H36">
        <v>19.225175857543945</v>
      </c>
      <c r="I36">
        <v>0.4748607873916626</v>
      </c>
      <c r="J36">
        <v>426275.53125</v>
      </c>
      <c r="K36">
        <v>359405.90625</v>
      </c>
      <c r="L36">
        <v>94567.9296875</v>
      </c>
      <c r="M36" t="b">
        <v>0</v>
      </c>
      <c r="N36">
        <v>2</v>
      </c>
      <c r="O36" t="b">
        <v>1</v>
      </c>
      <c r="P36">
        <v>3</v>
      </c>
      <c r="Q36">
        <v>11</v>
      </c>
      <c r="R36">
        <v>85.199020385742188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</row>
    <row r="37" spans="1:23">
      <c r="A37" t="s">
        <v>69</v>
      </c>
      <c r="B37" t="s">
        <v>70</v>
      </c>
      <c r="C37" t="s">
        <v>25</v>
      </c>
      <c r="D37" t="s">
        <v>33</v>
      </c>
      <c r="E37" t="s">
        <v>27</v>
      </c>
      <c r="F37" t="s">
        <v>28</v>
      </c>
      <c r="G37">
        <v>17.772794723510742</v>
      </c>
      <c r="H37">
        <v>17.749410629272461</v>
      </c>
      <c r="I37">
        <v>3.3070102334022522E-2</v>
      </c>
      <c r="J37">
        <v>797190.3125</v>
      </c>
      <c r="K37">
        <v>807779.625</v>
      </c>
      <c r="L37">
        <v>14975.5498046875</v>
      </c>
      <c r="M37" t="b">
        <v>0</v>
      </c>
      <c r="N37">
        <v>2</v>
      </c>
      <c r="O37" t="b">
        <v>1</v>
      </c>
      <c r="P37">
        <v>3</v>
      </c>
      <c r="Q37">
        <v>10</v>
      </c>
      <c r="R37">
        <v>85.199020385742188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</row>
    <row r="38" spans="1:23">
      <c r="A38" t="s">
        <v>71</v>
      </c>
      <c r="B38" t="s">
        <v>70</v>
      </c>
      <c r="C38" t="s">
        <v>25</v>
      </c>
      <c r="D38" t="s">
        <v>33</v>
      </c>
      <c r="E38" t="s">
        <v>27</v>
      </c>
      <c r="F38" t="s">
        <v>28</v>
      </c>
      <c r="G38">
        <v>17.72602653503418</v>
      </c>
      <c r="H38">
        <v>17.749410629272461</v>
      </c>
      <c r="I38">
        <v>3.3070102334022522E-2</v>
      </c>
      <c r="J38">
        <v>818368.9375</v>
      </c>
      <c r="K38">
        <v>807779.625</v>
      </c>
      <c r="L38">
        <v>14975.5498046875</v>
      </c>
      <c r="M38" t="b">
        <v>0</v>
      </c>
      <c r="N38">
        <v>2</v>
      </c>
      <c r="O38" t="b">
        <v>1</v>
      </c>
      <c r="P38">
        <v>3</v>
      </c>
      <c r="Q38">
        <v>9</v>
      </c>
      <c r="R38">
        <v>85.199020385742188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</row>
    <row r="39" spans="1:23">
      <c r="A39" t="s">
        <v>72</v>
      </c>
      <c r="B39" t="s">
        <v>73</v>
      </c>
      <c r="C39" t="s">
        <v>25</v>
      </c>
      <c r="D39" t="s">
        <v>33</v>
      </c>
      <c r="E39" t="s">
        <v>27</v>
      </c>
      <c r="F39" t="s">
        <v>28</v>
      </c>
      <c r="G39">
        <v>14.551304817199707</v>
      </c>
      <c r="H39">
        <v>14.697759628295898</v>
      </c>
      <c r="I39">
        <v>0.20711837708950043</v>
      </c>
      <c r="J39">
        <v>4852135.5</v>
      </c>
      <c r="K39">
        <v>4484730</v>
      </c>
      <c r="L39">
        <v>519590.03125</v>
      </c>
      <c r="M39" t="b">
        <v>0</v>
      </c>
      <c r="N39">
        <v>2</v>
      </c>
      <c r="O39" t="b">
        <v>1</v>
      </c>
      <c r="P39">
        <v>3</v>
      </c>
      <c r="Q39">
        <v>7</v>
      </c>
      <c r="R39">
        <v>85.007888793945312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</row>
    <row r="40" spans="1:23">
      <c r="A40" t="s">
        <v>74</v>
      </c>
      <c r="B40" t="s">
        <v>73</v>
      </c>
      <c r="C40" t="s">
        <v>25</v>
      </c>
      <c r="D40" t="s">
        <v>33</v>
      </c>
      <c r="E40" t="s">
        <v>27</v>
      </c>
      <c r="F40" t="s">
        <v>28</v>
      </c>
      <c r="G40">
        <v>14.84421443939209</v>
      </c>
      <c r="H40">
        <v>14.697759628295898</v>
      </c>
      <c r="I40">
        <v>0.20711837708950043</v>
      </c>
      <c r="J40">
        <v>4117324.25</v>
      </c>
      <c r="K40">
        <v>4484730</v>
      </c>
      <c r="L40">
        <v>519590.03125</v>
      </c>
      <c r="M40" t="b">
        <v>0</v>
      </c>
      <c r="N40">
        <v>2</v>
      </c>
      <c r="O40" t="b">
        <v>1</v>
      </c>
      <c r="P40">
        <v>3</v>
      </c>
      <c r="Q40">
        <v>6</v>
      </c>
      <c r="R40">
        <v>84.625617980957031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</row>
    <row r="41" spans="1:23">
      <c r="A41" t="s">
        <v>75</v>
      </c>
      <c r="B41" t="s">
        <v>76</v>
      </c>
      <c r="C41" t="s">
        <v>25</v>
      </c>
      <c r="D41" t="s">
        <v>33</v>
      </c>
      <c r="E41" t="s">
        <v>27</v>
      </c>
      <c r="F41" t="s">
        <v>28</v>
      </c>
      <c r="G41">
        <v>22.136045455932617</v>
      </c>
      <c r="H41">
        <v>20.838981628417969</v>
      </c>
      <c r="I41">
        <v>1.8343238830566406</v>
      </c>
      <c r="J41">
        <v>69054.8515625</v>
      </c>
      <c r="K41">
        <v>182364.71875</v>
      </c>
      <c r="L41">
        <v>160244.359375</v>
      </c>
      <c r="M41" t="b">
        <v>0</v>
      </c>
      <c r="N41">
        <v>2</v>
      </c>
      <c r="O41" t="b">
        <v>1</v>
      </c>
      <c r="P41">
        <v>3</v>
      </c>
      <c r="Q41">
        <v>11</v>
      </c>
      <c r="R41">
        <v>84.434486389160156</v>
      </c>
      <c r="S41" t="s">
        <v>24</v>
      </c>
      <c r="T41" t="s">
        <v>24</v>
      </c>
      <c r="U41" t="s">
        <v>24</v>
      </c>
      <c r="V41" t="s">
        <v>114</v>
      </c>
      <c r="W41" t="s">
        <v>29</v>
      </c>
    </row>
    <row r="42" spans="1:23">
      <c r="A42" t="s">
        <v>77</v>
      </c>
      <c r="B42" t="s">
        <v>76</v>
      </c>
      <c r="C42" t="s">
        <v>25</v>
      </c>
      <c r="D42" t="s">
        <v>33</v>
      </c>
      <c r="E42" t="s">
        <v>27</v>
      </c>
      <c r="F42" t="s">
        <v>28</v>
      </c>
      <c r="G42">
        <v>19.541919708251953</v>
      </c>
      <c r="H42">
        <v>20.838981628417969</v>
      </c>
      <c r="I42">
        <v>1.8343238830566406</v>
      </c>
      <c r="J42">
        <v>295674.59375</v>
      </c>
      <c r="K42">
        <v>182364.71875</v>
      </c>
      <c r="L42">
        <v>160244.359375</v>
      </c>
      <c r="M42" t="b">
        <v>0</v>
      </c>
      <c r="N42">
        <v>2</v>
      </c>
      <c r="O42" t="b">
        <v>1</v>
      </c>
      <c r="P42">
        <v>3</v>
      </c>
      <c r="Q42">
        <v>10</v>
      </c>
      <c r="R42">
        <v>84.434486389160156</v>
      </c>
      <c r="S42" t="s">
        <v>24</v>
      </c>
      <c r="T42" t="s">
        <v>24</v>
      </c>
      <c r="U42" t="s">
        <v>24</v>
      </c>
      <c r="V42" t="s">
        <v>114</v>
      </c>
      <c r="W42" t="s">
        <v>29</v>
      </c>
    </row>
    <row r="43" spans="1:23">
      <c r="A43" t="s">
        <v>78</v>
      </c>
      <c r="B43" t="s">
        <v>79</v>
      </c>
      <c r="C43" t="s">
        <v>25</v>
      </c>
      <c r="D43" t="s">
        <v>33</v>
      </c>
      <c r="E43" t="s">
        <v>27</v>
      </c>
      <c r="F43" t="s">
        <v>28</v>
      </c>
      <c r="G43">
        <v>21.888996124267578</v>
      </c>
      <c r="H43">
        <v>20.585716247558594</v>
      </c>
      <c r="I43">
        <v>1.8431147336959839</v>
      </c>
      <c r="J43">
        <v>79313.2890625</v>
      </c>
      <c r="K43">
        <v>210643.515625</v>
      </c>
      <c r="L43">
        <v>185729</v>
      </c>
      <c r="M43" t="b">
        <v>0</v>
      </c>
      <c r="N43">
        <v>2</v>
      </c>
      <c r="O43" t="b">
        <v>1</v>
      </c>
      <c r="P43">
        <v>3</v>
      </c>
      <c r="Q43">
        <v>10</v>
      </c>
      <c r="R43">
        <v>83.47882080078125</v>
      </c>
      <c r="S43" t="s">
        <v>24</v>
      </c>
      <c r="T43" t="s">
        <v>24</v>
      </c>
      <c r="U43" t="s">
        <v>24</v>
      </c>
      <c r="V43" t="s">
        <v>114</v>
      </c>
      <c r="W43" t="s">
        <v>29</v>
      </c>
    </row>
    <row r="44" spans="1:23">
      <c r="A44" t="s">
        <v>80</v>
      </c>
      <c r="B44" t="s">
        <v>79</v>
      </c>
      <c r="C44" t="s">
        <v>25</v>
      </c>
      <c r="D44" t="s">
        <v>33</v>
      </c>
      <c r="E44" t="s">
        <v>27</v>
      </c>
      <c r="F44" t="s">
        <v>28</v>
      </c>
      <c r="G44">
        <v>19.282438278198242</v>
      </c>
      <c r="H44">
        <v>20.585716247558594</v>
      </c>
      <c r="I44">
        <v>1.8431147336959839</v>
      </c>
      <c r="J44">
        <v>341973.75</v>
      </c>
      <c r="K44">
        <v>210643.515625</v>
      </c>
      <c r="L44">
        <v>185729</v>
      </c>
      <c r="M44" t="b">
        <v>0</v>
      </c>
      <c r="N44">
        <v>2</v>
      </c>
      <c r="O44" t="b">
        <v>1</v>
      </c>
      <c r="P44">
        <v>3</v>
      </c>
      <c r="Q44">
        <v>10</v>
      </c>
      <c r="R44">
        <v>83.287689208984375</v>
      </c>
      <c r="S44" t="s">
        <v>24</v>
      </c>
      <c r="T44" t="s">
        <v>24</v>
      </c>
      <c r="U44" t="s">
        <v>24</v>
      </c>
      <c r="V44" t="s">
        <v>114</v>
      </c>
      <c r="W44" t="s">
        <v>29</v>
      </c>
    </row>
    <row r="45" spans="1:23">
      <c r="A45" t="s">
        <v>81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>
        <v>22.719551086425781</v>
      </c>
      <c r="H45">
        <v>22.766647338867188</v>
      </c>
      <c r="I45">
        <v>6.6602811217308044E-2</v>
      </c>
      <c r="J45">
        <v>50000</v>
      </c>
      <c r="K45" t="s">
        <v>24</v>
      </c>
      <c r="L45" t="s">
        <v>24</v>
      </c>
      <c r="M45" t="b">
        <v>0</v>
      </c>
      <c r="N45">
        <v>2</v>
      </c>
      <c r="O45" t="b">
        <v>1</v>
      </c>
      <c r="P45">
        <v>3</v>
      </c>
      <c r="Q45">
        <v>14</v>
      </c>
      <c r="R45">
        <v>85.390151977539062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</row>
    <row r="46" spans="1:23">
      <c r="A46" t="s">
        <v>82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>
        <v>22.813741683959961</v>
      </c>
      <c r="H46">
        <v>22.766647338867188</v>
      </c>
      <c r="I46">
        <v>6.6602811217308044E-2</v>
      </c>
      <c r="J46">
        <v>50000</v>
      </c>
      <c r="K46" t="s">
        <v>24</v>
      </c>
      <c r="L46" t="s">
        <v>24</v>
      </c>
      <c r="M46" t="b">
        <v>0</v>
      </c>
      <c r="N46">
        <v>2</v>
      </c>
      <c r="O46" t="b">
        <v>1</v>
      </c>
      <c r="P46">
        <v>3</v>
      </c>
      <c r="Q46">
        <v>15</v>
      </c>
      <c r="R46">
        <v>85.390151977539062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</row>
    <row r="47" spans="1:23">
      <c r="A47" t="s">
        <v>83</v>
      </c>
      <c r="B47" t="s">
        <v>84</v>
      </c>
      <c r="C47" t="s">
        <v>25</v>
      </c>
      <c r="D47" t="s">
        <v>33</v>
      </c>
      <c r="E47" t="s">
        <v>27</v>
      </c>
      <c r="F47" t="s">
        <v>28</v>
      </c>
      <c r="G47">
        <v>21.717388153076172</v>
      </c>
      <c r="H47">
        <v>20.271762847900391</v>
      </c>
      <c r="I47">
        <v>2.0444216728210449</v>
      </c>
      <c r="J47">
        <v>87323.1171875</v>
      </c>
      <c r="K47">
        <v>264493.9375</v>
      </c>
      <c r="L47">
        <v>250557.390625</v>
      </c>
      <c r="M47" t="b">
        <v>0</v>
      </c>
      <c r="N47">
        <v>2</v>
      </c>
      <c r="O47" t="b">
        <v>1</v>
      </c>
      <c r="P47">
        <v>3</v>
      </c>
      <c r="Q47">
        <v>11</v>
      </c>
      <c r="R47">
        <v>85.390151977539062</v>
      </c>
      <c r="S47" t="s">
        <v>24</v>
      </c>
      <c r="T47" t="s">
        <v>24</v>
      </c>
      <c r="U47" t="s">
        <v>24</v>
      </c>
      <c r="V47" t="s">
        <v>114</v>
      </c>
      <c r="W47" t="s">
        <v>29</v>
      </c>
    </row>
    <row r="48" spans="1:23">
      <c r="A48" t="s">
        <v>85</v>
      </c>
      <c r="B48" t="s">
        <v>84</v>
      </c>
      <c r="C48" t="s">
        <v>25</v>
      </c>
      <c r="D48" t="s">
        <v>33</v>
      </c>
      <c r="E48" t="s">
        <v>27</v>
      </c>
      <c r="F48" t="s">
        <v>28</v>
      </c>
      <c r="G48">
        <v>18.826139450073242</v>
      </c>
      <c r="H48">
        <v>20.271762847900391</v>
      </c>
      <c r="I48">
        <v>2.0444216728210449</v>
      </c>
      <c r="J48">
        <v>441664.78125</v>
      </c>
      <c r="K48">
        <v>264493.9375</v>
      </c>
      <c r="L48">
        <v>250557.390625</v>
      </c>
      <c r="M48" t="b">
        <v>0</v>
      </c>
      <c r="N48">
        <v>2</v>
      </c>
      <c r="O48" t="b">
        <v>1</v>
      </c>
      <c r="P48">
        <v>3</v>
      </c>
      <c r="Q48">
        <v>10</v>
      </c>
      <c r="R48">
        <v>85.581283569335938</v>
      </c>
      <c r="S48" t="s">
        <v>24</v>
      </c>
      <c r="T48" t="s">
        <v>24</v>
      </c>
      <c r="U48" t="s">
        <v>24</v>
      </c>
      <c r="V48" t="s">
        <v>114</v>
      </c>
      <c r="W48" t="s">
        <v>29</v>
      </c>
    </row>
    <row r="49" spans="1:23">
      <c r="A49" t="s">
        <v>86</v>
      </c>
      <c r="B49" t="s">
        <v>87</v>
      </c>
      <c r="C49" t="s">
        <v>25</v>
      </c>
      <c r="D49" t="s">
        <v>33</v>
      </c>
      <c r="E49" t="s">
        <v>27</v>
      </c>
      <c r="F49" t="s">
        <v>28</v>
      </c>
      <c r="G49">
        <v>16.04327392578125</v>
      </c>
      <c r="H49">
        <v>15.962497711181641</v>
      </c>
      <c r="I49">
        <v>0.11423549056053162</v>
      </c>
      <c r="J49">
        <v>2102166.5</v>
      </c>
      <c r="K49">
        <v>2201810</v>
      </c>
      <c r="L49">
        <v>140917.359375</v>
      </c>
      <c r="M49" t="b">
        <v>0</v>
      </c>
      <c r="N49">
        <v>2</v>
      </c>
      <c r="O49" t="b">
        <v>1</v>
      </c>
      <c r="P49">
        <v>3</v>
      </c>
      <c r="Q49">
        <v>8</v>
      </c>
      <c r="R49">
        <v>85.390151977539062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</row>
    <row r="50" spans="1:23">
      <c r="A50" t="s">
        <v>88</v>
      </c>
      <c r="B50" t="s">
        <v>87</v>
      </c>
      <c r="C50" t="s">
        <v>25</v>
      </c>
      <c r="D50" t="s">
        <v>33</v>
      </c>
      <c r="E50" t="s">
        <v>27</v>
      </c>
      <c r="F50" t="s">
        <v>28</v>
      </c>
      <c r="G50">
        <v>15.881720542907715</v>
      </c>
      <c r="H50">
        <v>15.962497711181641</v>
      </c>
      <c r="I50">
        <v>0.11423549056053162</v>
      </c>
      <c r="J50">
        <v>2301453.75</v>
      </c>
      <c r="K50">
        <v>2201810</v>
      </c>
      <c r="L50">
        <v>140917.359375</v>
      </c>
      <c r="M50" t="b">
        <v>0</v>
      </c>
      <c r="N50">
        <v>2</v>
      </c>
      <c r="O50" t="b">
        <v>1</v>
      </c>
      <c r="P50">
        <v>3</v>
      </c>
      <c r="Q50">
        <v>8</v>
      </c>
      <c r="R50">
        <v>85.199020385742188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</row>
    <row r="51" spans="1:23">
      <c r="A51" t="s">
        <v>89</v>
      </c>
      <c r="B51" t="s">
        <v>90</v>
      </c>
      <c r="C51" t="s">
        <v>25</v>
      </c>
      <c r="D51" t="s">
        <v>33</v>
      </c>
      <c r="E51" t="s">
        <v>27</v>
      </c>
      <c r="F51" t="s">
        <v>28</v>
      </c>
      <c r="G51">
        <v>18.506010055541992</v>
      </c>
      <c r="H51">
        <v>19.219108581542969</v>
      </c>
      <c r="I51">
        <v>1.0084736347198486</v>
      </c>
      <c r="J51">
        <v>528491.6875</v>
      </c>
      <c r="K51">
        <v>383029.46875</v>
      </c>
      <c r="L51">
        <v>205714.65625</v>
      </c>
      <c r="M51" t="b">
        <v>0</v>
      </c>
      <c r="N51">
        <v>2</v>
      </c>
      <c r="O51" t="b">
        <v>1</v>
      </c>
      <c r="P51">
        <v>3</v>
      </c>
      <c r="Q51">
        <v>9</v>
      </c>
      <c r="R51">
        <v>85.199020385742188</v>
      </c>
      <c r="S51" t="s">
        <v>24</v>
      </c>
      <c r="T51" t="s">
        <v>24</v>
      </c>
      <c r="U51" t="s">
        <v>24</v>
      </c>
      <c r="V51" t="s">
        <v>114</v>
      </c>
      <c r="W51" t="s">
        <v>29</v>
      </c>
    </row>
    <row r="52" spans="1:23">
      <c r="A52" t="s">
        <v>91</v>
      </c>
      <c r="B52" t="s">
        <v>90</v>
      </c>
      <c r="C52" t="s">
        <v>25</v>
      </c>
      <c r="D52" t="s">
        <v>33</v>
      </c>
      <c r="E52" t="s">
        <v>27</v>
      </c>
      <c r="F52" t="s">
        <v>28</v>
      </c>
      <c r="G52">
        <v>19.932207107543945</v>
      </c>
      <c r="H52">
        <v>19.219108581542969</v>
      </c>
      <c r="I52">
        <v>1.0084736347198486</v>
      </c>
      <c r="J52">
        <v>237567.234375</v>
      </c>
      <c r="K52">
        <v>383029.46875</v>
      </c>
      <c r="L52">
        <v>205714.65625</v>
      </c>
      <c r="M52" t="b">
        <v>0</v>
      </c>
      <c r="N52">
        <v>2</v>
      </c>
      <c r="O52" t="b">
        <v>1</v>
      </c>
      <c r="P52">
        <v>3</v>
      </c>
      <c r="Q52">
        <v>11</v>
      </c>
      <c r="R52">
        <v>85.007888793945312</v>
      </c>
      <c r="S52" t="s">
        <v>24</v>
      </c>
      <c r="T52" t="s">
        <v>24</v>
      </c>
      <c r="U52" t="s">
        <v>24</v>
      </c>
      <c r="V52" t="s">
        <v>114</v>
      </c>
      <c r="W52" t="s">
        <v>29</v>
      </c>
    </row>
    <row r="53" spans="1:23">
      <c r="A53" t="s">
        <v>92</v>
      </c>
      <c r="B53" t="s">
        <v>93</v>
      </c>
      <c r="C53" t="s">
        <v>25</v>
      </c>
      <c r="D53" t="s">
        <v>33</v>
      </c>
      <c r="E53" t="s">
        <v>27</v>
      </c>
      <c r="F53" t="s">
        <v>28</v>
      </c>
      <c r="G53">
        <v>21.294546127319336</v>
      </c>
      <c r="H53">
        <v>29.916492462158203</v>
      </c>
      <c r="I53">
        <v>12.193271636962891</v>
      </c>
      <c r="J53">
        <v>110683.5625</v>
      </c>
      <c r="K53">
        <v>55345.28515625</v>
      </c>
      <c r="L53">
        <v>78260.140625</v>
      </c>
      <c r="M53" t="b">
        <v>0</v>
      </c>
      <c r="N53">
        <v>2</v>
      </c>
      <c r="O53" t="b">
        <v>1</v>
      </c>
      <c r="P53">
        <v>3</v>
      </c>
      <c r="Q53">
        <v>12</v>
      </c>
      <c r="R53">
        <v>84.243354797363281</v>
      </c>
      <c r="S53" t="s">
        <v>24</v>
      </c>
      <c r="T53" t="s">
        <v>24</v>
      </c>
      <c r="U53" t="s">
        <v>24</v>
      </c>
      <c r="V53" t="s">
        <v>114</v>
      </c>
      <c r="W53" t="s">
        <v>29</v>
      </c>
    </row>
    <row r="54" spans="1:23">
      <c r="A54" t="s">
        <v>94</v>
      </c>
      <c r="B54" t="s">
        <v>93</v>
      </c>
      <c r="C54" t="s">
        <v>25</v>
      </c>
      <c r="D54" t="s">
        <v>33</v>
      </c>
      <c r="E54" t="s">
        <v>27</v>
      </c>
      <c r="F54" t="s">
        <v>28</v>
      </c>
      <c r="G54">
        <v>38.538436889648438</v>
      </c>
      <c r="H54">
        <v>29.916492462158203</v>
      </c>
      <c r="I54">
        <v>12.193271636962891</v>
      </c>
      <c r="J54">
        <v>7.0069141387939453</v>
      </c>
      <c r="K54">
        <v>55345.28515625</v>
      </c>
      <c r="L54">
        <v>78260.140625</v>
      </c>
      <c r="M54" t="b">
        <v>0</v>
      </c>
      <c r="N54">
        <v>2</v>
      </c>
      <c r="O54" t="b">
        <v>1</v>
      </c>
      <c r="P54">
        <v>3</v>
      </c>
      <c r="Q54">
        <v>22</v>
      </c>
      <c r="R54">
        <v>78.70050048828125</v>
      </c>
      <c r="S54" t="s">
        <v>24</v>
      </c>
      <c r="T54" t="s">
        <v>24</v>
      </c>
      <c r="U54" t="s">
        <v>24</v>
      </c>
      <c r="V54" t="s">
        <v>114</v>
      </c>
      <c r="W54" t="s">
        <v>29</v>
      </c>
    </row>
    <row r="55" spans="1:23">
      <c r="A55" t="s">
        <v>95</v>
      </c>
      <c r="B55" t="s">
        <v>96</v>
      </c>
      <c r="C55" t="s">
        <v>25</v>
      </c>
      <c r="D55" t="s">
        <v>33</v>
      </c>
      <c r="E55" t="s">
        <v>27</v>
      </c>
      <c r="F55" t="s">
        <v>28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b">
        <v>0</v>
      </c>
      <c r="N55">
        <v>2</v>
      </c>
      <c r="O55" t="b">
        <v>1</v>
      </c>
      <c r="P55">
        <v>3</v>
      </c>
      <c r="Q55">
        <v>34</v>
      </c>
      <c r="R55" t="s">
        <v>24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</row>
    <row r="56" spans="1:23">
      <c r="A56" t="s">
        <v>97</v>
      </c>
      <c r="B56" t="s">
        <v>96</v>
      </c>
      <c r="C56" t="s">
        <v>25</v>
      </c>
      <c r="D56" t="s">
        <v>33</v>
      </c>
      <c r="E56" t="s">
        <v>27</v>
      </c>
      <c r="F56" t="s">
        <v>28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b">
        <v>0</v>
      </c>
      <c r="N56">
        <v>2</v>
      </c>
      <c r="O56" t="b">
        <v>1</v>
      </c>
      <c r="P56">
        <v>3</v>
      </c>
      <c r="Q56">
        <v>44</v>
      </c>
      <c r="R56" t="s">
        <v>24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</row>
    <row r="57" spans="1:23">
      <c r="A57" t="s">
        <v>98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>
        <v>26.986949920654297</v>
      </c>
      <c r="H57">
        <v>26.813770294189453</v>
      </c>
      <c r="I57">
        <v>0.24491432309150696</v>
      </c>
      <c r="J57">
        <v>5000</v>
      </c>
      <c r="K57" t="s">
        <v>24</v>
      </c>
      <c r="L57" t="s">
        <v>24</v>
      </c>
      <c r="M57" t="b">
        <v>0</v>
      </c>
      <c r="N57">
        <v>2</v>
      </c>
      <c r="O57" t="b">
        <v>1</v>
      </c>
      <c r="P57">
        <v>3</v>
      </c>
      <c r="Q57">
        <v>19</v>
      </c>
      <c r="R57">
        <v>85.199020385742188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</row>
    <row r="58" spans="1:23">
      <c r="A58" t="s">
        <v>99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>
        <v>26.640588760375977</v>
      </c>
      <c r="H58">
        <v>26.813770294189453</v>
      </c>
      <c r="I58">
        <v>0.24491432309150696</v>
      </c>
      <c r="J58">
        <v>5000</v>
      </c>
      <c r="K58" t="s">
        <v>24</v>
      </c>
      <c r="L58" t="s">
        <v>24</v>
      </c>
      <c r="M58" t="b">
        <v>0</v>
      </c>
      <c r="N58">
        <v>2</v>
      </c>
      <c r="O58" t="b">
        <v>1</v>
      </c>
      <c r="P58">
        <v>3</v>
      </c>
      <c r="Q58">
        <v>18</v>
      </c>
      <c r="R58">
        <v>85.199020385742188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</row>
    <row r="59" spans="1:23">
      <c r="A59" t="s">
        <v>100</v>
      </c>
      <c r="B59" t="s">
        <v>101</v>
      </c>
      <c r="C59" t="s">
        <v>25</v>
      </c>
      <c r="D59" t="s">
        <v>33</v>
      </c>
      <c r="E59" t="s">
        <v>27</v>
      </c>
      <c r="F59" t="s">
        <v>28</v>
      </c>
      <c r="G59">
        <v>17.059213638305664</v>
      </c>
      <c r="H59">
        <v>17.011329650878906</v>
      </c>
      <c r="I59">
        <v>6.7716836929321289E-2</v>
      </c>
      <c r="J59">
        <v>1189338</v>
      </c>
      <c r="K59">
        <v>1222138.25</v>
      </c>
      <c r="L59">
        <v>46386.6484375</v>
      </c>
      <c r="M59" t="b">
        <v>0</v>
      </c>
      <c r="N59">
        <v>2</v>
      </c>
      <c r="O59" t="b">
        <v>1</v>
      </c>
      <c r="P59">
        <v>3</v>
      </c>
      <c r="Q59">
        <v>9</v>
      </c>
      <c r="R59">
        <v>85.390151977539062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</row>
    <row r="60" spans="1:23">
      <c r="A60" t="s">
        <v>102</v>
      </c>
      <c r="B60" t="s">
        <v>101</v>
      </c>
      <c r="C60" t="s">
        <v>25</v>
      </c>
      <c r="D60" t="s">
        <v>33</v>
      </c>
      <c r="E60" t="s">
        <v>27</v>
      </c>
      <c r="F60" t="s">
        <v>28</v>
      </c>
      <c r="G60">
        <v>16.963447570800781</v>
      </c>
      <c r="H60">
        <v>17.011329650878906</v>
      </c>
      <c r="I60">
        <v>6.7716836929321289E-2</v>
      </c>
      <c r="J60">
        <v>1254938.625</v>
      </c>
      <c r="K60">
        <v>1222138.25</v>
      </c>
      <c r="L60">
        <v>46386.6484375</v>
      </c>
      <c r="M60" t="b">
        <v>0</v>
      </c>
      <c r="N60">
        <v>2</v>
      </c>
      <c r="O60" t="b">
        <v>1</v>
      </c>
      <c r="P60">
        <v>3</v>
      </c>
      <c r="Q60">
        <v>9</v>
      </c>
      <c r="R60">
        <v>85.581283569335938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</row>
    <row r="61" spans="1:23">
      <c r="A61" t="s">
        <v>103</v>
      </c>
      <c r="B61" t="s">
        <v>104</v>
      </c>
      <c r="C61" t="s">
        <v>25</v>
      </c>
      <c r="D61" t="s">
        <v>33</v>
      </c>
      <c r="E61" t="s">
        <v>27</v>
      </c>
      <c r="F61" t="s">
        <v>28</v>
      </c>
      <c r="G61">
        <v>16.082122802734375</v>
      </c>
      <c r="H61">
        <v>16.087589263916016</v>
      </c>
      <c r="I61">
        <v>7.7307433821260929E-3</v>
      </c>
      <c r="J61">
        <v>2056876.25</v>
      </c>
      <c r="K61">
        <v>2050591.75</v>
      </c>
      <c r="L61">
        <v>8887.537109375</v>
      </c>
      <c r="M61" t="b">
        <v>0</v>
      </c>
      <c r="N61">
        <v>2</v>
      </c>
      <c r="O61" t="b">
        <v>1</v>
      </c>
      <c r="P61">
        <v>3</v>
      </c>
      <c r="Q61">
        <v>8</v>
      </c>
      <c r="R61">
        <v>85.390151977539062</v>
      </c>
      <c r="S61" t="s">
        <v>24</v>
      </c>
      <c r="T61" t="s">
        <v>24</v>
      </c>
      <c r="U61" t="s">
        <v>24</v>
      </c>
      <c r="V61" t="s">
        <v>29</v>
      </c>
      <c r="W61" t="s">
        <v>29</v>
      </c>
    </row>
    <row r="62" spans="1:23">
      <c r="A62" t="s">
        <v>105</v>
      </c>
      <c r="B62" t="s">
        <v>104</v>
      </c>
      <c r="C62" t="s">
        <v>25</v>
      </c>
      <c r="D62" t="s">
        <v>33</v>
      </c>
      <c r="E62" t="s">
        <v>27</v>
      </c>
      <c r="F62" t="s">
        <v>28</v>
      </c>
      <c r="G62">
        <v>16.093055725097656</v>
      </c>
      <c r="H62">
        <v>16.087589263916016</v>
      </c>
      <c r="I62">
        <v>7.7307433821260929E-3</v>
      </c>
      <c r="J62">
        <v>2044307.375</v>
      </c>
      <c r="K62">
        <v>2050591.75</v>
      </c>
      <c r="L62">
        <v>8887.537109375</v>
      </c>
      <c r="M62" t="b">
        <v>0</v>
      </c>
      <c r="N62">
        <v>2</v>
      </c>
      <c r="O62" t="b">
        <v>1</v>
      </c>
      <c r="P62">
        <v>3</v>
      </c>
      <c r="Q62">
        <v>8</v>
      </c>
      <c r="R62">
        <v>85.199020385742188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</row>
    <row r="63" spans="1:23">
      <c r="A63" t="s">
        <v>106</v>
      </c>
      <c r="B63" t="s">
        <v>107</v>
      </c>
      <c r="C63" t="s">
        <v>25</v>
      </c>
      <c r="D63" t="s">
        <v>33</v>
      </c>
      <c r="E63" t="s">
        <v>27</v>
      </c>
      <c r="F63" t="s">
        <v>28</v>
      </c>
      <c r="G63">
        <v>17.435688018798828</v>
      </c>
      <c r="H63">
        <v>17.186309814453125</v>
      </c>
      <c r="I63">
        <v>0.35267403721809387</v>
      </c>
      <c r="J63">
        <v>963032.625</v>
      </c>
      <c r="K63">
        <v>1118383.125</v>
      </c>
      <c r="L63">
        <v>219698.78125</v>
      </c>
      <c r="M63" t="b">
        <v>0</v>
      </c>
      <c r="N63">
        <v>2</v>
      </c>
      <c r="O63" t="b">
        <v>1</v>
      </c>
      <c r="P63">
        <v>3</v>
      </c>
      <c r="Q63">
        <v>7</v>
      </c>
      <c r="R63">
        <v>85.390151977539062</v>
      </c>
      <c r="S63" t="s">
        <v>24</v>
      </c>
      <c r="T63" t="s">
        <v>24</v>
      </c>
      <c r="U63" t="s">
        <v>24</v>
      </c>
      <c r="V63" t="s">
        <v>29</v>
      </c>
      <c r="W63" t="s">
        <v>29</v>
      </c>
    </row>
    <row r="64" spans="1:23">
      <c r="A64" t="s">
        <v>108</v>
      </c>
      <c r="B64" t="s">
        <v>107</v>
      </c>
      <c r="C64" t="s">
        <v>25</v>
      </c>
      <c r="D64" t="s">
        <v>33</v>
      </c>
      <c r="E64" t="s">
        <v>27</v>
      </c>
      <c r="F64" t="s">
        <v>28</v>
      </c>
      <c r="G64">
        <v>16.936931610107422</v>
      </c>
      <c r="H64">
        <v>17.186309814453125</v>
      </c>
      <c r="I64">
        <v>0.35267403721809387</v>
      </c>
      <c r="J64">
        <v>1273733.625</v>
      </c>
      <c r="K64">
        <v>1118383.125</v>
      </c>
      <c r="L64">
        <v>219698.78125</v>
      </c>
      <c r="M64" t="b">
        <v>0</v>
      </c>
      <c r="N64">
        <v>2</v>
      </c>
      <c r="O64" t="b">
        <v>1</v>
      </c>
      <c r="P64">
        <v>3</v>
      </c>
      <c r="Q64">
        <v>8</v>
      </c>
      <c r="R64">
        <v>85.199020385742188</v>
      </c>
      <c r="S64" t="s">
        <v>24</v>
      </c>
      <c r="T64" t="s">
        <v>24</v>
      </c>
      <c r="U64" t="s">
        <v>24</v>
      </c>
      <c r="V64" t="s">
        <v>29</v>
      </c>
      <c r="W64" t="s">
        <v>29</v>
      </c>
    </row>
    <row r="65" spans="1:23">
      <c r="A65" t="s">
        <v>109</v>
      </c>
      <c r="B65" t="s">
        <v>110</v>
      </c>
      <c r="C65" t="s">
        <v>25</v>
      </c>
      <c r="D65" t="s">
        <v>33</v>
      </c>
      <c r="E65" t="s">
        <v>27</v>
      </c>
      <c r="F65" t="s">
        <v>28</v>
      </c>
      <c r="G65">
        <v>20.51093864440918</v>
      </c>
      <c r="H65">
        <v>20.528861999511719</v>
      </c>
      <c r="I65">
        <v>2.5346104055643082E-2</v>
      </c>
      <c r="J65">
        <v>171742</v>
      </c>
      <c r="K65">
        <v>170033.5625</v>
      </c>
      <c r="L65">
        <v>2416.08447265625</v>
      </c>
      <c r="M65" t="b">
        <v>0</v>
      </c>
      <c r="N65">
        <v>2</v>
      </c>
      <c r="O65" t="b">
        <v>1</v>
      </c>
      <c r="P65">
        <v>3</v>
      </c>
      <c r="Q65">
        <v>11</v>
      </c>
      <c r="R65">
        <v>84.434486389160156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</row>
    <row r="66" spans="1:23">
      <c r="A66" t="s">
        <v>111</v>
      </c>
      <c r="B66" t="s">
        <v>110</v>
      </c>
      <c r="C66" t="s">
        <v>25</v>
      </c>
      <c r="D66" t="s">
        <v>33</v>
      </c>
      <c r="E66" t="s">
        <v>27</v>
      </c>
      <c r="F66" t="s">
        <v>28</v>
      </c>
      <c r="G66">
        <v>20.546783447265625</v>
      </c>
      <c r="H66">
        <v>20.528861999511719</v>
      </c>
      <c r="I66">
        <v>2.5346104055643082E-2</v>
      </c>
      <c r="J66">
        <v>168325.140625</v>
      </c>
      <c r="K66">
        <v>170033.5625</v>
      </c>
      <c r="L66">
        <v>2416.08447265625</v>
      </c>
      <c r="M66" t="b">
        <v>0</v>
      </c>
      <c r="N66">
        <v>2</v>
      </c>
      <c r="O66" t="b">
        <v>1</v>
      </c>
      <c r="P66">
        <v>3</v>
      </c>
      <c r="Q66">
        <v>12</v>
      </c>
      <c r="R66">
        <v>84.434486389160156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</row>
    <row r="67" spans="1:23">
      <c r="A67" t="s">
        <v>112</v>
      </c>
      <c r="B67" t="s">
        <v>113</v>
      </c>
      <c r="C67" t="s">
        <v>25</v>
      </c>
      <c r="D67" t="s">
        <v>33</v>
      </c>
      <c r="E67" t="s">
        <v>27</v>
      </c>
      <c r="F67" t="s">
        <v>28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b">
        <v>0</v>
      </c>
      <c r="N67">
        <v>2</v>
      </c>
      <c r="O67" t="b">
        <v>1</v>
      </c>
      <c r="P67">
        <v>3</v>
      </c>
      <c r="Q67">
        <v>35</v>
      </c>
      <c r="R67" t="s">
        <v>24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</row>
    <row r="68" spans="1:23">
      <c r="A68" t="s">
        <v>115</v>
      </c>
      <c r="B68" t="s">
        <v>113</v>
      </c>
      <c r="C68" t="s">
        <v>25</v>
      </c>
      <c r="D68" t="s">
        <v>33</v>
      </c>
      <c r="E68" t="s">
        <v>27</v>
      </c>
      <c r="F68" t="s">
        <v>28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b">
        <v>0</v>
      </c>
      <c r="N68">
        <v>2</v>
      </c>
      <c r="O68" t="b">
        <v>1</v>
      </c>
      <c r="P68">
        <v>3</v>
      </c>
      <c r="Q68">
        <v>49</v>
      </c>
      <c r="R68" t="s">
        <v>24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</row>
    <row r="69" spans="1:23">
      <c r="A69" t="s">
        <v>116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b">
        <v>0</v>
      </c>
      <c r="N69">
        <v>2</v>
      </c>
      <c r="O69" t="b">
        <v>1</v>
      </c>
      <c r="P69">
        <v>3</v>
      </c>
      <c r="Q69">
        <v>27</v>
      </c>
      <c r="R69" t="s">
        <v>24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</row>
    <row r="70" spans="1:23">
      <c r="A70" t="s">
        <v>117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>
        <v>30.857166290283203</v>
      </c>
      <c r="H70">
        <v>30.857166290283203</v>
      </c>
      <c r="I70" t="s">
        <v>24</v>
      </c>
      <c r="J70">
        <v>500</v>
      </c>
      <c r="K70" t="s">
        <v>24</v>
      </c>
      <c r="L70" t="s">
        <v>24</v>
      </c>
      <c r="M70" t="b">
        <v>0</v>
      </c>
      <c r="N70">
        <v>2</v>
      </c>
      <c r="O70" t="b">
        <v>1</v>
      </c>
      <c r="P70">
        <v>3</v>
      </c>
      <c r="Q70">
        <v>23</v>
      </c>
      <c r="R70">
        <v>85.199020385742188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</row>
    <row r="71" spans="1:23">
      <c r="A71" t="s">
        <v>118</v>
      </c>
      <c r="B71" t="s">
        <v>119</v>
      </c>
      <c r="C71" t="s">
        <v>25</v>
      </c>
      <c r="D71" t="s">
        <v>33</v>
      </c>
      <c r="E71" t="s">
        <v>27</v>
      </c>
      <c r="F71" t="s">
        <v>28</v>
      </c>
      <c r="G71">
        <v>18.728767395019531</v>
      </c>
      <c r="H71">
        <v>18.604743957519531</v>
      </c>
      <c r="I71">
        <v>0.17539428174495697</v>
      </c>
      <c r="J71">
        <v>466445.59375</v>
      </c>
      <c r="K71">
        <v>501241.5625</v>
      </c>
      <c r="L71">
        <v>49208.91015625</v>
      </c>
      <c r="M71" t="b">
        <v>0</v>
      </c>
      <c r="N71">
        <v>2</v>
      </c>
      <c r="O71" t="b">
        <v>1</v>
      </c>
      <c r="P71">
        <v>3</v>
      </c>
      <c r="Q71">
        <v>10</v>
      </c>
      <c r="R71">
        <v>85.390151977539062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</row>
    <row r="72" spans="1:23">
      <c r="A72" t="s">
        <v>120</v>
      </c>
      <c r="B72" t="s">
        <v>119</v>
      </c>
      <c r="C72" t="s">
        <v>25</v>
      </c>
      <c r="D72" t="s">
        <v>33</v>
      </c>
      <c r="E72" t="s">
        <v>27</v>
      </c>
      <c r="F72" t="s">
        <v>28</v>
      </c>
      <c r="G72">
        <v>18.480722427368164</v>
      </c>
      <c r="H72">
        <v>18.604743957519531</v>
      </c>
      <c r="I72">
        <v>0.17539428174495697</v>
      </c>
      <c r="J72">
        <v>536037.5</v>
      </c>
      <c r="K72">
        <v>501241.5625</v>
      </c>
      <c r="L72">
        <v>49208.91015625</v>
      </c>
      <c r="M72" t="b">
        <v>0</v>
      </c>
      <c r="N72">
        <v>2</v>
      </c>
      <c r="O72" t="b">
        <v>1</v>
      </c>
      <c r="P72">
        <v>3</v>
      </c>
      <c r="Q72">
        <v>11</v>
      </c>
      <c r="R72">
        <v>85.390151977539062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</row>
    <row r="73" spans="1:23">
      <c r="A73" t="s">
        <v>121</v>
      </c>
      <c r="B73" t="s">
        <v>122</v>
      </c>
      <c r="C73" t="s">
        <v>25</v>
      </c>
      <c r="D73" t="s">
        <v>33</v>
      </c>
      <c r="E73" t="s">
        <v>27</v>
      </c>
      <c r="F73" t="s">
        <v>28</v>
      </c>
      <c r="G73">
        <v>16.26673698425293</v>
      </c>
      <c r="H73">
        <v>16.228672027587891</v>
      </c>
      <c r="I73">
        <v>5.3831979632377625E-2</v>
      </c>
      <c r="J73">
        <v>1854633.625</v>
      </c>
      <c r="K73">
        <v>1895069.375</v>
      </c>
      <c r="L73">
        <v>57184.78515625</v>
      </c>
      <c r="M73" t="b">
        <v>0</v>
      </c>
      <c r="N73">
        <v>2</v>
      </c>
      <c r="O73" t="b">
        <v>1</v>
      </c>
      <c r="P73">
        <v>3</v>
      </c>
      <c r="Q73">
        <v>6</v>
      </c>
      <c r="R73">
        <v>85.390151977539062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</row>
    <row r="74" spans="1:23">
      <c r="A74" t="s">
        <v>123</v>
      </c>
      <c r="B74" t="s">
        <v>122</v>
      </c>
      <c r="C74" t="s">
        <v>25</v>
      </c>
      <c r="D74" t="s">
        <v>33</v>
      </c>
      <c r="E74" t="s">
        <v>27</v>
      </c>
      <c r="F74" t="s">
        <v>28</v>
      </c>
      <c r="G74">
        <v>16.190607070922852</v>
      </c>
      <c r="H74">
        <v>16.228672027587891</v>
      </c>
      <c r="I74">
        <v>5.3831979632377625E-2</v>
      </c>
      <c r="J74">
        <v>1935505.125</v>
      </c>
      <c r="K74">
        <v>1895069.375</v>
      </c>
      <c r="L74">
        <v>57184.78515625</v>
      </c>
      <c r="M74" t="b">
        <v>0</v>
      </c>
      <c r="N74">
        <v>2</v>
      </c>
      <c r="O74" t="b">
        <v>1</v>
      </c>
      <c r="P74">
        <v>3</v>
      </c>
      <c r="Q74">
        <v>9</v>
      </c>
      <c r="R74">
        <v>85.390151977539062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</row>
    <row r="75" spans="1:23">
      <c r="A75" t="s">
        <v>124</v>
      </c>
      <c r="B75" t="s">
        <v>125</v>
      </c>
      <c r="C75" t="s">
        <v>25</v>
      </c>
      <c r="D75" t="s">
        <v>33</v>
      </c>
      <c r="E75" t="s">
        <v>27</v>
      </c>
      <c r="F75" t="s">
        <v>28</v>
      </c>
      <c r="G75">
        <v>17.419628143310547</v>
      </c>
      <c r="H75">
        <v>17.136753082275391</v>
      </c>
      <c r="I75">
        <v>0.40004575252532959</v>
      </c>
      <c r="J75">
        <v>971742.6875</v>
      </c>
      <c r="K75">
        <v>1153093.625</v>
      </c>
      <c r="L75">
        <v>256469</v>
      </c>
      <c r="M75" t="b">
        <v>0</v>
      </c>
      <c r="N75">
        <v>2</v>
      </c>
      <c r="O75" t="b">
        <v>1</v>
      </c>
      <c r="P75">
        <v>3</v>
      </c>
      <c r="Q75">
        <v>8</v>
      </c>
      <c r="R75">
        <v>85.390151977539062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</row>
    <row r="76" spans="1:23">
      <c r="A76" t="s">
        <v>126</v>
      </c>
      <c r="B76" t="s">
        <v>125</v>
      </c>
      <c r="C76" t="s">
        <v>25</v>
      </c>
      <c r="D76" t="s">
        <v>33</v>
      </c>
      <c r="E76" t="s">
        <v>27</v>
      </c>
      <c r="F76" t="s">
        <v>28</v>
      </c>
      <c r="G76">
        <v>16.853878021240234</v>
      </c>
      <c r="H76">
        <v>17.136753082275391</v>
      </c>
      <c r="I76">
        <v>0.40004575252532959</v>
      </c>
      <c r="J76">
        <v>1334444.625</v>
      </c>
      <c r="K76">
        <v>1153093.625</v>
      </c>
      <c r="L76">
        <v>256469</v>
      </c>
      <c r="M76" t="b">
        <v>0</v>
      </c>
      <c r="N76">
        <v>2</v>
      </c>
      <c r="O76" t="b">
        <v>1</v>
      </c>
      <c r="P76">
        <v>3</v>
      </c>
      <c r="Q76">
        <v>9</v>
      </c>
      <c r="R76">
        <v>85.199020385742188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</row>
    <row r="77" spans="1:23">
      <c r="A77" t="s">
        <v>127</v>
      </c>
      <c r="B77" t="s">
        <v>128</v>
      </c>
      <c r="C77" t="s">
        <v>25</v>
      </c>
      <c r="D77" t="s">
        <v>33</v>
      </c>
      <c r="E77" t="s">
        <v>27</v>
      </c>
      <c r="F77" t="s">
        <v>28</v>
      </c>
      <c r="G77">
        <v>19.932903289794922</v>
      </c>
      <c r="H77">
        <v>20.068742752075195</v>
      </c>
      <c r="I77">
        <v>0.19210600852966309</v>
      </c>
      <c r="J77">
        <v>237474.53125</v>
      </c>
      <c r="K77">
        <v>220699.28125</v>
      </c>
      <c r="L77">
        <v>23723.775390625</v>
      </c>
      <c r="M77" t="b">
        <v>0</v>
      </c>
      <c r="N77">
        <v>2</v>
      </c>
      <c r="O77" t="b">
        <v>1</v>
      </c>
      <c r="P77">
        <v>3</v>
      </c>
      <c r="Q77">
        <v>12</v>
      </c>
      <c r="R77">
        <v>84.625617980957031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</row>
    <row r="78" spans="1:23">
      <c r="A78" t="s">
        <v>129</v>
      </c>
      <c r="B78" t="s">
        <v>128</v>
      </c>
      <c r="C78" t="s">
        <v>25</v>
      </c>
      <c r="D78" t="s">
        <v>33</v>
      </c>
      <c r="E78" t="s">
        <v>27</v>
      </c>
      <c r="F78" t="s">
        <v>28</v>
      </c>
      <c r="G78">
        <v>20.204582214355469</v>
      </c>
      <c r="H78">
        <v>20.068742752075195</v>
      </c>
      <c r="I78">
        <v>0.19210600852966309</v>
      </c>
      <c r="J78">
        <v>203924.046875</v>
      </c>
      <c r="K78">
        <v>220699.28125</v>
      </c>
      <c r="L78">
        <v>23723.775390625</v>
      </c>
      <c r="M78" t="b">
        <v>0</v>
      </c>
      <c r="N78">
        <v>2</v>
      </c>
      <c r="O78" t="b">
        <v>1</v>
      </c>
      <c r="P78">
        <v>3</v>
      </c>
      <c r="Q78">
        <v>12</v>
      </c>
      <c r="R78">
        <v>84.625617980957031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</row>
    <row r="79" spans="1:23">
      <c r="A79" t="s">
        <v>130</v>
      </c>
      <c r="B79" t="s">
        <v>131</v>
      </c>
      <c r="C79" t="s">
        <v>25</v>
      </c>
      <c r="D79" t="s">
        <v>33</v>
      </c>
      <c r="E79" t="s">
        <v>27</v>
      </c>
      <c r="F79" t="s">
        <v>28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b">
        <v>0</v>
      </c>
      <c r="N79">
        <v>2</v>
      </c>
      <c r="O79" t="b">
        <v>1</v>
      </c>
      <c r="P79">
        <v>3</v>
      </c>
      <c r="Q79">
        <v>11</v>
      </c>
      <c r="R79" t="s">
        <v>24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</row>
    <row r="80" spans="1:23">
      <c r="A80" t="s">
        <v>132</v>
      </c>
      <c r="B80" t="s">
        <v>131</v>
      </c>
      <c r="C80" t="s">
        <v>25</v>
      </c>
      <c r="D80" t="s">
        <v>33</v>
      </c>
      <c r="E80" t="s">
        <v>27</v>
      </c>
      <c r="F80" t="s">
        <v>28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b">
        <v>0</v>
      </c>
      <c r="N80">
        <v>2</v>
      </c>
      <c r="O80" t="b">
        <v>1</v>
      </c>
      <c r="P80">
        <v>3</v>
      </c>
      <c r="Q80">
        <v>8</v>
      </c>
      <c r="R80" t="s">
        <v>24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</row>
    <row r="81" spans="1:23">
      <c r="A81" t="s">
        <v>133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b">
        <v>0</v>
      </c>
      <c r="N81">
        <v>2</v>
      </c>
      <c r="O81" t="b">
        <v>1</v>
      </c>
      <c r="P81">
        <v>3</v>
      </c>
      <c r="Q81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</row>
    <row r="82" spans="1:23">
      <c r="A82" t="s">
        <v>134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b">
        <v>0</v>
      </c>
      <c r="N82">
        <v>2</v>
      </c>
      <c r="O82" t="b">
        <v>1</v>
      </c>
      <c r="P82">
        <v>3</v>
      </c>
      <c r="Q82">
        <v>23</v>
      </c>
      <c r="R82" t="s">
        <v>24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</row>
    <row r="83" spans="1:23">
      <c r="A83" t="s">
        <v>135</v>
      </c>
      <c r="B83" t="s">
        <v>136</v>
      </c>
      <c r="C83" t="s">
        <v>25</v>
      </c>
      <c r="D83" t="s">
        <v>33</v>
      </c>
      <c r="E83" t="s">
        <v>27</v>
      </c>
      <c r="F83" t="s">
        <v>28</v>
      </c>
      <c r="G83">
        <v>14.592730522155762</v>
      </c>
      <c r="H83">
        <v>14.477016448974609</v>
      </c>
      <c r="I83">
        <v>0.16364441812038422</v>
      </c>
      <c r="J83">
        <v>4740745</v>
      </c>
      <c r="K83">
        <v>5069136.5</v>
      </c>
      <c r="L83">
        <v>464415.71875</v>
      </c>
      <c r="M83" t="b">
        <v>0</v>
      </c>
      <c r="N83">
        <v>2</v>
      </c>
      <c r="O83" t="b">
        <v>1</v>
      </c>
      <c r="P83">
        <v>3</v>
      </c>
      <c r="Q83">
        <v>6</v>
      </c>
      <c r="R83">
        <v>85.199020385742188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</row>
    <row r="84" spans="1:23">
      <c r="A84" t="s">
        <v>137</v>
      </c>
      <c r="B84" t="s">
        <v>136</v>
      </c>
      <c r="C84" t="s">
        <v>25</v>
      </c>
      <c r="D84" t="s">
        <v>33</v>
      </c>
      <c r="E84" t="s">
        <v>27</v>
      </c>
      <c r="F84" t="s">
        <v>28</v>
      </c>
      <c r="G84">
        <v>14.361302375793457</v>
      </c>
      <c r="H84">
        <v>14.477016448974609</v>
      </c>
      <c r="I84">
        <v>0.16364441812038422</v>
      </c>
      <c r="J84">
        <v>5397528</v>
      </c>
      <c r="K84">
        <v>5069136.5</v>
      </c>
      <c r="L84">
        <v>464415.71875</v>
      </c>
      <c r="M84" t="b">
        <v>0</v>
      </c>
      <c r="N84">
        <v>2</v>
      </c>
      <c r="O84" t="b">
        <v>1</v>
      </c>
      <c r="P84">
        <v>3</v>
      </c>
      <c r="Q84">
        <v>6</v>
      </c>
      <c r="R84">
        <v>85.390151977539062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</row>
    <row r="85" spans="1:23">
      <c r="A85" t="s">
        <v>138</v>
      </c>
      <c r="B85" t="s">
        <v>139</v>
      </c>
      <c r="C85" t="s">
        <v>25</v>
      </c>
      <c r="D85" t="s">
        <v>33</v>
      </c>
      <c r="E85" t="s">
        <v>27</v>
      </c>
      <c r="F85" t="s">
        <v>28</v>
      </c>
      <c r="G85">
        <v>16.224842071533203</v>
      </c>
      <c r="H85">
        <v>16.210784912109375</v>
      </c>
      <c r="I85">
        <v>1.9881173968315125E-2</v>
      </c>
      <c r="J85">
        <v>1898710.5</v>
      </c>
      <c r="K85">
        <v>1913793.75</v>
      </c>
      <c r="L85">
        <v>21330.84765625</v>
      </c>
      <c r="M85" t="b">
        <v>0</v>
      </c>
      <c r="N85">
        <v>2</v>
      </c>
      <c r="O85" t="b">
        <v>1</v>
      </c>
      <c r="P85">
        <v>3</v>
      </c>
      <c r="Q85">
        <v>7</v>
      </c>
      <c r="R85">
        <v>85.199020385742188</v>
      </c>
      <c r="S85" t="s">
        <v>24</v>
      </c>
      <c r="T85" t="s">
        <v>24</v>
      </c>
      <c r="U85" t="s">
        <v>24</v>
      </c>
      <c r="V85" t="s">
        <v>29</v>
      </c>
      <c r="W85" t="s">
        <v>29</v>
      </c>
    </row>
    <row r="86" spans="1:23">
      <c r="A86" t="s">
        <v>140</v>
      </c>
      <c r="B86" t="s">
        <v>139</v>
      </c>
      <c r="C86" t="s">
        <v>25</v>
      </c>
      <c r="D86" t="s">
        <v>33</v>
      </c>
      <c r="E86" t="s">
        <v>27</v>
      </c>
      <c r="F86" t="s">
        <v>28</v>
      </c>
      <c r="G86">
        <v>16.196725845336914</v>
      </c>
      <c r="H86">
        <v>16.210784912109375</v>
      </c>
      <c r="I86">
        <v>1.9881173968315125E-2</v>
      </c>
      <c r="J86">
        <v>1928876.875</v>
      </c>
      <c r="K86">
        <v>1913793.75</v>
      </c>
      <c r="L86">
        <v>21330.84765625</v>
      </c>
      <c r="M86" t="b">
        <v>0</v>
      </c>
      <c r="N86">
        <v>2</v>
      </c>
      <c r="O86" t="b">
        <v>1</v>
      </c>
      <c r="P86">
        <v>3</v>
      </c>
      <c r="Q86">
        <v>8</v>
      </c>
      <c r="R86">
        <v>85.199020385742188</v>
      </c>
      <c r="S86" t="s">
        <v>24</v>
      </c>
      <c r="T86" t="s">
        <v>24</v>
      </c>
      <c r="U86" t="s">
        <v>24</v>
      </c>
      <c r="V86" t="s">
        <v>29</v>
      </c>
      <c r="W86" t="s">
        <v>29</v>
      </c>
    </row>
    <row r="87" spans="1:23">
      <c r="A87" t="s">
        <v>141</v>
      </c>
      <c r="B87" t="s">
        <v>142</v>
      </c>
      <c r="C87" t="s">
        <v>25</v>
      </c>
      <c r="D87" t="s">
        <v>33</v>
      </c>
      <c r="E87" t="s">
        <v>27</v>
      </c>
      <c r="F87" t="s">
        <v>28</v>
      </c>
      <c r="G87">
        <v>15.705697059631348</v>
      </c>
      <c r="H87">
        <v>15.805206298828125</v>
      </c>
      <c r="I87">
        <v>0.14072731137275696</v>
      </c>
      <c r="J87">
        <v>2540157.25</v>
      </c>
      <c r="K87">
        <v>2406065.75</v>
      </c>
      <c r="L87">
        <v>189634.015625</v>
      </c>
      <c r="M87" t="b">
        <v>0</v>
      </c>
      <c r="N87">
        <v>2</v>
      </c>
      <c r="O87" t="b">
        <v>1</v>
      </c>
      <c r="P87">
        <v>3</v>
      </c>
      <c r="Q87">
        <v>7</v>
      </c>
      <c r="R87">
        <v>85.390151977539062</v>
      </c>
      <c r="S87" t="s">
        <v>24</v>
      </c>
      <c r="T87" t="s">
        <v>24</v>
      </c>
      <c r="U87" t="s">
        <v>24</v>
      </c>
      <c r="V87" t="s">
        <v>29</v>
      </c>
      <c r="W87" t="s">
        <v>29</v>
      </c>
    </row>
    <row r="88" spans="1:23">
      <c r="A88" t="s">
        <v>143</v>
      </c>
      <c r="B88" t="s">
        <v>142</v>
      </c>
      <c r="C88" t="s">
        <v>25</v>
      </c>
      <c r="D88" t="s">
        <v>33</v>
      </c>
      <c r="E88" t="s">
        <v>27</v>
      </c>
      <c r="F88" t="s">
        <v>28</v>
      </c>
      <c r="G88">
        <v>15.904715538024902</v>
      </c>
      <c r="H88">
        <v>15.805206298828125</v>
      </c>
      <c r="I88">
        <v>0.14072731137275696</v>
      </c>
      <c r="J88">
        <v>2271974.25</v>
      </c>
      <c r="K88">
        <v>2406065.75</v>
      </c>
      <c r="L88">
        <v>189634.015625</v>
      </c>
      <c r="M88" t="b">
        <v>0</v>
      </c>
      <c r="N88">
        <v>2</v>
      </c>
      <c r="O88" t="b">
        <v>1</v>
      </c>
      <c r="P88">
        <v>3</v>
      </c>
      <c r="Q88">
        <v>8</v>
      </c>
      <c r="R88">
        <v>85.390151977539062</v>
      </c>
      <c r="S88" t="s">
        <v>24</v>
      </c>
      <c r="T88" t="s">
        <v>24</v>
      </c>
      <c r="U88" t="s">
        <v>24</v>
      </c>
      <c r="V88" t="s">
        <v>29</v>
      </c>
      <c r="W88" t="s">
        <v>29</v>
      </c>
    </row>
    <row r="89" spans="1:23">
      <c r="A89" t="s">
        <v>144</v>
      </c>
      <c r="B89" t="s">
        <v>145</v>
      </c>
      <c r="C89" t="s">
        <v>25</v>
      </c>
      <c r="D89" t="s">
        <v>33</v>
      </c>
      <c r="E89" t="s">
        <v>27</v>
      </c>
      <c r="F89" t="s">
        <v>28</v>
      </c>
      <c r="G89">
        <v>18.998350143432617</v>
      </c>
      <c r="H89">
        <v>19.206449508666992</v>
      </c>
      <c r="I89">
        <v>0.29429695010185242</v>
      </c>
      <c r="J89">
        <v>401017</v>
      </c>
      <c r="K89">
        <v>359288.71875</v>
      </c>
      <c r="L89">
        <v>59012.703125</v>
      </c>
      <c r="M89" t="b">
        <v>0</v>
      </c>
      <c r="N89">
        <v>2</v>
      </c>
      <c r="O89" t="b">
        <v>1</v>
      </c>
      <c r="P89">
        <v>3</v>
      </c>
      <c r="Q89">
        <v>10</v>
      </c>
      <c r="R89">
        <v>84.816757202148438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</row>
    <row r="90" spans="1:23">
      <c r="A90" t="s">
        <v>146</v>
      </c>
      <c r="B90" t="s">
        <v>145</v>
      </c>
      <c r="C90" t="s">
        <v>25</v>
      </c>
      <c r="D90" t="s">
        <v>33</v>
      </c>
      <c r="E90" t="s">
        <v>27</v>
      </c>
      <c r="F90" t="s">
        <v>28</v>
      </c>
      <c r="G90">
        <v>19.414548873901367</v>
      </c>
      <c r="H90">
        <v>19.206449508666992</v>
      </c>
      <c r="I90">
        <v>0.29429695010185242</v>
      </c>
      <c r="J90">
        <v>317560.4375</v>
      </c>
      <c r="K90">
        <v>359288.71875</v>
      </c>
      <c r="L90">
        <v>59012.703125</v>
      </c>
      <c r="M90" t="b">
        <v>0</v>
      </c>
      <c r="N90">
        <v>2</v>
      </c>
      <c r="O90" t="b">
        <v>1</v>
      </c>
      <c r="P90">
        <v>3</v>
      </c>
      <c r="Q90">
        <v>12</v>
      </c>
      <c r="R90">
        <v>84.625617980957031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</row>
    <row r="91" spans="1:23">
      <c r="A91" t="s">
        <v>147</v>
      </c>
      <c r="B91" t="s">
        <v>148</v>
      </c>
      <c r="C91" t="s">
        <v>25</v>
      </c>
      <c r="D91" t="s">
        <v>33</v>
      </c>
      <c r="E91" t="s">
        <v>27</v>
      </c>
      <c r="F91" t="s">
        <v>28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b">
        <v>0</v>
      </c>
      <c r="N91">
        <v>2</v>
      </c>
      <c r="O91" t="b">
        <v>1</v>
      </c>
      <c r="P91">
        <v>3</v>
      </c>
      <c r="Q91">
        <v>12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</row>
    <row r="92" spans="1:23">
      <c r="A92" t="s">
        <v>149</v>
      </c>
      <c r="B92" t="s">
        <v>148</v>
      </c>
      <c r="C92" t="s">
        <v>25</v>
      </c>
      <c r="D92" t="s">
        <v>33</v>
      </c>
      <c r="E92" t="s">
        <v>27</v>
      </c>
      <c r="F92" t="s">
        <v>28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b">
        <v>0</v>
      </c>
      <c r="N92">
        <v>2</v>
      </c>
      <c r="O92" t="b">
        <v>1</v>
      </c>
      <c r="P92">
        <v>3</v>
      </c>
      <c r="Q92">
        <v>19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</row>
    <row r="93" spans="1:23">
      <c r="A93" t="s">
        <v>150</v>
      </c>
      <c r="B93" t="s">
        <v>24</v>
      </c>
      <c r="C93" t="s">
        <v>25</v>
      </c>
      <c r="D93" t="s">
        <v>151</v>
      </c>
      <c r="E93" t="s">
        <v>27</v>
      </c>
      <c r="F93" t="s">
        <v>28</v>
      </c>
      <c r="G93">
        <v>37.973739624023438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b">
        <v>0</v>
      </c>
      <c r="N93">
        <v>2</v>
      </c>
      <c r="O93" t="b">
        <v>1</v>
      </c>
      <c r="P93">
        <v>3</v>
      </c>
      <c r="Q93">
        <v>30</v>
      </c>
      <c r="R93">
        <v>78.891632080078125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</row>
    <row r="94" spans="1:23">
      <c r="A94" t="s">
        <v>152</v>
      </c>
      <c r="B94" t="s">
        <v>24</v>
      </c>
      <c r="C94" t="s">
        <v>25</v>
      </c>
      <c r="D94" t="s">
        <v>151</v>
      </c>
      <c r="E94" t="s">
        <v>27</v>
      </c>
      <c r="F94" t="s">
        <v>28</v>
      </c>
      <c r="G94">
        <v>38.594490051269531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b">
        <v>0</v>
      </c>
      <c r="N94">
        <v>2</v>
      </c>
      <c r="O94" t="b">
        <v>1</v>
      </c>
      <c r="P94">
        <v>3</v>
      </c>
      <c r="Q94">
        <v>30</v>
      </c>
      <c r="R94">
        <v>79.273895263671875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</row>
    <row r="95" spans="1:23">
      <c r="A95" t="s">
        <v>153</v>
      </c>
      <c r="B95" t="s">
        <v>154</v>
      </c>
      <c r="C95" t="s">
        <v>25</v>
      </c>
      <c r="D95" t="s">
        <v>33</v>
      </c>
      <c r="E95" t="s">
        <v>27</v>
      </c>
      <c r="F95" t="s">
        <v>28</v>
      </c>
      <c r="G95">
        <v>16.567375183105469</v>
      </c>
      <c r="H95">
        <v>16.55512809753418</v>
      </c>
      <c r="I95">
        <v>1.7319994047284126E-2</v>
      </c>
      <c r="J95">
        <v>1566962.125</v>
      </c>
      <c r="K95">
        <v>1577795.375</v>
      </c>
      <c r="L95">
        <v>15320.529296875</v>
      </c>
      <c r="M95" t="b">
        <v>0</v>
      </c>
      <c r="N95">
        <v>2</v>
      </c>
      <c r="O95" t="b">
        <v>1</v>
      </c>
      <c r="P95">
        <v>3</v>
      </c>
      <c r="Q95">
        <v>9</v>
      </c>
      <c r="R95">
        <v>85.007888793945312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</row>
    <row r="96" spans="1:23">
      <c r="A96" t="s">
        <v>155</v>
      </c>
      <c r="B96" t="s">
        <v>154</v>
      </c>
      <c r="C96" t="s">
        <v>25</v>
      </c>
      <c r="D96" t="s">
        <v>33</v>
      </c>
      <c r="E96" t="s">
        <v>27</v>
      </c>
      <c r="F96" t="s">
        <v>28</v>
      </c>
      <c r="G96">
        <v>16.542881011962891</v>
      </c>
      <c r="H96">
        <v>16.55512809753418</v>
      </c>
      <c r="I96">
        <v>1.7319994047284126E-2</v>
      </c>
      <c r="J96">
        <v>1588628.625</v>
      </c>
      <c r="K96">
        <v>1577795.375</v>
      </c>
      <c r="L96">
        <v>15320.529296875</v>
      </c>
      <c r="M96" t="b">
        <v>0</v>
      </c>
      <c r="N96">
        <v>2</v>
      </c>
      <c r="O96" t="b">
        <v>1</v>
      </c>
      <c r="P96">
        <v>3</v>
      </c>
      <c r="Q96">
        <v>8</v>
      </c>
      <c r="R96">
        <v>85.007888793945312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</row>
    <row r="97" spans="1:23">
      <c r="A97" t="s">
        <v>156</v>
      </c>
      <c r="B97" t="s">
        <v>157</v>
      </c>
      <c r="C97" t="s">
        <v>25</v>
      </c>
      <c r="D97" t="s">
        <v>33</v>
      </c>
      <c r="E97" t="s">
        <v>27</v>
      </c>
      <c r="F97" t="s">
        <v>28</v>
      </c>
      <c r="G97">
        <v>16.525203704833984</v>
      </c>
      <c r="H97">
        <v>16.603042602539062</v>
      </c>
      <c r="I97">
        <v>0.11008217185735703</v>
      </c>
      <c r="J97">
        <v>1604451</v>
      </c>
      <c r="K97">
        <v>1537401.75</v>
      </c>
      <c r="L97">
        <v>94822.046875</v>
      </c>
      <c r="M97" t="b">
        <v>0</v>
      </c>
      <c r="N97">
        <v>2</v>
      </c>
      <c r="O97" t="b">
        <v>1</v>
      </c>
      <c r="P97">
        <v>3</v>
      </c>
      <c r="Q97">
        <v>8</v>
      </c>
      <c r="R97">
        <v>85.007888793945312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</row>
    <row r="98" spans="1:23">
      <c r="A98" t="s">
        <v>158</v>
      </c>
      <c r="B98" t="s">
        <v>157</v>
      </c>
      <c r="C98" t="s">
        <v>25</v>
      </c>
      <c r="D98" t="s">
        <v>33</v>
      </c>
      <c r="E98" t="s">
        <v>27</v>
      </c>
      <c r="F98" t="s">
        <v>28</v>
      </c>
      <c r="G98">
        <v>16.680883407592773</v>
      </c>
      <c r="H98">
        <v>16.603042602539062</v>
      </c>
      <c r="I98">
        <v>0.11008217185735703</v>
      </c>
      <c r="J98">
        <v>1470352.375</v>
      </c>
      <c r="K98">
        <v>1537401.75</v>
      </c>
      <c r="L98">
        <v>94822.046875</v>
      </c>
      <c r="M98" t="b">
        <v>0</v>
      </c>
      <c r="N98">
        <v>2</v>
      </c>
      <c r="O98" t="b">
        <v>1</v>
      </c>
      <c r="P98">
        <v>3</v>
      </c>
      <c r="Q98">
        <v>9</v>
      </c>
      <c r="R98">
        <v>85.199020385742188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</row>
    <row r="99" spans="1:23">
      <c r="A99" t="s">
        <v>159</v>
      </c>
      <c r="B99" t="s">
        <v>160</v>
      </c>
      <c r="C99" t="s">
        <v>25</v>
      </c>
      <c r="D99" t="s">
        <v>33</v>
      </c>
      <c r="E99" t="s">
        <v>27</v>
      </c>
      <c r="F99" t="s">
        <v>28</v>
      </c>
      <c r="G99">
        <v>16.890834808349609</v>
      </c>
      <c r="H99">
        <v>16.866165161132812</v>
      </c>
      <c r="I99">
        <v>3.4888148307800293E-2</v>
      </c>
      <c r="J99">
        <v>1307080.375</v>
      </c>
      <c r="K99">
        <v>1325410.5</v>
      </c>
      <c r="L99">
        <v>25922.798828125</v>
      </c>
      <c r="M99" t="b">
        <v>0</v>
      </c>
      <c r="N99">
        <v>2</v>
      </c>
      <c r="O99" t="b">
        <v>1</v>
      </c>
      <c r="P99">
        <v>3</v>
      </c>
      <c r="Q99">
        <v>8</v>
      </c>
      <c r="R99">
        <v>85.007888793945312</v>
      </c>
      <c r="S99" t="s">
        <v>24</v>
      </c>
      <c r="T99" t="s">
        <v>24</v>
      </c>
      <c r="U99" t="s">
        <v>24</v>
      </c>
      <c r="V99" t="s">
        <v>29</v>
      </c>
      <c r="W99" t="s">
        <v>29</v>
      </c>
    </row>
    <row r="100" spans="1:23">
      <c r="A100" t="s">
        <v>161</v>
      </c>
      <c r="B100" t="s">
        <v>160</v>
      </c>
      <c r="C100" t="s">
        <v>25</v>
      </c>
      <c r="D100" t="s">
        <v>33</v>
      </c>
      <c r="E100" t="s">
        <v>27</v>
      </c>
      <c r="F100" t="s">
        <v>28</v>
      </c>
      <c r="G100">
        <v>16.841495513916016</v>
      </c>
      <c r="H100">
        <v>16.866165161132812</v>
      </c>
      <c r="I100">
        <v>3.4888148307800293E-2</v>
      </c>
      <c r="J100">
        <v>1343740.75</v>
      </c>
      <c r="K100">
        <v>1325410.5</v>
      </c>
      <c r="L100">
        <v>25922.798828125</v>
      </c>
      <c r="M100" t="b">
        <v>0</v>
      </c>
      <c r="N100">
        <v>2</v>
      </c>
      <c r="O100" t="b">
        <v>1</v>
      </c>
      <c r="P100">
        <v>3</v>
      </c>
      <c r="Q100">
        <v>8</v>
      </c>
      <c r="R100">
        <v>84.816757202148438</v>
      </c>
      <c r="S100" t="s">
        <v>24</v>
      </c>
      <c r="T100" t="s">
        <v>24</v>
      </c>
      <c r="U100" t="s">
        <v>24</v>
      </c>
      <c r="V100" t="s">
        <v>29</v>
      </c>
      <c r="W100" t="s">
        <v>29</v>
      </c>
    </row>
    <row r="101" spans="1:23">
      <c r="A101" t="s">
        <v>162</v>
      </c>
      <c r="B101" t="s">
        <v>163</v>
      </c>
      <c r="C101" t="s">
        <v>25</v>
      </c>
      <c r="D101" t="s">
        <v>33</v>
      </c>
      <c r="E101" t="s">
        <v>27</v>
      </c>
      <c r="F101" t="s">
        <v>28</v>
      </c>
      <c r="G101">
        <v>35.009628295898438</v>
      </c>
      <c r="H101">
        <v>37.413684844970703</v>
      </c>
      <c r="I101">
        <v>3.3998494148254395</v>
      </c>
      <c r="J101">
        <v>50.666854858398438</v>
      </c>
      <c r="K101">
        <v>27.043485641479492</v>
      </c>
      <c r="L101">
        <v>33.408489227294922</v>
      </c>
      <c r="M101" t="b">
        <v>0</v>
      </c>
      <c r="N101">
        <v>2</v>
      </c>
      <c r="O101" t="b">
        <v>1</v>
      </c>
      <c r="P101">
        <v>3</v>
      </c>
      <c r="Q101">
        <v>23</v>
      </c>
      <c r="R101">
        <v>81.758621215820312</v>
      </c>
      <c r="S101" t="s">
        <v>24</v>
      </c>
      <c r="T101" t="s">
        <v>24</v>
      </c>
      <c r="U101" t="s">
        <v>24</v>
      </c>
      <c r="V101" t="s">
        <v>114</v>
      </c>
      <c r="W101" t="s">
        <v>29</v>
      </c>
    </row>
    <row r="102" spans="1:23">
      <c r="A102" t="s">
        <v>164</v>
      </c>
      <c r="B102" t="s">
        <v>163</v>
      </c>
      <c r="C102" t="s">
        <v>25</v>
      </c>
      <c r="D102" t="s">
        <v>33</v>
      </c>
      <c r="E102" t="s">
        <v>27</v>
      </c>
      <c r="F102" t="s">
        <v>28</v>
      </c>
      <c r="G102">
        <v>39.817741394042969</v>
      </c>
      <c r="H102">
        <v>37.413684844970703</v>
      </c>
      <c r="I102">
        <v>3.3998494148254395</v>
      </c>
      <c r="J102">
        <v>3.4201149940490723</v>
      </c>
      <c r="K102">
        <v>27.043485641479492</v>
      </c>
      <c r="L102">
        <v>33.408489227294922</v>
      </c>
      <c r="M102" t="b">
        <v>0</v>
      </c>
      <c r="N102">
        <v>2</v>
      </c>
      <c r="O102" t="b">
        <v>1</v>
      </c>
      <c r="P102">
        <v>3</v>
      </c>
      <c r="Q102">
        <v>29</v>
      </c>
      <c r="R102">
        <v>79.656158447265625</v>
      </c>
      <c r="S102" t="s">
        <v>24</v>
      </c>
      <c r="T102" t="s">
        <v>24</v>
      </c>
      <c r="U102" t="s">
        <v>24</v>
      </c>
      <c r="V102" t="s">
        <v>114</v>
      </c>
      <c r="W102" t="s">
        <v>29</v>
      </c>
    </row>
    <row r="103" spans="1:23">
      <c r="A103" t="s">
        <v>165</v>
      </c>
      <c r="B103" t="s">
        <v>166</v>
      </c>
      <c r="C103" t="s">
        <v>25</v>
      </c>
      <c r="D103" t="s">
        <v>33</v>
      </c>
      <c r="E103" t="s">
        <v>27</v>
      </c>
      <c r="F103" t="s">
        <v>28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b">
        <v>0</v>
      </c>
      <c r="N103">
        <v>2</v>
      </c>
      <c r="O103" t="b">
        <v>1</v>
      </c>
      <c r="P103">
        <v>3</v>
      </c>
      <c r="Q103">
        <v>10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  <c r="W103" t="s">
        <v>29</v>
      </c>
    </row>
    <row r="104" spans="1:23">
      <c r="A104" t="s">
        <v>167</v>
      </c>
      <c r="B104" t="s">
        <v>166</v>
      </c>
      <c r="C104" t="s">
        <v>25</v>
      </c>
      <c r="D104" t="s">
        <v>33</v>
      </c>
      <c r="E104" t="s">
        <v>27</v>
      </c>
      <c r="F104" t="s">
        <v>28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b">
        <v>0</v>
      </c>
      <c r="N104">
        <v>2</v>
      </c>
      <c r="O104" t="b">
        <v>1</v>
      </c>
      <c r="P104">
        <v>3</v>
      </c>
      <c r="Q104">
        <v>15</v>
      </c>
      <c r="R104" t="s">
        <v>24</v>
      </c>
      <c r="S104" t="s">
        <v>24</v>
      </c>
      <c r="T104" t="s">
        <v>24</v>
      </c>
      <c r="U104" t="s">
        <v>24</v>
      </c>
      <c r="V104" t="s">
        <v>29</v>
      </c>
      <c r="W104" t="s">
        <v>29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04"/>
  <sheetViews>
    <sheetView topLeftCell="A69" workbookViewId="0">
      <selection activeCell="A8" sqref="A8:K104"/>
    </sheetView>
  </sheetViews>
  <sheetFormatPr baseColWidth="10" defaultColWidth="9.1640625" defaultRowHeight="15"/>
  <cols>
    <col min="1" max="1" width="9.1640625" customWidth="1"/>
  </cols>
  <sheetData>
    <row r="1" spans="1:22">
      <c r="A1" t="s">
        <v>784</v>
      </c>
      <c r="B1" t="s">
        <v>785</v>
      </c>
    </row>
    <row r="2" spans="1:22">
      <c r="A2" t="s">
        <v>786</v>
      </c>
      <c r="B2" t="s">
        <v>787</v>
      </c>
    </row>
    <row r="3" spans="1:22">
      <c r="A3" t="s">
        <v>788</v>
      </c>
      <c r="B3" t="s">
        <v>808</v>
      </c>
    </row>
    <row r="4" spans="1:22">
      <c r="A4" t="s">
        <v>222</v>
      </c>
      <c r="B4" t="s">
        <v>809</v>
      </c>
    </row>
    <row r="5" spans="1:22">
      <c r="A5" t="s">
        <v>791</v>
      </c>
      <c r="B5" t="s">
        <v>792</v>
      </c>
    </row>
    <row r="6" spans="1:22">
      <c r="A6" t="s">
        <v>793</v>
      </c>
      <c r="B6" t="s">
        <v>794</v>
      </c>
    </row>
    <row r="8" spans="1:2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169</v>
      </c>
    </row>
    <row r="9" spans="1:22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11.133632659912109</v>
      </c>
      <c r="H9">
        <v>10.941085815429688</v>
      </c>
      <c r="I9">
        <v>0.27230167388916016</v>
      </c>
      <c r="J9">
        <v>50000000</v>
      </c>
      <c r="K9" t="s">
        <v>24</v>
      </c>
      <c r="L9" t="s">
        <v>24</v>
      </c>
      <c r="M9" t="b">
        <v>0</v>
      </c>
      <c r="N9">
        <v>2</v>
      </c>
      <c r="O9" t="b">
        <v>1</v>
      </c>
      <c r="P9">
        <v>1</v>
      </c>
      <c r="Q9">
        <v>2</v>
      </c>
      <c r="R9">
        <v>84.739898681640625</v>
      </c>
      <c r="S9" t="s">
        <v>24</v>
      </c>
      <c r="T9" t="s">
        <v>24</v>
      </c>
      <c r="U9" t="s">
        <v>24</v>
      </c>
      <c r="V9" t="s">
        <v>29</v>
      </c>
    </row>
    <row r="10" spans="1:22">
      <c r="A10" t="s">
        <v>30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10.748539924621582</v>
      </c>
      <c r="H10">
        <v>10.941085815429688</v>
      </c>
      <c r="I10">
        <v>0.27230167388916016</v>
      </c>
      <c r="J10">
        <v>50000000</v>
      </c>
      <c r="K10" t="s">
        <v>24</v>
      </c>
      <c r="L10" t="s">
        <v>24</v>
      </c>
      <c r="M10" t="b">
        <v>0</v>
      </c>
      <c r="N10">
        <v>2</v>
      </c>
      <c r="O10" t="b">
        <v>1</v>
      </c>
      <c r="P10">
        <v>1</v>
      </c>
      <c r="Q10">
        <v>2</v>
      </c>
      <c r="R10">
        <v>84.739898681640625</v>
      </c>
      <c r="S10" t="s">
        <v>24</v>
      </c>
      <c r="T10" t="s">
        <v>24</v>
      </c>
      <c r="U10" t="s">
        <v>24</v>
      </c>
      <c r="V10" t="s">
        <v>29</v>
      </c>
    </row>
    <row r="11" spans="1:22">
      <c r="A11" t="s">
        <v>31</v>
      </c>
      <c r="B11" t="s">
        <v>32</v>
      </c>
      <c r="C11" t="s">
        <v>25</v>
      </c>
      <c r="D11" t="s">
        <v>33</v>
      </c>
      <c r="E11" t="s">
        <v>27</v>
      </c>
      <c r="F11" t="s">
        <v>28</v>
      </c>
      <c r="G11">
        <v>11.846416473388672</v>
      </c>
      <c r="H11">
        <v>11.798797607421875</v>
      </c>
      <c r="I11">
        <v>6.7342571914196014E-2</v>
      </c>
      <c r="J11">
        <v>20457780</v>
      </c>
      <c r="K11">
        <v>21053386</v>
      </c>
      <c r="L11">
        <v>842314.0625</v>
      </c>
      <c r="M11" t="b">
        <v>0</v>
      </c>
      <c r="N11">
        <v>2</v>
      </c>
      <c r="O11" t="b">
        <v>1</v>
      </c>
      <c r="P11">
        <v>3</v>
      </c>
      <c r="Q11">
        <v>4</v>
      </c>
      <c r="R11">
        <v>85.121177673339844</v>
      </c>
      <c r="S11" t="s">
        <v>24</v>
      </c>
      <c r="T11" t="s">
        <v>24</v>
      </c>
      <c r="U11" t="s">
        <v>24</v>
      </c>
      <c r="V11" t="s">
        <v>29</v>
      </c>
    </row>
    <row r="12" spans="1:22">
      <c r="A12" t="s">
        <v>34</v>
      </c>
      <c r="B12" t="s">
        <v>32</v>
      </c>
      <c r="C12" t="s">
        <v>25</v>
      </c>
      <c r="D12" t="s">
        <v>33</v>
      </c>
      <c r="E12" t="s">
        <v>27</v>
      </c>
      <c r="F12" t="s">
        <v>28</v>
      </c>
      <c r="G12">
        <v>11.751179695129395</v>
      </c>
      <c r="H12">
        <v>11.798797607421875</v>
      </c>
      <c r="I12">
        <v>6.7342571914196014E-2</v>
      </c>
      <c r="J12">
        <v>21648992</v>
      </c>
      <c r="K12">
        <v>21053386</v>
      </c>
      <c r="L12">
        <v>842314.0625</v>
      </c>
      <c r="M12" t="b">
        <v>0</v>
      </c>
      <c r="N12">
        <v>2</v>
      </c>
      <c r="O12" t="b">
        <v>1</v>
      </c>
      <c r="P12">
        <v>1</v>
      </c>
      <c r="Q12">
        <v>2</v>
      </c>
      <c r="R12">
        <v>84.9305419921875</v>
      </c>
      <c r="S12" t="s">
        <v>24</v>
      </c>
      <c r="T12" t="s">
        <v>24</v>
      </c>
      <c r="U12" t="s">
        <v>24</v>
      </c>
      <c r="V12" t="s">
        <v>29</v>
      </c>
    </row>
    <row r="13" spans="1:22">
      <c r="A13" t="s">
        <v>35</v>
      </c>
      <c r="B13" t="s">
        <v>36</v>
      </c>
      <c r="C13" t="s">
        <v>25</v>
      </c>
      <c r="D13" t="s">
        <v>33</v>
      </c>
      <c r="E13" t="s">
        <v>27</v>
      </c>
      <c r="F13" t="s">
        <v>28</v>
      </c>
      <c r="G13">
        <v>18.352466583251953</v>
      </c>
      <c r="H13">
        <v>18.303554534912109</v>
      </c>
      <c r="I13">
        <v>6.9170735776424408E-2</v>
      </c>
      <c r="J13">
        <v>428299.78125</v>
      </c>
      <c r="K13">
        <v>441117.6875</v>
      </c>
      <c r="L13">
        <v>18127.2578125</v>
      </c>
      <c r="M13" t="b">
        <v>0</v>
      </c>
      <c r="N13">
        <v>2</v>
      </c>
      <c r="O13" t="b">
        <v>1</v>
      </c>
      <c r="P13">
        <v>3</v>
      </c>
      <c r="Q13">
        <v>8</v>
      </c>
      <c r="R13">
        <v>84.54925537109375</v>
      </c>
      <c r="S13" t="s">
        <v>24</v>
      </c>
      <c r="T13" t="s">
        <v>24</v>
      </c>
      <c r="U13" t="s">
        <v>24</v>
      </c>
      <c r="V13" t="s">
        <v>29</v>
      </c>
    </row>
    <row r="14" spans="1:22">
      <c r="A14" t="s">
        <v>37</v>
      </c>
      <c r="B14" t="s">
        <v>36</v>
      </c>
      <c r="C14" t="s">
        <v>25</v>
      </c>
      <c r="D14" t="s">
        <v>33</v>
      </c>
      <c r="E14" t="s">
        <v>27</v>
      </c>
      <c r="F14" t="s">
        <v>28</v>
      </c>
      <c r="G14">
        <v>18.254644393920898</v>
      </c>
      <c r="H14">
        <v>18.303554534912109</v>
      </c>
      <c r="I14">
        <v>6.9170735776424408E-2</v>
      </c>
      <c r="J14">
        <v>453935.59375</v>
      </c>
      <c r="K14">
        <v>441117.6875</v>
      </c>
      <c r="L14">
        <v>18127.2578125</v>
      </c>
      <c r="M14" t="b">
        <v>0</v>
      </c>
      <c r="N14">
        <v>2</v>
      </c>
      <c r="O14" t="b">
        <v>1</v>
      </c>
      <c r="P14">
        <v>3</v>
      </c>
      <c r="Q14">
        <v>11</v>
      </c>
      <c r="R14">
        <v>84.54925537109375</v>
      </c>
      <c r="S14" t="s">
        <v>24</v>
      </c>
      <c r="T14" t="s">
        <v>24</v>
      </c>
      <c r="U14" t="s">
        <v>24</v>
      </c>
      <c r="V14" t="s">
        <v>29</v>
      </c>
    </row>
    <row r="15" spans="1:22">
      <c r="A15" t="s">
        <v>38</v>
      </c>
      <c r="B15" t="s">
        <v>39</v>
      </c>
      <c r="C15" t="s">
        <v>25</v>
      </c>
      <c r="D15" t="s">
        <v>33</v>
      </c>
      <c r="E15" t="s">
        <v>27</v>
      </c>
      <c r="F15" t="s">
        <v>28</v>
      </c>
      <c r="G15">
        <v>16.320686340332031</v>
      </c>
      <c r="H15">
        <v>16.44670295715332</v>
      </c>
      <c r="I15">
        <v>0.1782144159078598</v>
      </c>
      <c r="J15">
        <v>1432579.875</v>
      </c>
      <c r="K15">
        <v>1332946</v>
      </c>
      <c r="L15">
        <v>140903.671875</v>
      </c>
      <c r="M15" t="b">
        <v>0</v>
      </c>
      <c r="N15">
        <v>2</v>
      </c>
      <c r="O15" t="b">
        <v>1</v>
      </c>
      <c r="P15">
        <v>3</v>
      </c>
      <c r="Q15">
        <v>8</v>
      </c>
      <c r="R15">
        <v>84.358612060546875</v>
      </c>
      <c r="S15" t="s">
        <v>24</v>
      </c>
      <c r="T15" t="s">
        <v>24</v>
      </c>
      <c r="U15" t="s">
        <v>24</v>
      </c>
      <c r="V15" t="s">
        <v>29</v>
      </c>
    </row>
    <row r="16" spans="1:22">
      <c r="A16" t="s">
        <v>40</v>
      </c>
      <c r="B16" t="s">
        <v>39</v>
      </c>
      <c r="C16" t="s">
        <v>25</v>
      </c>
      <c r="D16" t="s">
        <v>33</v>
      </c>
      <c r="E16" t="s">
        <v>27</v>
      </c>
      <c r="F16" t="s">
        <v>28</v>
      </c>
      <c r="G16">
        <v>16.572719573974609</v>
      </c>
      <c r="H16">
        <v>16.44670295715332</v>
      </c>
      <c r="I16">
        <v>0.1782144159078598</v>
      </c>
      <c r="J16">
        <v>1233312</v>
      </c>
      <c r="K16">
        <v>1332946</v>
      </c>
      <c r="L16">
        <v>140903.671875</v>
      </c>
      <c r="M16" t="b">
        <v>0</v>
      </c>
      <c r="N16">
        <v>2</v>
      </c>
      <c r="O16" t="b">
        <v>1</v>
      </c>
      <c r="P16">
        <v>3</v>
      </c>
      <c r="Q16">
        <v>9</v>
      </c>
      <c r="R16">
        <v>84.167976379394531</v>
      </c>
      <c r="S16" t="s">
        <v>24</v>
      </c>
      <c r="T16" t="s">
        <v>24</v>
      </c>
      <c r="U16" t="s">
        <v>24</v>
      </c>
      <c r="V16" t="s">
        <v>29</v>
      </c>
    </row>
    <row r="17" spans="1:22">
      <c r="A17" t="s">
        <v>41</v>
      </c>
      <c r="B17" t="s">
        <v>42</v>
      </c>
      <c r="C17" t="s">
        <v>25</v>
      </c>
      <c r="D17" t="s">
        <v>33</v>
      </c>
      <c r="E17" t="s">
        <v>27</v>
      </c>
      <c r="F17" t="s">
        <v>28</v>
      </c>
      <c r="G17">
        <v>15.879582405090332</v>
      </c>
      <c r="H17">
        <v>15.970296859741211</v>
      </c>
      <c r="I17">
        <v>0.12828893959522247</v>
      </c>
      <c r="J17">
        <v>1861919.625</v>
      </c>
      <c r="K17">
        <v>1766769</v>
      </c>
      <c r="L17">
        <v>134563.21875</v>
      </c>
      <c r="M17" t="b">
        <v>0</v>
      </c>
      <c r="N17">
        <v>2</v>
      </c>
      <c r="O17" t="b">
        <v>1</v>
      </c>
      <c r="P17">
        <v>3</v>
      </c>
      <c r="Q17">
        <v>9</v>
      </c>
      <c r="R17">
        <v>83.977340698242188</v>
      </c>
      <c r="S17" t="s">
        <v>24</v>
      </c>
      <c r="T17" t="s">
        <v>24</v>
      </c>
      <c r="U17" t="s">
        <v>24</v>
      </c>
      <c r="V17" t="s">
        <v>29</v>
      </c>
    </row>
    <row r="18" spans="1:22">
      <c r="A18" t="s">
        <v>43</v>
      </c>
      <c r="B18" t="s">
        <v>42</v>
      </c>
      <c r="C18" t="s">
        <v>25</v>
      </c>
      <c r="D18" t="s">
        <v>33</v>
      </c>
      <c r="E18" t="s">
        <v>27</v>
      </c>
      <c r="F18" t="s">
        <v>28</v>
      </c>
      <c r="G18">
        <v>16.061010360717773</v>
      </c>
      <c r="H18">
        <v>15.970296859741211</v>
      </c>
      <c r="I18">
        <v>0.12828893959522247</v>
      </c>
      <c r="J18">
        <v>1671618.5</v>
      </c>
      <c r="K18">
        <v>1766769</v>
      </c>
      <c r="L18">
        <v>134563.21875</v>
      </c>
      <c r="M18" t="b">
        <v>0</v>
      </c>
      <c r="N18">
        <v>2</v>
      </c>
      <c r="O18" t="b">
        <v>1</v>
      </c>
      <c r="P18">
        <v>3</v>
      </c>
      <c r="Q18">
        <v>8</v>
      </c>
      <c r="R18">
        <v>83.977340698242188</v>
      </c>
      <c r="S18" t="s">
        <v>24</v>
      </c>
      <c r="T18" t="s">
        <v>24</v>
      </c>
      <c r="U18" t="s">
        <v>24</v>
      </c>
      <c r="V18" t="s">
        <v>29</v>
      </c>
    </row>
    <row r="19" spans="1:22">
      <c r="A19" t="s">
        <v>44</v>
      </c>
      <c r="B19" t="s">
        <v>45</v>
      </c>
      <c r="C19" t="s">
        <v>25</v>
      </c>
      <c r="D19" t="s">
        <v>33</v>
      </c>
      <c r="E19" t="s">
        <v>27</v>
      </c>
      <c r="F19" t="s">
        <v>28</v>
      </c>
      <c r="G19">
        <v>19.388721466064453</v>
      </c>
      <c r="H19">
        <v>19.46006965637207</v>
      </c>
      <c r="I19">
        <v>0.10090158134698868</v>
      </c>
      <c r="J19">
        <v>231369.734375</v>
      </c>
      <c r="K19">
        <v>221964.203125</v>
      </c>
      <c r="L19">
        <v>13301.4296875</v>
      </c>
      <c r="M19" t="b">
        <v>0</v>
      </c>
      <c r="N19">
        <v>2</v>
      </c>
      <c r="O19" t="b">
        <v>1</v>
      </c>
      <c r="P19">
        <v>3</v>
      </c>
      <c r="Q19">
        <v>12</v>
      </c>
      <c r="R19">
        <v>84.358612060546875</v>
      </c>
      <c r="S19" t="s">
        <v>24</v>
      </c>
      <c r="T19" t="s">
        <v>24</v>
      </c>
      <c r="U19" t="s">
        <v>24</v>
      </c>
      <c r="V19" t="s">
        <v>29</v>
      </c>
    </row>
    <row r="20" spans="1:22">
      <c r="A20" t="s">
        <v>46</v>
      </c>
      <c r="B20" t="s">
        <v>45</v>
      </c>
      <c r="C20" t="s">
        <v>25</v>
      </c>
      <c r="D20" t="s">
        <v>33</v>
      </c>
      <c r="E20" t="s">
        <v>27</v>
      </c>
      <c r="F20" t="s">
        <v>28</v>
      </c>
      <c r="G20">
        <v>19.531417846679688</v>
      </c>
      <c r="H20">
        <v>19.46006965637207</v>
      </c>
      <c r="I20">
        <v>0.10090158134698868</v>
      </c>
      <c r="J20">
        <v>212558.671875</v>
      </c>
      <c r="K20">
        <v>221964.203125</v>
      </c>
      <c r="L20">
        <v>13301.4296875</v>
      </c>
      <c r="M20" t="b">
        <v>0</v>
      </c>
      <c r="N20">
        <v>2</v>
      </c>
      <c r="O20" t="b">
        <v>1</v>
      </c>
      <c r="P20">
        <v>3</v>
      </c>
      <c r="Q20">
        <v>10</v>
      </c>
      <c r="R20">
        <v>84.358612060546875</v>
      </c>
      <c r="S20" t="s">
        <v>24</v>
      </c>
      <c r="T20" t="s">
        <v>24</v>
      </c>
      <c r="U20" t="s">
        <v>24</v>
      </c>
      <c r="V20" t="s">
        <v>29</v>
      </c>
    </row>
    <row r="21" spans="1:22">
      <c r="A21" t="s">
        <v>47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13.583830833435059</v>
      </c>
      <c r="H21">
        <v>13.503691673278809</v>
      </c>
      <c r="I21">
        <v>0.11333388835191727</v>
      </c>
      <c r="J21">
        <v>5000000</v>
      </c>
      <c r="K21" t="s">
        <v>24</v>
      </c>
      <c r="L21" t="s">
        <v>24</v>
      </c>
      <c r="M21" t="b">
        <v>0</v>
      </c>
      <c r="N21">
        <v>2</v>
      </c>
      <c r="O21" t="b">
        <v>1</v>
      </c>
      <c r="P21">
        <v>3</v>
      </c>
      <c r="Q21">
        <v>6</v>
      </c>
      <c r="R21">
        <v>84.9305419921875</v>
      </c>
      <c r="S21" t="s">
        <v>24</v>
      </c>
      <c r="T21" t="s">
        <v>24</v>
      </c>
      <c r="U21" t="s">
        <v>24</v>
      </c>
      <c r="V21" t="s">
        <v>29</v>
      </c>
    </row>
    <row r="22" spans="1:22">
      <c r="A22" t="s">
        <v>48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13.423552513122559</v>
      </c>
      <c r="H22">
        <v>13.503691673278809</v>
      </c>
      <c r="I22">
        <v>0.11333388835191727</v>
      </c>
      <c r="J22">
        <v>5000000</v>
      </c>
      <c r="K22" t="s">
        <v>24</v>
      </c>
      <c r="L22" t="s">
        <v>24</v>
      </c>
      <c r="M22" t="b">
        <v>0</v>
      </c>
      <c r="N22">
        <v>2</v>
      </c>
      <c r="O22" t="b">
        <v>1</v>
      </c>
      <c r="P22">
        <v>3</v>
      </c>
      <c r="Q22">
        <v>6</v>
      </c>
      <c r="R22">
        <v>84.9305419921875</v>
      </c>
      <c r="S22" t="s">
        <v>24</v>
      </c>
      <c r="T22" t="s">
        <v>24</v>
      </c>
      <c r="U22" t="s">
        <v>24</v>
      </c>
      <c r="V22" t="s">
        <v>29</v>
      </c>
    </row>
    <row r="23" spans="1:22">
      <c r="A23" t="s">
        <v>49</v>
      </c>
      <c r="B23" t="s">
        <v>50</v>
      </c>
      <c r="C23" t="s">
        <v>25</v>
      </c>
      <c r="D23" t="s">
        <v>33</v>
      </c>
      <c r="E23" t="s">
        <v>27</v>
      </c>
      <c r="F23" t="s">
        <v>28</v>
      </c>
      <c r="G23">
        <v>12.284521102905273</v>
      </c>
      <c r="H23">
        <v>12.323166847229004</v>
      </c>
      <c r="I23">
        <v>5.4653335362672806E-2</v>
      </c>
      <c r="J23">
        <v>15768505</v>
      </c>
      <c r="K23">
        <v>15414561</v>
      </c>
      <c r="L23">
        <v>500552.40625</v>
      </c>
      <c r="M23" t="b">
        <v>0</v>
      </c>
      <c r="N23">
        <v>2</v>
      </c>
      <c r="O23" t="b">
        <v>1</v>
      </c>
      <c r="P23">
        <v>3</v>
      </c>
      <c r="Q23">
        <v>4</v>
      </c>
      <c r="R23">
        <v>84.9305419921875</v>
      </c>
      <c r="S23" t="s">
        <v>24</v>
      </c>
      <c r="T23" t="s">
        <v>24</v>
      </c>
      <c r="U23" t="s">
        <v>24</v>
      </c>
      <c r="V23" t="s">
        <v>29</v>
      </c>
    </row>
    <row r="24" spans="1:22">
      <c r="A24" t="s">
        <v>51</v>
      </c>
      <c r="B24" t="s">
        <v>50</v>
      </c>
      <c r="C24" t="s">
        <v>25</v>
      </c>
      <c r="D24" t="s">
        <v>33</v>
      </c>
      <c r="E24" t="s">
        <v>27</v>
      </c>
      <c r="F24" t="s">
        <v>28</v>
      </c>
      <c r="G24">
        <v>12.361812591552734</v>
      </c>
      <c r="H24">
        <v>12.323166847229004</v>
      </c>
      <c r="I24">
        <v>5.4653335362672806E-2</v>
      </c>
      <c r="J24">
        <v>15060617</v>
      </c>
      <c r="K24">
        <v>15414561</v>
      </c>
      <c r="L24">
        <v>500552.40625</v>
      </c>
      <c r="M24" t="b">
        <v>0</v>
      </c>
      <c r="N24">
        <v>2</v>
      </c>
      <c r="O24" t="b">
        <v>1</v>
      </c>
      <c r="P24">
        <v>1</v>
      </c>
      <c r="Q24">
        <v>2</v>
      </c>
      <c r="R24">
        <v>84.9305419921875</v>
      </c>
      <c r="S24" t="s">
        <v>24</v>
      </c>
      <c r="T24" t="s">
        <v>24</v>
      </c>
      <c r="U24" t="s">
        <v>24</v>
      </c>
      <c r="V24" t="s">
        <v>29</v>
      </c>
    </row>
    <row r="25" spans="1:22">
      <c r="A25" t="s">
        <v>52</v>
      </c>
      <c r="B25" t="s">
        <v>53</v>
      </c>
      <c r="C25" t="s">
        <v>25</v>
      </c>
      <c r="D25" t="s">
        <v>33</v>
      </c>
      <c r="E25" t="s">
        <v>27</v>
      </c>
      <c r="F25" t="s">
        <v>28</v>
      </c>
      <c r="G25">
        <v>16.532529830932617</v>
      </c>
      <c r="H25">
        <v>16.225727081298828</v>
      </c>
      <c r="I25">
        <v>0.43388324975967407</v>
      </c>
      <c r="J25">
        <v>1263122</v>
      </c>
      <c r="K25">
        <v>1541007</v>
      </c>
      <c r="L25">
        <v>392988.65625</v>
      </c>
      <c r="M25" t="b">
        <v>0</v>
      </c>
      <c r="N25">
        <v>2</v>
      </c>
      <c r="O25" t="b">
        <v>1</v>
      </c>
      <c r="P25">
        <v>3</v>
      </c>
      <c r="Q25">
        <v>9</v>
      </c>
      <c r="R25">
        <v>84.739898681640625</v>
      </c>
      <c r="S25" t="s">
        <v>24</v>
      </c>
      <c r="T25" t="s">
        <v>24</v>
      </c>
      <c r="U25" t="s">
        <v>24</v>
      </c>
      <c r="V25" t="s">
        <v>29</v>
      </c>
    </row>
    <row r="26" spans="1:22">
      <c r="A26" t="s">
        <v>54</v>
      </c>
      <c r="B26" t="s">
        <v>53</v>
      </c>
      <c r="C26" t="s">
        <v>25</v>
      </c>
      <c r="D26" t="s">
        <v>33</v>
      </c>
      <c r="E26" t="s">
        <v>27</v>
      </c>
      <c r="F26" t="s">
        <v>28</v>
      </c>
      <c r="G26">
        <v>15.918926239013672</v>
      </c>
      <c r="H26">
        <v>16.225727081298828</v>
      </c>
      <c r="I26">
        <v>0.43388324975967407</v>
      </c>
      <c r="J26">
        <v>1818891.875</v>
      </c>
      <c r="K26">
        <v>1541007</v>
      </c>
      <c r="L26">
        <v>392988.65625</v>
      </c>
      <c r="M26" t="b">
        <v>0</v>
      </c>
      <c r="N26">
        <v>2</v>
      </c>
      <c r="O26" t="b">
        <v>1</v>
      </c>
      <c r="P26">
        <v>3</v>
      </c>
      <c r="Q26">
        <v>8</v>
      </c>
      <c r="R26">
        <v>84.739898681640625</v>
      </c>
      <c r="S26" t="s">
        <v>24</v>
      </c>
      <c r="T26" t="s">
        <v>24</v>
      </c>
      <c r="U26" t="s">
        <v>24</v>
      </c>
      <c r="V26" t="s">
        <v>29</v>
      </c>
    </row>
    <row r="27" spans="1:22">
      <c r="A27" t="s">
        <v>55</v>
      </c>
      <c r="B27" t="s">
        <v>56</v>
      </c>
      <c r="C27" t="s">
        <v>25</v>
      </c>
      <c r="D27" t="s">
        <v>33</v>
      </c>
      <c r="E27" t="s">
        <v>27</v>
      </c>
      <c r="F27" t="s">
        <v>28</v>
      </c>
      <c r="G27">
        <v>13.075011253356934</v>
      </c>
      <c r="H27">
        <v>13.198566436767578</v>
      </c>
      <c r="I27">
        <v>0.17473408579826355</v>
      </c>
      <c r="J27">
        <v>9857738</v>
      </c>
      <c r="K27">
        <v>9184576</v>
      </c>
      <c r="L27">
        <v>951995.5625</v>
      </c>
      <c r="M27" t="b">
        <v>0</v>
      </c>
      <c r="N27">
        <v>2</v>
      </c>
      <c r="O27" t="b">
        <v>1</v>
      </c>
      <c r="P27">
        <v>3</v>
      </c>
      <c r="Q27">
        <v>6</v>
      </c>
      <c r="R27">
        <v>84.358612060546875</v>
      </c>
      <c r="S27" t="s">
        <v>24</v>
      </c>
      <c r="T27" t="s">
        <v>24</v>
      </c>
      <c r="U27" t="s">
        <v>24</v>
      </c>
      <c r="V27" t="s">
        <v>29</v>
      </c>
    </row>
    <row r="28" spans="1:22">
      <c r="A28" t="s">
        <v>57</v>
      </c>
      <c r="B28" t="s">
        <v>56</v>
      </c>
      <c r="C28" t="s">
        <v>25</v>
      </c>
      <c r="D28" t="s">
        <v>33</v>
      </c>
      <c r="E28" t="s">
        <v>27</v>
      </c>
      <c r="F28" t="s">
        <v>28</v>
      </c>
      <c r="G28">
        <v>13.322122573852539</v>
      </c>
      <c r="H28">
        <v>13.198566436767578</v>
      </c>
      <c r="I28">
        <v>0.17473408579826355</v>
      </c>
      <c r="J28">
        <v>8511413</v>
      </c>
      <c r="K28">
        <v>9184576</v>
      </c>
      <c r="L28">
        <v>951995.5625</v>
      </c>
      <c r="M28" t="b">
        <v>0</v>
      </c>
      <c r="N28">
        <v>2</v>
      </c>
      <c r="O28" t="b">
        <v>1</v>
      </c>
      <c r="P28">
        <v>3</v>
      </c>
      <c r="Q28">
        <v>6</v>
      </c>
      <c r="R28">
        <v>84.167976379394531</v>
      </c>
      <c r="S28" t="s">
        <v>24</v>
      </c>
      <c r="T28" t="s">
        <v>24</v>
      </c>
      <c r="U28" t="s">
        <v>24</v>
      </c>
      <c r="V28" t="s">
        <v>29</v>
      </c>
    </row>
    <row r="29" spans="1:22">
      <c r="A29" t="s">
        <v>58</v>
      </c>
      <c r="B29" t="s">
        <v>59</v>
      </c>
      <c r="C29" t="s">
        <v>25</v>
      </c>
      <c r="D29" t="s">
        <v>33</v>
      </c>
      <c r="E29" t="s">
        <v>27</v>
      </c>
      <c r="F29" t="s">
        <v>28</v>
      </c>
      <c r="G29">
        <v>19.069583892822266</v>
      </c>
      <c r="H29">
        <v>19.179103851318359</v>
      </c>
      <c r="I29">
        <v>0.15488326549530029</v>
      </c>
      <c r="J29">
        <v>279686.1875</v>
      </c>
      <c r="K29">
        <v>262618.3125</v>
      </c>
      <c r="L29">
        <v>24137.630859375</v>
      </c>
      <c r="M29" t="b">
        <v>0</v>
      </c>
      <c r="N29">
        <v>2</v>
      </c>
      <c r="O29" t="b">
        <v>1</v>
      </c>
      <c r="P29">
        <v>3</v>
      </c>
      <c r="Q29">
        <v>11</v>
      </c>
      <c r="R29">
        <v>83.786697387695312</v>
      </c>
      <c r="S29" t="s">
        <v>24</v>
      </c>
      <c r="T29" t="s">
        <v>24</v>
      </c>
      <c r="U29" t="s">
        <v>24</v>
      </c>
      <c r="V29" t="s">
        <v>29</v>
      </c>
    </row>
    <row r="30" spans="1:22">
      <c r="A30" t="s">
        <v>60</v>
      </c>
      <c r="B30" t="s">
        <v>59</v>
      </c>
      <c r="C30" t="s">
        <v>25</v>
      </c>
      <c r="D30" t="s">
        <v>33</v>
      </c>
      <c r="E30" t="s">
        <v>27</v>
      </c>
      <c r="F30" t="s">
        <v>28</v>
      </c>
      <c r="G30">
        <v>19.28862190246582</v>
      </c>
      <c r="H30">
        <v>19.179103851318359</v>
      </c>
      <c r="I30">
        <v>0.15488326549530029</v>
      </c>
      <c r="J30">
        <v>245550.421875</v>
      </c>
      <c r="K30">
        <v>262618.3125</v>
      </c>
      <c r="L30">
        <v>24137.630859375</v>
      </c>
      <c r="M30" t="b">
        <v>0</v>
      </c>
      <c r="N30">
        <v>2</v>
      </c>
      <c r="O30" t="b">
        <v>1</v>
      </c>
      <c r="P30">
        <v>3</v>
      </c>
      <c r="Q30">
        <v>10</v>
      </c>
      <c r="R30">
        <v>83.786697387695312</v>
      </c>
      <c r="S30" t="s">
        <v>24</v>
      </c>
      <c r="T30" t="s">
        <v>24</v>
      </c>
      <c r="U30" t="s">
        <v>24</v>
      </c>
      <c r="V30" t="s">
        <v>29</v>
      </c>
    </row>
    <row r="31" spans="1:22">
      <c r="A31" t="s">
        <v>61</v>
      </c>
      <c r="B31" t="s">
        <v>62</v>
      </c>
      <c r="C31" t="s">
        <v>25</v>
      </c>
      <c r="D31" t="s">
        <v>33</v>
      </c>
      <c r="E31" t="s">
        <v>27</v>
      </c>
      <c r="F31" t="s">
        <v>28</v>
      </c>
      <c r="G31">
        <v>16.044685363769531</v>
      </c>
      <c r="H31">
        <v>16.047138214111328</v>
      </c>
      <c r="I31">
        <v>3.4702029079198837E-3</v>
      </c>
      <c r="J31">
        <v>1687914.375</v>
      </c>
      <c r="K31">
        <v>1685456.625</v>
      </c>
      <c r="L31">
        <v>3475.783447265625</v>
      </c>
      <c r="M31" t="b">
        <v>0</v>
      </c>
      <c r="N31">
        <v>2</v>
      </c>
      <c r="O31" t="b">
        <v>1</v>
      </c>
      <c r="P31">
        <v>3</v>
      </c>
      <c r="Q31">
        <v>7</v>
      </c>
      <c r="R31">
        <v>83.977340698242188</v>
      </c>
      <c r="S31" t="s">
        <v>24</v>
      </c>
      <c r="T31" t="s">
        <v>24</v>
      </c>
      <c r="U31" t="s">
        <v>24</v>
      </c>
      <c r="V31" t="s">
        <v>29</v>
      </c>
    </row>
    <row r="32" spans="1:22">
      <c r="A32" t="s">
        <v>63</v>
      </c>
      <c r="B32" t="s">
        <v>62</v>
      </c>
      <c r="C32" t="s">
        <v>25</v>
      </c>
      <c r="D32" t="s">
        <v>33</v>
      </c>
      <c r="E32" t="s">
        <v>27</v>
      </c>
      <c r="F32" t="s">
        <v>28</v>
      </c>
      <c r="G32">
        <v>16.049592971801758</v>
      </c>
      <c r="H32">
        <v>16.047138214111328</v>
      </c>
      <c r="I32">
        <v>3.4702029079198837E-3</v>
      </c>
      <c r="J32">
        <v>1682998.875</v>
      </c>
      <c r="K32">
        <v>1685456.625</v>
      </c>
      <c r="L32">
        <v>3475.783447265625</v>
      </c>
      <c r="M32" t="b">
        <v>0</v>
      </c>
      <c r="N32">
        <v>2</v>
      </c>
      <c r="O32" t="b">
        <v>1</v>
      </c>
      <c r="P32">
        <v>3</v>
      </c>
      <c r="Q32">
        <v>9</v>
      </c>
      <c r="R32">
        <v>83.977340698242188</v>
      </c>
      <c r="S32" t="s">
        <v>24</v>
      </c>
      <c r="T32" t="s">
        <v>24</v>
      </c>
      <c r="U32" t="s">
        <v>24</v>
      </c>
      <c r="V32" t="s">
        <v>29</v>
      </c>
    </row>
    <row r="33" spans="1:22">
      <c r="A33" t="s">
        <v>64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>
        <v>18.049901962280273</v>
      </c>
      <c r="H33">
        <v>17.921913146972656</v>
      </c>
      <c r="I33">
        <v>0.18100486695766449</v>
      </c>
      <c r="J33">
        <v>500000</v>
      </c>
      <c r="K33" t="s">
        <v>24</v>
      </c>
      <c r="L33" t="s">
        <v>24</v>
      </c>
      <c r="M33" t="b">
        <v>0</v>
      </c>
      <c r="N33">
        <v>2</v>
      </c>
      <c r="O33" t="b">
        <v>1</v>
      </c>
      <c r="P33">
        <v>3</v>
      </c>
      <c r="Q33">
        <v>11</v>
      </c>
      <c r="R33">
        <v>85.121177673339844</v>
      </c>
      <c r="S33" t="s">
        <v>24</v>
      </c>
      <c r="T33" t="s">
        <v>24</v>
      </c>
      <c r="U33" t="s">
        <v>24</v>
      </c>
      <c r="V33" t="s">
        <v>29</v>
      </c>
    </row>
    <row r="34" spans="1:22">
      <c r="A34" t="s">
        <v>65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>
        <v>17.793922424316406</v>
      </c>
      <c r="H34">
        <v>17.921913146972656</v>
      </c>
      <c r="I34">
        <v>0.18100486695766449</v>
      </c>
      <c r="J34">
        <v>500000</v>
      </c>
      <c r="K34" t="s">
        <v>24</v>
      </c>
      <c r="L34" t="s">
        <v>24</v>
      </c>
      <c r="M34" t="b">
        <v>0</v>
      </c>
      <c r="N34">
        <v>2</v>
      </c>
      <c r="O34" t="b">
        <v>1</v>
      </c>
      <c r="P34">
        <v>3</v>
      </c>
      <c r="Q34">
        <v>10</v>
      </c>
      <c r="R34">
        <v>85.121177673339844</v>
      </c>
      <c r="S34" t="s">
        <v>24</v>
      </c>
      <c r="T34" t="s">
        <v>24</v>
      </c>
      <c r="U34" t="s">
        <v>24</v>
      </c>
      <c r="V34" t="s">
        <v>29</v>
      </c>
    </row>
    <row r="35" spans="1:22">
      <c r="A35" t="s">
        <v>66</v>
      </c>
      <c r="B35" t="s">
        <v>67</v>
      </c>
      <c r="C35" t="s">
        <v>25</v>
      </c>
      <c r="D35" t="s">
        <v>33</v>
      </c>
      <c r="E35" t="s">
        <v>27</v>
      </c>
      <c r="F35" t="s">
        <v>28</v>
      </c>
      <c r="G35">
        <v>15.321983337402344</v>
      </c>
      <c r="H35">
        <v>15.285235404968262</v>
      </c>
      <c r="I35">
        <v>5.1969423890113831E-2</v>
      </c>
      <c r="J35">
        <v>2593394.5</v>
      </c>
      <c r="K35">
        <v>2651283.75</v>
      </c>
      <c r="L35">
        <v>81867.765625</v>
      </c>
      <c r="M35" t="b">
        <v>0</v>
      </c>
      <c r="N35">
        <v>2</v>
      </c>
      <c r="O35" t="b">
        <v>1</v>
      </c>
      <c r="P35">
        <v>3</v>
      </c>
      <c r="Q35">
        <v>7</v>
      </c>
      <c r="R35">
        <v>85.121177673339844</v>
      </c>
      <c r="S35" t="s">
        <v>24</v>
      </c>
      <c r="T35" t="s">
        <v>24</v>
      </c>
      <c r="U35" t="s">
        <v>24</v>
      </c>
      <c r="V35" t="s">
        <v>29</v>
      </c>
    </row>
    <row r="36" spans="1:22">
      <c r="A36" t="s">
        <v>68</v>
      </c>
      <c r="B36" t="s">
        <v>67</v>
      </c>
      <c r="C36" t="s">
        <v>25</v>
      </c>
      <c r="D36" t="s">
        <v>33</v>
      </c>
      <c r="E36" t="s">
        <v>27</v>
      </c>
      <c r="F36" t="s">
        <v>28</v>
      </c>
      <c r="G36">
        <v>15.24848747253418</v>
      </c>
      <c r="H36">
        <v>15.285235404968262</v>
      </c>
      <c r="I36">
        <v>5.1969423890113831E-2</v>
      </c>
      <c r="J36">
        <v>2709173</v>
      </c>
      <c r="K36">
        <v>2651283.75</v>
      </c>
      <c r="L36">
        <v>81867.765625</v>
      </c>
      <c r="M36" t="b">
        <v>0</v>
      </c>
      <c r="N36">
        <v>2</v>
      </c>
      <c r="O36" t="b">
        <v>1</v>
      </c>
      <c r="P36">
        <v>3</v>
      </c>
      <c r="Q36">
        <v>6</v>
      </c>
      <c r="R36">
        <v>85.121177673339844</v>
      </c>
      <c r="S36" t="s">
        <v>24</v>
      </c>
      <c r="T36" t="s">
        <v>24</v>
      </c>
      <c r="U36" t="s">
        <v>24</v>
      </c>
      <c r="V36" t="s">
        <v>29</v>
      </c>
    </row>
    <row r="37" spans="1:22">
      <c r="A37" t="s">
        <v>69</v>
      </c>
      <c r="B37" t="s">
        <v>70</v>
      </c>
      <c r="C37" t="s">
        <v>25</v>
      </c>
      <c r="D37" t="s">
        <v>33</v>
      </c>
      <c r="E37" t="s">
        <v>27</v>
      </c>
      <c r="F37" t="s">
        <v>28</v>
      </c>
      <c r="G37">
        <v>17.973384857177734</v>
      </c>
      <c r="H37">
        <v>18.439182281494141</v>
      </c>
      <c r="I37">
        <v>0.65873706340789795</v>
      </c>
      <c r="J37">
        <v>536516.375</v>
      </c>
      <c r="K37">
        <v>422471.8125</v>
      </c>
      <c r="L37">
        <v>161283.34375</v>
      </c>
      <c r="M37" t="b">
        <v>0</v>
      </c>
      <c r="N37">
        <v>2</v>
      </c>
      <c r="O37" t="b">
        <v>1</v>
      </c>
      <c r="P37">
        <v>3</v>
      </c>
      <c r="Q37">
        <v>9</v>
      </c>
      <c r="R37">
        <v>84.739898681640625</v>
      </c>
      <c r="S37" t="s">
        <v>24</v>
      </c>
      <c r="T37" t="s">
        <v>24</v>
      </c>
      <c r="U37" t="s">
        <v>24</v>
      </c>
      <c r="V37" t="s">
        <v>114</v>
      </c>
    </row>
    <row r="38" spans="1:22">
      <c r="A38" t="s">
        <v>71</v>
      </c>
      <c r="B38" t="s">
        <v>70</v>
      </c>
      <c r="C38" t="s">
        <v>25</v>
      </c>
      <c r="D38" t="s">
        <v>33</v>
      </c>
      <c r="E38" t="s">
        <v>27</v>
      </c>
      <c r="F38" t="s">
        <v>28</v>
      </c>
      <c r="G38">
        <v>18.904979705810547</v>
      </c>
      <c r="H38">
        <v>18.439182281494141</v>
      </c>
      <c r="I38">
        <v>0.65873706340789795</v>
      </c>
      <c r="J38">
        <v>308427.28125</v>
      </c>
      <c r="K38">
        <v>422471.8125</v>
      </c>
      <c r="L38">
        <v>161283.34375</v>
      </c>
      <c r="M38" t="b">
        <v>0</v>
      </c>
      <c r="N38">
        <v>2</v>
      </c>
      <c r="O38" t="b">
        <v>1</v>
      </c>
      <c r="P38">
        <v>3</v>
      </c>
      <c r="Q38">
        <v>11</v>
      </c>
      <c r="R38">
        <v>84.9305419921875</v>
      </c>
      <c r="S38" t="s">
        <v>24</v>
      </c>
      <c r="T38" t="s">
        <v>24</v>
      </c>
      <c r="U38" t="s">
        <v>24</v>
      </c>
      <c r="V38" t="s">
        <v>114</v>
      </c>
    </row>
    <row r="39" spans="1:22">
      <c r="A39" t="s">
        <v>72</v>
      </c>
      <c r="B39" t="s">
        <v>73</v>
      </c>
      <c r="C39" t="s">
        <v>25</v>
      </c>
      <c r="D39" t="s">
        <v>33</v>
      </c>
      <c r="E39" t="s">
        <v>27</v>
      </c>
      <c r="F39" t="s">
        <v>28</v>
      </c>
      <c r="G39">
        <v>15.018671035766602</v>
      </c>
      <c r="H39">
        <v>15.211296081542969</v>
      </c>
      <c r="I39">
        <v>0.27241364121437073</v>
      </c>
      <c r="J39">
        <v>3105623.5</v>
      </c>
      <c r="K39">
        <v>2787881.5</v>
      </c>
      <c r="L39">
        <v>449355.03125</v>
      </c>
      <c r="M39" t="b">
        <v>0</v>
      </c>
      <c r="N39">
        <v>2</v>
      </c>
      <c r="O39" t="b">
        <v>1</v>
      </c>
      <c r="P39">
        <v>3</v>
      </c>
      <c r="Q39">
        <v>7</v>
      </c>
      <c r="R39">
        <v>84.358612060546875</v>
      </c>
      <c r="S39" t="s">
        <v>24</v>
      </c>
      <c r="T39" t="s">
        <v>24</v>
      </c>
      <c r="U39" t="s">
        <v>24</v>
      </c>
      <c r="V39" t="s">
        <v>29</v>
      </c>
    </row>
    <row r="40" spans="1:22">
      <c r="A40" t="s">
        <v>74</v>
      </c>
      <c r="B40" t="s">
        <v>73</v>
      </c>
      <c r="C40" t="s">
        <v>25</v>
      </c>
      <c r="D40" t="s">
        <v>33</v>
      </c>
      <c r="E40" t="s">
        <v>27</v>
      </c>
      <c r="F40" t="s">
        <v>28</v>
      </c>
      <c r="G40">
        <v>15.403922080993652</v>
      </c>
      <c r="H40">
        <v>15.211296081542969</v>
      </c>
      <c r="I40">
        <v>0.27241364121437073</v>
      </c>
      <c r="J40">
        <v>2470139.5</v>
      </c>
      <c r="K40">
        <v>2787881.5</v>
      </c>
      <c r="L40">
        <v>449355.03125</v>
      </c>
      <c r="M40" t="b">
        <v>0</v>
      </c>
      <c r="N40">
        <v>2</v>
      </c>
      <c r="O40" t="b">
        <v>1</v>
      </c>
      <c r="P40">
        <v>3</v>
      </c>
      <c r="Q40">
        <v>8</v>
      </c>
      <c r="R40">
        <v>83.977340698242188</v>
      </c>
      <c r="S40" t="s">
        <v>24</v>
      </c>
      <c r="T40" t="s">
        <v>24</v>
      </c>
      <c r="U40" t="s">
        <v>24</v>
      </c>
      <c r="V40" t="s">
        <v>29</v>
      </c>
    </row>
    <row r="41" spans="1:22">
      <c r="A41" t="s">
        <v>75</v>
      </c>
      <c r="B41" t="s">
        <v>76</v>
      </c>
      <c r="C41" t="s">
        <v>25</v>
      </c>
      <c r="D41" t="s">
        <v>33</v>
      </c>
      <c r="E41" t="s">
        <v>27</v>
      </c>
      <c r="F41" t="s">
        <v>28</v>
      </c>
      <c r="G41">
        <v>17.167179107666016</v>
      </c>
      <c r="H41">
        <v>17.239315032958984</v>
      </c>
      <c r="I41">
        <v>0.10201560705900192</v>
      </c>
      <c r="J41">
        <v>866267.8125</v>
      </c>
      <c r="K41">
        <v>830680.375</v>
      </c>
      <c r="L41">
        <v>50328.28125</v>
      </c>
      <c r="M41" t="b">
        <v>0</v>
      </c>
      <c r="N41">
        <v>2</v>
      </c>
      <c r="O41" t="b">
        <v>1</v>
      </c>
      <c r="P41">
        <v>3</v>
      </c>
      <c r="Q41">
        <v>8</v>
      </c>
      <c r="R41">
        <v>83.977340698242188</v>
      </c>
      <c r="S41" t="s">
        <v>24</v>
      </c>
      <c r="T41" t="s">
        <v>24</v>
      </c>
      <c r="U41" t="s">
        <v>24</v>
      </c>
      <c r="V41" t="s">
        <v>29</v>
      </c>
    </row>
    <row r="42" spans="1:22">
      <c r="A42" t="s">
        <v>77</v>
      </c>
      <c r="B42" t="s">
        <v>76</v>
      </c>
      <c r="C42" t="s">
        <v>25</v>
      </c>
      <c r="D42" t="s">
        <v>33</v>
      </c>
      <c r="E42" t="s">
        <v>27</v>
      </c>
      <c r="F42" t="s">
        <v>28</v>
      </c>
      <c r="G42">
        <v>17.311450958251953</v>
      </c>
      <c r="H42">
        <v>17.239315032958984</v>
      </c>
      <c r="I42">
        <v>0.10201560705900192</v>
      </c>
      <c r="J42">
        <v>795092.875</v>
      </c>
      <c r="K42">
        <v>830680.375</v>
      </c>
      <c r="L42">
        <v>50328.28125</v>
      </c>
      <c r="M42" t="b">
        <v>0</v>
      </c>
      <c r="N42">
        <v>2</v>
      </c>
      <c r="O42" t="b">
        <v>1</v>
      </c>
      <c r="P42">
        <v>3</v>
      </c>
      <c r="Q42">
        <v>8</v>
      </c>
      <c r="R42">
        <v>83.977340698242188</v>
      </c>
      <c r="S42" t="s">
        <v>24</v>
      </c>
      <c r="T42" t="s">
        <v>24</v>
      </c>
      <c r="U42" t="s">
        <v>24</v>
      </c>
      <c r="V42" t="s">
        <v>29</v>
      </c>
    </row>
    <row r="43" spans="1:22">
      <c r="A43" t="s">
        <v>78</v>
      </c>
      <c r="B43" t="s">
        <v>79</v>
      </c>
      <c r="C43" t="s">
        <v>25</v>
      </c>
      <c r="D43" t="s">
        <v>33</v>
      </c>
      <c r="E43" t="s">
        <v>27</v>
      </c>
      <c r="F43" t="s">
        <v>28</v>
      </c>
      <c r="G43">
        <v>15.185512542724609</v>
      </c>
      <c r="H43">
        <v>15.138618469238281</v>
      </c>
      <c r="I43">
        <v>6.6318236291408539E-2</v>
      </c>
      <c r="J43">
        <v>2812481</v>
      </c>
      <c r="K43">
        <v>2893082.5</v>
      </c>
      <c r="L43">
        <v>113987.9140625</v>
      </c>
      <c r="M43" t="b">
        <v>0</v>
      </c>
      <c r="N43">
        <v>2</v>
      </c>
      <c r="O43" t="b">
        <v>1</v>
      </c>
      <c r="P43">
        <v>3</v>
      </c>
      <c r="Q43">
        <v>7</v>
      </c>
      <c r="R43">
        <v>84.358612060546875</v>
      </c>
      <c r="S43" t="s">
        <v>24</v>
      </c>
      <c r="T43" t="s">
        <v>24</v>
      </c>
      <c r="U43" t="s">
        <v>24</v>
      </c>
      <c r="V43" t="s">
        <v>29</v>
      </c>
    </row>
    <row r="44" spans="1:22">
      <c r="A44" t="s">
        <v>80</v>
      </c>
      <c r="B44" t="s">
        <v>79</v>
      </c>
      <c r="C44" t="s">
        <v>25</v>
      </c>
      <c r="D44" t="s">
        <v>33</v>
      </c>
      <c r="E44" t="s">
        <v>27</v>
      </c>
      <c r="F44" t="s">
        <v>28</v>
      </c>
      <c r="G44">
        <v>15.091724395751953</v>
      </c>
      <c r="H44">
        <v>15.138618469238281</v>
      </c>
      <c r="I44">
        <v>6.6318236291408539E-2</v>
      </c>
      <c r="J44">
        <v>2973684.25</v>
      </c>
      <c r="K44">
        <v>2893082.5</v>
      </c>
      <c r="L44">
        <v>113987.9140625</v>
      </c>
      <c r="M44" t="b">
        <v>0</v>
      </c>
      <c r="N44">
        <v>2</v>
      </c>
      <c r="O44" t="b">
        <v>1</v>
      </c>
      <c r="P44">
        <v>3</v>
      </c>
      <c r="Q44">
        <v>6</v>
      </c>
      <c r="R44">
        <v>84.358612060546875</v>
      </c>
      <c r="S44" t="s">
        <v>24</v>
      </c>
      <c r="T44" t="s">
        <v>24</v>
      </c>
      <c r="U44" t="s">
        <v>24</v>
      </c>
      <c r="V44" t="s">
        <v>29</v>
      </c>
    </row>
    <row r="45" spans="1:22">
      <c r="A45" t="s">
        <v>81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>
        <v>22.207708358764648</v>
      </c>
      <c r="H45">
        <v>22.171501159667969</v>
      </c>
      <c r="I45">
        <v>5.1203362643718719E-2</v>
      </c>
      <c r="J45">
        <v>50000</v>
      </c>
      <c r="K45" t="s">
        <v>24</v>
      </c>
      <c r="L45" t="s">
        <v>24</v>
      </c>
      <c r="M45" t="b">
        <v>0</v>
      </c>
      <c r="N45">
        <v>2</v>
      </c>
      <c r="O45" t="b">
        <v>1</v>
      </c>
      <c r="P45">
        <v>3</v>
      </c>
      <c r="Q45">
        <v>13</v>
      </c>
      <c r="R45">
        <v>85.311820983886719</v>
      </c>
      <c r="S45" t="s">
        <v>24</v>
      </c>
      <c r="T45" t="s">
        <v>24</v>
      </c>
      <c r="U45" t="s">
        <v>24</v>
      </c>
      <c r="V45" t="s">
        <v>29</v>
      </c>
    </row>
    <row r="46" spans="1:22">
      <c r="A46" t="s">
        <v>82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>
        <v>22.135295867919922</v>
      </c>
      <c r="H46">
        <v>22.171501159667969</v>
      </c>
      <c r="I46">
        <v>5.1203362643718719E-2</v>
      </c>
      <c r="J46">
        <v>50000</v>
      </c>
      <c r="K46" t="s">
        <v>24</v>
      </c>
      <c r="L46" t="s">
        <v>24</v>
      </c>
      <c r="M46" t="b">
        <v>0</v>
      </c>
      <c r="N46">
        <v>2</v>
      </c>
      <c r="O46" t="b">
        <v>1</v>
      </c>
      <c r="P46">
        <v>3</v>
      </c>
      <c r="Q46">
        <v>13</v>
      </c>
      <c r="R46">
        <v>85.311820983886719</v>
      </c>
      <c r="S46" t="s">
        <v>24</v>
      </c>
      <c r="T46" t="s">
        <v>24</v>
      </c>
      <c r="U46" t="s">
        <v>24</v>
      </c>
      <c r="V46" t="s">
        <v>29</v>
      </c>
    </row>
    <row r="47" spans="1:22">
      <c r="A47" t="s">
        <v>83</v>
      </c>
      <c r="B47" t="s">
        <v>84</v>
      </c>
      <c r="C47" t="s">
        <v>25</v>
      </c>
      <c r="D47" t="s">
        <v>33</v>
      </c>
      <c r="E47" t="s">
        <v>27</v>
      </c>
      <c r="F47" t="s">
        <v>28</v>
      </c>
      <c r="G47">
        <v>15.113970756530762</v>
      </c>
      <c r="H47">
        <v>15.033041954040527</v>
      </c>
      <c r="I47">
        <v>0.1144506111741066</v>
      </c>
      <c r="J47">
        <v>2934630.5</v>
      </c>
      <c r="K47">
        <v>3082776</v>
      </c>
      <c r="L47">
        <v>209509.203125</v>
      </c>
      <c r="M47" t="b">
        <v>0</v>
      </c>
      <c r="N47">
        <v>2</v>
      </c>
      <c r="O47" t="b">
        <v>1</v>
      </c>
      <c r="P47">
        <v>3</v>
      </c>
      <c r="Q47">
        <v>5</v>
      </c>
      <c r="R47">
        <v>85.311820983886719</v>
      </c>
      <c r="S47" t="s">
        <v>24</v>
      </c>
      <c r="T47" t="s">
        <v>24</v>
      </c>
      <c r="U47" t="s">
        <v>24</v>
      </c>
      <c r="V47" t="s">
        <v>29</v>
      </c>
    </row>
    <row r="48" spans="1:22">
      <c r="A48" t="s">
        <v>85</v>
      </c>
      <c r="B48" t="s">
        <v>84</v>
      </c>
      <c r="C48" t="s">
        <v>25</v>
      </c>
      <c r="D48" t="s">
        <v>33</v>
      </c>
      <c r="E48" t="s">
        <v>27</v>
      </c>
      <c r="F48" t="s">
        <v>28</v>
      </c>
      <c r="G48">
        <v>14.952113151550293</v>
      </c>
      <c r="H48">
        <v>15.033041954040527</v>
      </c>
      <c r="I48">
        <v>0.1144506111741066</v>
      </c>
      <c r="J48">
        <v>3230921.25</v>
      </c>
      <c r="K48">
        <v>3082776</v>
      </c>
      <c r="L48">
        <v>209509.203125</v>
      </c>
      <c r="M48" t="b">
        <v>0</v>
      </c>
      <c r="N48">
        <v>2</v>
      </c>
      <c r="O48" t="b">
        <v>1</v>
      </c>
      <c r="P48">
        <v>3</v>
      </c>
      <c r="Q48">
        <v>8</v>
      </c>
      <c r="R48">
        <v>85.311820983886719</v>
      </c>
      <c r="S48" t="s">
        <v>24</v>
      </c>
      <c r="T48" t="s">
        <v>24</v>
      </c>
      <c r="U48" t="s">
        <v>24</v>
      </c>
      <c r="V48" t="s">
        <v>29</v>
      </c>
    </row>
    <row r="49" spans="1:22">
      <c r="A49" t="s">
        <v>86</v>
      </c>
      <c r="B49" t="s">
        <v>87</v>
      </c>
      <c r="C49" t="s">
        <v>25</v>
      </c>
      <c r="D49" t="s">
        <v>33</v>
      </c>
      <c r="E49" t="s">
        <v>27</v>
      </c>
      <c r="F49" t="s">
        <v>28</v>
      </c>
      <c r="G49">
        <v>16.997714996337891</v>
      </c>
      <c r="H49">
        <v>16.946212768554688</v>
      </c>
      <c r="I49">
        <v>7.2833798825740814E-2</v>
      </c>
      <c r="J49">
        <v>958050.125</v>
      </c>
      <c r="K49">
        <v>988287.4375</v>
      </c>
      <c r="L49">
        <v>42762.015625</v>
      </c>
      <c r="M49" t="b">
        <v>0</v>
      </c>
      <c r="N49">
        <v>2</v>
      </c>
      <c r="O49" t="b">
        <v>1</v>
      </c>
      <c r="P49">
        <v>3</v>
      </c>
      <c r="Q49">
        <v>8</v>
      </c>
      <c r="R49">
        <v>84.9305419921875</v>
      </c>
      <c r="S49" t="s">
        <v>24</v>
      </c>
      <c r="T49" t="s">
        <v>24</v>
      </c>
      <c r="U49" t="s">
        <v>24</v>
      </c>
      <c r="V49" t="s">
        <v>29</v>
      </c>
    </row>
    <row r="50" spans="1:22">
      <c r="A50" t="s">
        <v>88</v>
      </c>
      <c r="B50" t="s">
        <v>87</v>
      </c>
      <c r="C50" t="s">
        <v>25</v>
      </c>
      <c r="D50" t="s">
        <v>33</v>
      </c>
      <c r="E50" t="s">
        <v>27</v>
      </c>
      <c r="F50" t="s">
        <v>28</v>
      </c>
      <c r="G50">
        <v>16.894712448120117</v>
      </c>
      <c r="H50">
        <v>16.946212768554688</v>
      </c>
      <c r="I50">
        <v>7.2833798825740814E-2</v>
      </c>
      <c r="J50">
        <v>1018524.75</v>
      </c>
      <c r="K50">
        <v>988287.4375</v>
      </c>
      <c r="L50">
        <v>42762.015625</v>
      </c>
      <c r="M50" t="b">
        <v>0</v>
      </c>
      <c r="N50">
        <v>2</v>
      </c>
      <c r="O50" t="b">
        <v>1</v>
      </c>
      <c r="P50">
        <v>3</v>
      </c>
      <c r="Q50">
        <v>8</v>
      </c>
      <c r="R50">
        <v>84.739898681640625</v>
      </c>
      <c r="S50" t="s">
        <v>24</v>
      </c>
      <c r="T50" t="s">
        <v>24</v>
      </c>
      <c r="U50" t="s">
        <v>24</v>
      </c>
      <c r="V50" t="s">
        <v>29</v>
      </c>
    </row>
    <row r="51" spans="1:22">
      <c r="A51" t="s">
        <v>89</v>
      </c>
      <c r="B51" t="s">
        <v>90</v>
      </c>
      <c r="C51" t="s">
        <v>25</v>
      </c>
      <c r="D51" t="s">
        <v>33</v>
      </c>
      <c r="E51" t="s">
        <v>27</v>
      </c>
      <c r="F51" t="s">
        <v>28</v>
      </c>
      <c r="G51">
        <v>16.48460578918457</v>
      </c>
      <c r="H51">
        <v>16.761074066162109</v>
      </c>
      <c r="I51">
        <v>0.39098653197288513</v>
      </c>
      <c r="J51">
        <v>1299612.125</v>
      </c>
      <c r="K51">
        <v>1117626.25</v>
      </c>
      <c r="L51">
        <v>257366.9375</v>
      </c>
      <c r="M51" t="b">
        <v>0</v>
      </c>
      <c r="N51">
        <v>2</v>
      </c>
      <c r="O51" t="b">
        <v>1</v>
      </c>
      <c r="P51">
        <v>3</v>
      </c>
      <c r="Q51">
        <v>8</v>
      </c>
      <c r="R51">
        <v>83.977340698242188</v>
      </c>
      <c r="S51" t="s">
        <v>24</v>
      </c>
      <c r="T51" t="s">
        <v>24</v>
      </c>
      <c r="U51" t="s">
        <v>24</v>
      </c>
      <c r="V51" t="s">
        <v>29</v>
      </c>
    </row>
    <row r="52" spans="1:22">
      <c r="A52" t="s">
        <v>91</v>
      </c>
      <c r="B52" t="s">
        <v>90</v>
      </c>
      <c r="C52" t="s">
        <v>25</v>
      </c>
      <c r="D52" t="s">
        <v>33</v>
      </c>
      <c r="E52" t="s">
        <v>27</v>
      </c>
      <c r="F52" t="s">
        <v>28</v>
      </c>
      <c r="G52">
        <v>17.037544250488281</v>
      </c>
      <c r="H52">
        <v>16.761074066162109</v>
      </c>
      <c r="I52">
        <v>0.39098653197288513</v>
      </c>
      <c r="J52">
        <v>935640.3125</v>
      </c>
      <c r="K52">
        <v>1117626.25</v>
      </c>
      <c r="L52">
        <v>257366.9375</v>
      </c>
      <c r="M52" t="b">
        <v>0</v>
      </c>
      <c r="N52">
        <v>2</v>
      </c>
      <c r="O52" t="b">
        <v>1</v>
      </c>
      <c r="P52">
        <v>3</v>
      </c>
      <c r="Q52">
        <v>10</v>
      </c>
      <c r="R52">
        <v>83.786697387695312</v>
      </c>
      <c r="S52" t="s">
        <v>24</v>
      </c>
      <c r="T52" t="s">
        <v>24</v>
      </c>
      <c r="U52" t="s">
        <v>24</v>
      </c>
      <c r="V52" t="s">
        <v>29</v>
      </c>
    </row>
    <row r="53" spans="1:22">
      <c r="A53" t="s">
        <v>92</v>
      </c>
      <c r="B53" t="s">
        <v>93</v>
      </c>
      <c r="C53" t="s">
        <v>25</v>
      </c>
      <c r="D53" t="s">
        <v>33</v>
      </c>
      <c r="E53" t="s">
        <v>27</v>
      </c>
      <c r="F53" t="s">
        <v>28</v>
      </c>
      <c r="G53">
        <v>16.591352462768555</v>
      </c>
      <c r="H53">
        <v>16.584754943847656</v>
      </c>
      <c r="I53">
        <v>9.3316491693258286E-3</v>
      </c>
      <c r="J53">
        <v>1219731.125</v>
      </c>
      <c r="K53">
        <v>1224532.75</v>
      </c>
      <c r="L53">
        <v>6790.5234375</v>
      </c>
      <c r="M53" t="b">
        <v>0</v>
      </c>
      <c r="N53">
        <v>2</v>
      </c>
      <c r="O53" t="b">
        <v>1</v>
      </c>
      <c r="P53">
        <v>3</v>
      </c>
      <c r="Q53">
        <v>7</v>
      </c>
      <c r="R53">
        <v>84.358612060546875</v>
      </c>
      <c r="S53" t="s">
        <v>24</v>
      </c>
      <c r="T53" t="s">
        <v>24</v>
      </c>
      <c r="U53" t="s">
        <v>24</v>
      </c>
      <c r="V53" t="s">
        <v>29</v>
      </c>
    </row>
    <row r="54" spans="1:22">
      <c r="A54" t="s">
        <v>94</v>
      </c>
      <c r="B54" t="s">
        <v>93</v>
      </c>
      <c r="C54" t="s">
        <v>25</v>
      </c>
      <c r="D54" t="s">
        <v>33</v>
      </c>
      <c r="E54" t="s">
        <v>27</v>
      </c>
      <c r="F54" t="s">
        <v>28</v>
      </c>
      <c r="G54">
        <v>16.578155517578125</v>
      </c>
      <c r="H54">
        <v>16.584754943847656</v>
      </c>
      <c r="I54">
        <v>9.3316491693258286E-3</v>
      </c>
      <c r="J54">
        <v>1229334.375</v>
      </c>
      <c r="K54">
        <v>1224532.75</v>
      </c>
      <c r="L54">
        <v>6790.5234375</v>
      </c>
      <c r="M54" t="b">
        <v>0</v>
      </c>
      <c r="N54">
        <v>2</v>
      </c>
      <c r="O54" t="b">
        <v>1</v>
      </c>
      <c r="P54">
        <v>3</v>
      </c>
      <c r="Q54">
        <v>9</v>
      </c>
      <c r="R54">
        <v>84.358612060546875</v>
      </c>
      <c r="S54" t="s">
        <v>24</v>
      </c>
      <c r="T54" t="s">
        <v>24</v>
      </c>
      <c r="U54" t="s">
        <v>24</v>
      </c>
      <c r="V54" t="s">
        <v>29</v>
      </c>
    </row>
    <row r="55" spans="1:22">
      <c r="A55" t="s">
        <v>95</v>
      </c>
      <c r="B55" t="s">
        <v>96</v>
      </c>
      <c r="C55" t="s">
        <v>25</v>
      </c>
      <c r="D55" t="s">
        <v>33</v>
      </c>
      <c r="E55" t="s">
        <v>27</v>
      </c>
      <c r="F55" t="s">
        <v>28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b">
        <v>0</v>
      </c>
      <c r="N55">
        <v>2</v>
      </c>
      <c r="O55" t="b">
        <v>1</v>
      </c>
      <c r="P55">
        <v>3</v>
      </c>
      <c r="Q55">
        <v>48</v>
      </c>
      <c r="R55" t="s">
        <v>24</v>
      </c>
      <c r="S55" t="s">
        <v>24</v>
      </c>
      <c r="T55" t="s">
        <v>24</v>
      </c>
      <c r="U55" t="s">
        <v>24</v>
      </c>
      <c r="V55" t="s">
        <v>29</v>
      </c>
    </row>
    <row r="56" spans="1:22">
      <c r="A56" t="s">
        <v>97</v>
      </c>
      <c r="B56" t="s">
        <v>96</v>
      </c>
      <c r="C56" t="s">
        <v>25</v>
      </c>
      <c r="D56" t="s">
        <v>33</v>
      </c>
      <c r="E56" t="s">
        <v>27</v>
      </c>
      <c r="F56" t="s">
        <v>28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b">
        <v>0</v>
      </c>
      <c r="N56">
        <v>2</v>
      </c>
      <c r="O56" t="b">
        <v>1</v>
      </c>
      <c r="P56">
        <v>3</v>
      </c>
      <c r="Q56">
        <v>49</v>
      </c>
      <c r="R56" t="s">
        <v>24</v>
      </c>
      <c r="S56" t="s">
        <v>24</v>
      </c>
      <c r="T56" t="s">
        <v>24</v>
      </c>
      <c r="U56" t="s">
        <v>24</v>
      </c>
      <c r="V56" t="s">
        <v>29</v>
      </c>
    </row>
    <row r="57" spans="1:22">
      <c r="A57" t="s">
        <v>98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>
        <v>25.837736129760742</v>
      </c>
      <c r="H57">
        <v>25.801910400390625</v>
      </c>
      <c r="I57">
        <v>5.0663884729146957E-2</v>
      </c>
      <c r="J57">
        <v>5000</v>
      </c>
      <c r="K57" t="s">
        <v>24</v>
      </c>
      <c r="L57" t="s">
        <v>24</v>
      </c>
      <c r="M57" t="b">
        <v>0</v>
      </c>
      <c r="N57">
        <v>2</v>
      </c>
      <c r="O57" t="b">
        <v>1</v>
      </c>
      <c r="P57">
        <v>3</v>
      </c>
      <c r="Q57">
        <v>17</v>
      </c>
      <c r="R57">
        <v>85.311820983886719</v>
      </c>
      <c r="S57" t="s">
        <v>24</v>
      </c>
      <c r="T57" t="s">
        <v>24</v>
      </c>
      <c r="U57" t="s">
        <v>24</v>
      </c>
      <c r="V57" t="s">
        <v>29</v>
      </c>
    </row>
    <row r="58" spans="1:22">
      <c r="A58" t="s">
        <v>99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>
        <v>25.766086578369141</v>
      </c>
      <c r="H58">
        <v>25.801910400390625</v>
      </c>
      <c r="I58">
        <v>5.0663884729146957E-2</v>
      </c>
      <c r="J58">
        <v>5000</v>
      </c>
      <c r="K58" t="s">
        <v>24</v>
      </c>
      <c r="L58" t="s">
        <v>24</v>
      </c>
      <c r="M58" t="b">
        <v>0</v>
      </c>
      <c r="N58">
        <v>2</v>
      </c>
      <c r="O58" t="b">
        <v>1</v>
      </c>
      <c r="P58">
        <v>3</v>
      </c>
      <c r="Q58">
        <v>17</v>
      </c>
      <c r="R58">
        <v>85.311820983886719</v>
      </c>
      <c r="S58" t="s">
        <v>24</v>
      </c>
      <c r="T58" t="s">
        <v>24</v>
      </c>
      <c r="U58" t="s">
        <v>24</v>
      </c>
      <c r="V58" t="s">
        <v>29</v>
      </c>
    </row>
    <row r="59" spans="1:22">
      <c r="A59" t="s">
        <v>100</v>
      </c>
      <c r="B59" t="s">
        <v>101</v>
      </c>
      <c r="C59" t="s">
        <v>25</v>
      </c>
      <c r="D59" t="s">
        <v>33</v>
      </c>
      <c r="E59" t="s">
        <v>27</v>
      </c>
      <c r="F59" t="s">
        <v>28</v>
      </c>
      <c r="G59">
        <v>15.695102691650391</v>
      </c>
      <c r="H59">
        <v>15.573417663574219</v>
      </c>
      <c r="I59">
        <v>0.172088623046875</v>
      </c>
      <c r="J59">
        <v>2077649.5</v>
      </c>
      <c r="K59">
        <v>2239297.5</v>
      </c>
      <c r="L59">
        <v>228604.796875</v>
      </c>
      <c r="M59" t="b">
        <v>0</v>
      </c>
      <c r="N59">
        <v>2</v>
      </c>
      <c r="O59" t="b">
        <v>1</v>
      </c>
      <c r="P59">
        <v>3</v>
      </c>
      <c r="Q59">
        <v>7</v>
      </c>
      <c r="R59">
        <v>85.121177673339844</v>
      </c>
      <c r="S59" t="s">
        <v>24</v>
      </c>
      <c r="T59" t="s">
        <v>24</v>
      </c>
      <c r="U59" t="s">
        <v>24</v>
      </c>
      <c r="V59" t="s">
        <v>29</v>
      </c>
    </row>
    <row r="60" spans="1:22">
      <c r="A60" t="s">
        <v>102</v>
      </c>
      <c r="B60" t="s">
        <v>101</v>
      </c>
      <c r="C60" t="s">
        <v>25</v>
      </c>
      <c r="D60" t="s">
        <v>33</v>
      </c>
      <c r="E60" t="s">
        <v>27</v>
      </c>
      <c r="F60" t="s">
        <v>28</v>
      </c>
      <c r="G60">
        <v>15.451732635498047</v>
      </c>
      <c r="H60">
        <v>15.573417663574219</v>
      </c>
      <c r="I60">
        <v>0.172088623046875</v>
      </c>
      <c r="J60">
        <v>2400945.5</v>
      </c>
      <c r="K60">
        <v>2239297.5</v>
      </c>
      <c r="L60">
        <v>228604.796875</v>
      </c>
      <c r="M60" t="b">
        <v>0</v>
      </c>
      <c r="N60">
        <v>2</v>
      </c>
      <c r="O60" t="b">
        <v>1</v>
      </c>
      <c r="P60">
        <v>3</v>
      </c>
      <c r="Q60">
        <v>6</v>
      </c>
      <c r="R60">
        <v>85.121177673339844</v>
      </c>
      <c r="S60" t="s">
        <v>24</v>
      </c>
      <c r="T60" t="s">
        <v>24</v>
      </c>
      <c r="U60" t="s">
        <v>24</v>
      </c>
      <c r="V60" t="s">
        <v>29</v>
      </c>
    </row>
    <row r="61" spans="1:22">
      <c r="A61" t="s">
        <v>103</v>
      </c>
      <c r="B61" t="s">
        <v>104</v>
      </c>
      <c r="C61" t="s">
        <v>25</v>
      </c>
      <c r="D61" t="s">
        <v>33</v>
      </c>
      <c r="E61" t="s">
        <v>27</v>
      </c>
      <c r="F61" t="s">
        <v>28</v>
      </c>
      <c r="G61">
        <v>16.535652160644531</v>
      </c>
      <c r="H61">
        <v>16.542789459228516</v>
      </c>
      <c r="I61">
        <v>1.0095013305544853E-2</v>
      </c>
      <c r="J61">
        <v>1260780.5</v>
      </c>
      <c r="K61">
        <v>1255455</v>
      </c>
      <c r="L61">
        <v>7531.48291015625</v>
      </c>
      <c r="M61" t="b">
        <v>0</v>
      </c>
      <c r="N61">
        <v>2</v>
      </c>
      <c r="O61" t="b">
        <v>1</v>
      </c>
      <c r="P61">
        <v>3</v>
      </c>
      <c r="Q61">
        <v>7</v>
      </c>
      <c r="R61">
        <v>84.9305419921875</v>
      </c>
      <c r="S61" t="s">
        <v>24</v>
      </c>
      <c r="T61" t="s">
        <v>24</v>
      </c>
      <c r="U61" t="s">
        <v>24</v>
      </c>
      <c r="V61" t="s">
        <v>29</v>
      </c>
    </row>
    <row r="62" spans="1:22">
      <c r="A62" t="s">
        <v>105</v>
      </c>
      <c r="B62" t="s">
        <v>104</v>
      </c>
      <c r="C62" t="s">
        <v>25</v>
      </c>
      <c r="D62" t="s">
        <v>33</v>
      </c>
      <c r="E62" t="s">
        <v>27</v>
      </c>
      <c r="F62" t="s">
        <v>28</v>
      </c>
      <c r="G62">
        <v>16.549928665161133</v>
      </c>
      <c r="H62">
        <v>16.542789459228516</v>
      </c>
      <c r="I62">
        <v>1.0095013305544853E-2</v>
      </c>
      <c r="J62">
        <v>1250129.375</v>
      </c>
      <c r="K62">
        <v>1255455</v>
      </c>
      <c r="L62">
        <v>7531.48291015625</v>
      </c>
      <c r="M62" t="b">
        <v>0</v>
      </c>
      <c r="N62">
        <v>2</v>
      </c>
      <c r="O62" t="b">
        <v>1</v>
      </c>
      <c r="P62">
        <v>3</v>
      </c>
      <c r="Q62">
        <v>8</v>
      </c>
      <c r="R62">
        <v>84.9305419921875</v>
      </c>
      <c r="S62" t="s">
        <v>24</v>
      </c>
      <c r="T62" t="s">
        <v>24</v>
      </c>
      <c r="U62" t="s">
        <v>24</v>
      </c>
      <c r="V62" t="s">
        <v>29</v>
      </c>
    </row>
    <row r="63" spans="1:22">
      <c r="A63" t="s">
        <v>106</v>
      </c>
      <c r="B63" t="s">
        <v>107</v>
      </c>
      <c r="C63" t="s">
        <v>25</v>
      </c>
      <c r="D63" t="s">
        <v>33</v>
      </c>
      <c r="E63" t="s">
        <v>27</v>
      </c>
      <c r="F63" t="s">
        <v>28</v>
      </c>
      <c r="G63">
        <v>16.931119918823242</v>
      </c>
      <c r="H63">
        <v>16.942596435546875</v>
      </c>
      <c r="I63">
        <v>1.6230246052145958E-2</v>
      </c>
      <c r="J63">
        <v>996725.125</v>
      </c>
      <c r="K63">
        <v>989973.5</v>
      </c>
      <c r="L63">
        <v>9548.1953125</v>
      </c>
      <c r="M63" t="b">
        <v>0</v>
      </c>
      <c r="N63">
        <v>2</v>
      </c>
      <c r="O63" t="b">
        <v>1</v>
      </c>
      <c r="P63">
        <v>3</v>
      </c>
      <c r="Q63">
        <v>8</v>
      </c>
      <c r="R63">
        <v>84.9305419921875</v>
      </c>
      <c r="S63" t="s">
        <v>24</v>
      </c>
      <c r="T63" t="s">
        <v>24</v>
      </c>
      <c r="U63" t="s">
        <v>24</v>
      </c>
      <c r="V63" t="s">
        <v>29</v>
      </c>
    </row>
    <row r="64" spans="1:22">
      <c r="A64" t="s">
        <v>108</v>
      </c>
      <c r="B64" t="s">
        <v>107</v>
      </c>
      <c r="C64" t="s">
        <v>25</v>
      </c>
      <c r="D64" t="s">
        <v>33</v>
      </c>
      <c r="E64" t="s">
        <v>27</v>
      </c>
      <c r="F64" t="s">
        <v>28</v>
      </c>
      <c r="G64">
        <v>16.954072952270508</v>
      </c>
      <c r="H64">
        <v>16.942596435546875</v>
      </c>
      <c r="I64">
        <v>1.6230246052145958E-2</v>
      </c>
      <c r="J64">
        <v>983221.9375</v>
      </c>
      <c r="K64">
        <v>989973.5</v>
      </c>
      <c r="L64">
        <v>9548.1953125</v>
      </c>
      <c r="M64" t="b">
        <v>0</v>
      </c>
      <c r="N64">
        <v>2</v>
      </c>
      <c r="O64" t="b">
        <v>1</v>
      </c>
      <c r="P64">
        <v>3</v>
      </c>
      <c r="Q64">
        <v>9</v>
      </c>
      <c r="R64">
        <v>84.9305419921875</v>
      </c>
      <c r="S64" t="s">
        <v>24</v>
      </c>
      <c r="T64" t="s">
        <v>24</v>
      </c>
      <c r="U64" t="s">
        <v>24</v>
      </c>
      <c r="V64" t="s">
        <v>29</v>
      </c>
    </row>
    <row r="65" spans="1:22">
      <c r="A65" t="s">
        <v>109</v>
      </c>
      <c r="B65" t="s">
        <v>110</v>
      </c>
      <c r="C65" t="s">
        <v>25</v>
      </c>
      <c r="D65" t="s">
        <v>33</v>
      </c>
      <c r="E65" t="s">
        <v>27</v>
      </c>
      <c r="F65" t="s">
        <v>28</v>
      </c>
      <c r="G65">
        <v>15.601855278015137</v>
      </c>
      <c r="H65">
        <v>15.60383415222168</v>
      </c>
      <c r="I65">
        <v>2.7992250397801399E-3</v>
      </c>
      <c r="J65">
        <v>2196028.5</v>
      </c>
      <c r="K65">
        <v>2193448.5</v>
      </c>
      <c r="L65">
        <v>3648.6708984375</v>
      </c>
      <c r="M65" t="b">
        <v>0</v>
      </c>
      <c r="N65">
        <v>2</v>
      </c>
      <c r="O65" t="b">
        <v>1</v>
      </c>
      <c r="P65">
        <v>3</v>
      </c>
      <c r="Q65">
        <v>8</v>
      </c>
      <c r="R65">
        <v>84.9305419921875</v>
      </c>
      <c r="S65" t="s">
        <v>24</v>
      </c>
      <c r="T65" t="s">
        <v>24</v>
      </c>
      <c r="U65" t="s">
        <v>24</v>
      </c>
      <c r="V65" t="s">
        <v>29</v>
      </c>
    </row>
    <row r="66" spans="1:22">
      <c r="A66" t="s">
        <v>111</v>
      </c>
      <c r="B66" t="s">
        <v>110</v>
      </c>
      <c r="C66" t="s">
        <v>25</v>
      </c>
      <c r="D66" t="s">
        <v>33</v>
      </c>
      <c r="E66" t="s">
        <v>27</v>
      </c>
      <c r="F66" t="s">
        <v>28</v>
      </c>
      <c r="G66">
        <v>15.605813980102539</v>
      </c>
      <c r="H66">
        <v>15.60383415222168</v>
      </c>
      <c r="I66">
        <v>2.7992250397801399E-3</v>
      </c>
      <c r="J66">
        <v>2190868.5</v>
      </c>
      <c r="K66">
        <v>2193448.5</v>
      </c>
      <c r="L66">
        <v>3648.6708984375</v>
      </c>
      <c r="M66" t="b">
        <v>0</v>
      </c>
      <c r="N66">
        <v>2</v>
      </c>
      <c r="O66" t="b">
        <v>1</v>
      </c>
      <c r="P66">
        <v>3</v>
      </c>
      <c r="Q66">
        <v>8</v>
      </c>
      <c r="R66">
        <v>84.739898681640625</v>
      </c>
      <c r="S66" t="s">
        <v>24</v>
      </c>
      <c r="T66" t="s">
        <v>24</v>
      </c>
      <c r="U66" t="s">
        <v>24</v>
      </c>
      <c r="V66" t="s">
        <v>29</v>
      </c>
    </row>
    <row r="67" spans="1:22">
      <c r="A67" t="s">
        <v>112</v>
      </c>
      <c r="B67" t="s">
        <v>113</v>
      </c>
      <c r="C67" t="s">
        <v>25</v>
      </c>
      <c r="D67" t="s">
        <v>33</v>
      </c>
      <c r="E67" t="s">
        <v>27</v>
      </c>
      <c r="F67" t="s">
        <v>28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b">
        <v>0</v>
      </c>
      <c r="N67">
        <v>2</v>
      </c>
      <c r="O67" t="b">
        <v>1</v>
      </c>
      <c r="P67">
        <v>3</v>
      </c>
      <c r="Q67">
        <v>39</v>
      </c>
      <c r="R67" t="s">
        <v>24</v>
      </c>
      <c r="S67" t="s">
        <v>24</v>
      </c>
      <c r="T67" t="s">
        <v>24</v>
      </c>
      <c r="U67" t="s">
        <v>24</v>
      </c>
      <c r="V67" t="s">
        <v>29</v>
      </c>
    </row>
    <row r="68" spans="1:22">
      <c r="A68" t="s">
        <v>115</v>
      </c>
      <c r="B68" t="s">
        <v>113</v>
      </c>
      <c r="C68" t="s">
        <v>25</v>
      </c>
      <c r="D68" t="s">
        <v>33</v>
      </c>
      <c r="E68" t="s">
        <v>27</v>
      </c>
      <c r="F68" t="s">
        <v>28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b">
        <v>0</v>
      </c>
      <c r="N68">
        <v>2</v>
      </c>
      <c r="O68" t="b">
        <v>1</v>
      </c>
      <c r="P68">
        <v>3</v>
      </c>
      <c r="Q68">
        <v>49</v>
      </c>
      <c r="R68" t="s">
        <v>24</v>
      </c>
      <c r="S68" t="s">
        <v>24</v>
      </c>
      <c r="T68" t="s">
        <v>24</v>
      </c>
      <c r="U68" t="s">
        <v>24</v>
      </c>
      <c r="V68" t="s">
        <v>29</v>
      </c>
    </row>
    <row r="69" spans="1:22">
      <c r="A69" t="s">
        <v>116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>
        <v>30.132839202880859</v>
      </c>
      <c r="H69">
        <v>29.835325241088867</v>
      </c>
      <c r="I69">
        <v>0.42074829339981079</v>
      </c>
      <c r="J69">
        <v>500</v>
      </c>
      <c r="K69" t="s">
        <v>24</v>
      </c>
      <c r="L69" t="s">
        <v>24</v>
      </c>
      <c r="M69" t="b">
        <v>0</v>
      </c>
      <c r="N69">
        <v>2</v>
      </c>
      <c r="O69" t="b">
        <v>1</v>
      </c>
      <c r="P69">
        <v>3</v>
      </c>
      <c r="Q69">
        <v>23</v>
      </c>
      <c r="R69">
        <v>85.121177673339844</v>
      </c>
      <c r="S69" t="s">
        <v>24</v>
      </c>
      <c r="T69" t="s">
        <v>24</v>
      </c>
      <c r="U69" t="s">
        <v>24</v>
      </c>
      <c r="V69" t="s">
        <v>29</v>
      </c>
    </row>
    <row r="70" spans="1:22">
      <c r="A70" t="s">
        <v>117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>
        <v>29.537811279296875</v>
      </c>
      <c r="H70">
        <v>29.835325241088867</v>
      </c>
      <c r="I70">
        <v>0.42074829339981079</v>
      </c>
      <c r="J70">
        <v>500</v>
      </c>
      <c r="K70" t="s">
        <v>24</v>
      </c>
      <c r="L70" t="s">
        <v>24</v>
      </c>
      <c r="M70" t="b">
        <v>0</v>
      </c>
      <c r="N70">
        <v>2</v>
      </c>
      <c r="O70" t="b">
        <v>1</v>
      </c>
      <c r="P70">
        <v>3</v>
      </c>
      <c r="Q70">
        <v>22</v>
      </c>
      <c r="R70">
        <v>85.311820983886719</v>
      </c>
      <c r="S70" t="s">
        <v>24</v>
      </c>
      <c r="T70" t="s">
        <v>24</v>
      </c>
      <c r="U70" t="s">
        <v>24</v>
      </c>
      <c r="V70" t="s">
        <v>29</v>
      </c>
    </row>
    <row r="71" spans="1:22">
      <c r="A71" t="s">
        <v>118</v>
      </c>
      <c r="B71" t="s">
        <v>119</v>
      </c>
      <c r="C71" t="s">
        <v>25</v>
      </c>
      <c r="D71" t="s">
        <v>33</v>
      </c>
      <c r="E71" t="s">
        <v>27</v>
      </c>
      <c r="F71" t="s">
        <v>28</v>
      </c>
      <c r="G71">
        <v>14.441154479980469</v>
      </c>
      <c r="H71">
        <v>14.389137268066406</v>
      </c>
      <c r="I71">
        <v>7.3564119637012482E-2</v>
      </c>
      <c r="J71">
        <v>4377205</v>
      </c>
      <c r="K71">
        <v>4516784</v>
      </c>
      <c r="L71">
        <v>197394.15625</v>
      </c>
      <c r="M71" t="b">
        <v>0</v>
      </c>
      <c r="N71">
        <v>2</v>
      </c>
      <c r="O71" t="b">
        <v>1</v>
      </c>
      <c r="P71">
        <v>3</v>
      </c>
      <c r="Q71">
        <v>6</v>
      </c>
      <c r="R71">
        <v>85.121177673339844</v>
      </c>
      <c r="S71" t="s">
        <v>24</v>
      </c>
      <c r="T71" t="s">
        <v>24</v>
      </c>
      <c r="U71" t="s">
        <v>24</v>
      </c>
      <c r="V71" t="s">
        <v>29</v>
      </c>
    </row>
    <row r="72" spans="1:22">
      <c r="A72" t="s">
        <v>120</v>
      </c>
      <c r="B72" t="s">
        <v>119</v>
      </c>
      <c r="C72" t="s">
        <v>25</v>
      </c>
      <c r="D72" t="s">
        <v>33</v>
      </c>
      <c r="E72" t="s">
        <v>27</v>
      </c>
      <c r="F72" t="s">
        <v>28</v>
      </c>
      <c r="G72">
        <v>14.337119102478027</v>
      </c>
      <c r="H72">
        <v>14.389137268066406</v>
      </c>
      <c r="I72">
        <v>7.3564119637012482E-2</v>
      </c>
      <c r="J72">
        <v>4656362.5</v>
      </c>
      <c r="K72">
        <v>4516784</v>
      </c>
      <c r="L72">
        <v>197394.15625</v>
      </c>
      <c r="M72" t="b">
        <v>0</v>
      </c>
      <c r="N72">
        <v>2</v>
      </c>
      <c r="O72" t="b">
        <v>1</v>
      </c>
      <c r="P72">
        <v>3</v>
      </c>
      <c r="Q72">
        <v>7</v>
      </c>
      <c r="R72">
        <v>85.121177673339844</v>
      </c>
      <c r="S72" t="s">
        <v>24</v>
      </c>
      <c r="T72" t="s">
        <v>24</v>
      </c>
      <c r="U72" t="s">
        <v>24</v>
      </c>
      <c r="V72" t="s">
        <v>29</v>
      </c>
    </row>
    <row r="73" spans="1:22">
      <c r="A73" t="s">
        <v>121</v>
      </c>
      <c r="B73" t="s">
        <v>122</v>
      </c>
      <c r="C73" t="s">
        <v>25</v>
      </c>
      <c r="D73" t="s">
        <v>33</v>
      </c>
      <c r="E73" t="s">
        <v>27</v>
      </c>
      <c r="F73" t="s">
        <v>28</v>
      </c>
      <c r="G73">
        <v>17.496822357177734</v>
      </c>
      <c r="H73">
        <v>17.444019317626953</v>
      </c>
      <c r="I73">
        <v>7.467612624168396E-2</v>
      </c>
      <c r="J73">
        <v>712158</v>
      </c>
      <c r="K73">
        <v>735221.25</v>
      </c>
      <c r="L73">
        <v>32616.31640625</v>
      </c>
      <c r="M73" t="b">
        <v>0</v>
      </c>
      <c r="N73">
        <v>2</v>
      </c>
      <c r="O73" t="b">
        <v>1</v>
      </c>
      <c r="P73">
        <v>3</v>
      </c>
      <c r="Q73">
        <v>9</v>
      </c>
      <c r="R73">
        <v>85.121177673339844</v>
      </c>
      <c r="S73" t="s">
        <v>24</v>
      </c>
      <c r="T73" t="s">
        <v>24</v>
      </c>
      <c r="U73" t="s">
        <v>24</v>
      </c>
      <c r="V73" t="s">
        <v>29</v>
      </c>
    </row>
    <row r="74" spans="1:22">
      <c r="A74" t="s">
        <v>123</v>
      </c>
      <c r="B74" t="s">
        <v>122</v>
      </c>
      <c r="C74" t="s">
        <v>25</v>
      </c>
      <c r="D74" t="s">
        <v>33</v>
      </c>
      <c r="E74" t="s">
        <v>27</v>
      </c>
      <c r="F74" t="s">
        <v>28</v>
      </c>
      <c r="G74">
        <v>17.391214370727539</v>
      </c>
      <c r="H74">
        <v>17.444019317626953</v>
      </c>
      <c r="I74">
        <v>7.467612624168396E-2</v>
      </c>
      <c r="J74">
        <v>758284.4375</v>
      </c>
      <c r="K74">
        <v>735221.25</v>
      </c>
      <c r="L74">
        <v>32616.31640625</v>
      </c>
      <c r="M74" t="b">
        <v>0</v>
      </c>
      <c r="N74">
        <v>2</v>
      </c>
      <c r="O74" t="b">
        <v>1</v>
      </c>
      <c r="P74">
        <v>3</v>
      </c>
      <c r="Q74">
        <v>8</v>
      </c>
      <c r="R74">
        <v>84.9305419921875</v>
      </c>
      <c r="S74" t="s">
        <v>24</v>
      </c>
      <c r="T74" t="s">
        <v>24</v>
      </c>
      <c r="U74" t="s">
        <v>24</v>
      </c>
      <c r="V74" t="s">
        <v>29</v>
      </c>
    </row>
    <row r="75" spans="1:22">
      <c r="A75" t="s">
        <v>124</v>
      </c>
      <c r="B75" t="s">
        <v>125</v>
      </c>
      <c r="C75" t="s">
        <v>25</v>
      </c>
      <c r="D75" t="s">
        <v>33</v>
      </c>
      <c r="E75" t="s">
        <v>27</v>
      </c>
      <c r="F75" t="s">
        <v>28</v>
      </c>
      <c r="G75">
        <v>18.231967926025391</v>
      </c>
      <c r="H75">
        <v>18.333900451660156</v>
      </c>
      <c r="I75">
        <v>0.14415301382541656</v>
      </c>
      <c r="J75">
        <v>460094.125</v>
      </c>
      <c r="K75">
        <v>433846.40625</v>
      </c>
      <c r="L75">
        <v>37119.87890625</v>
      </c>
      <c r="M75" t="b">
        <v>0</v>
      </c>
      <c r="N75">
        <v>2</v>
      </c>
      <c r="O75" t="b">
        <v>1</v>
      </c>
      <c r="P75">
        <v>3</v>
      </c>
      <c r="Q75">
        <v>10</v>
      </c>
      <c r="R75">
        <v>84.358612060546875</v>
      </c>
      <c r="S75" t="s">
        <v>24</v>
      </c>
      <c r="T75" t="s">
        <v>24</v>
      </c>
      <c r="U75" t="s">
        <v>24</v>
      </c>
      <c r="V75" t="s">
        <v>29</v>
      </c>
    </row>
    <row r="76" spans="1:22">
      <c r="A76" t="s">
        <v>126</v>
      </c>
      <c r="B76" t="s">
        <v>125</v>
      </c>
      <c r="C76" t="s">
        <v>25</v>
      </c>
      <c r="D76" t="s">
        <v>33</v>
      </c>
      <c r="E76" t="s">
        <v>27</v>
      </c>
      <c r="F76" t="s">
        <v>28</v>
      </c>
      <c r="G76">
        <v>18.435831069946289</v>
      </c>
      <c r="H76">
        <v>18.333900451660156</v>
      </c>
      <c r="I76">
        <v>0.14415301382541656</v>
      </c>
      <c r="J76">
        <v>407598.6875</v>
      </c>
      <c r="K76">
        <v>433846.40625</v>
      </c>
      <c r="L76">
        <v>37119.87890625</v>
      </c>
      <c r="M76" t="b">
        <v>0</v>
      </c>
      <c r="N76">
        <v>2</v>
      </c>
      <c r="O76" t="b">
        <v>1</v>
      </c>
      <c r="P76">
        <v>3</v>
      </c>
      <c r="Q76">
        <v>10</v>
      </c>
      <c r="R76">
        <v>84.358612060546875</v>
      </c>
      <c r="S76" t="s">
        <v>24</v>
      </c>
      <c r="T76" t="s">
        <v>24</v>
      </c>
      <c r="U76" t="s">
        <v>24</v>
      </c>
      <c r="V76" t="s">
        <v>29</v>
      </c>
    </row>
    <row r="77" spans="1:22">
      <c r="A77" t="s">
        <v>127</v>
      </c>
      <c r="B77" t="s">
        <v>128</v>
      </c>
      <c r="C77" t="s">
        <v>25</v>
      </c>
      <c r="D77" t="s">
        <v>33</v>
      </c>
      <c r="E77" t="s">
        <v>27</v>
      </c>
      <c r="F77" t="s">
        <v>28</v>
      </c>
      <c r="G77">
        <v>19.514671325683594</v>
      </c>
      <c r="H77">
        <v>19.554481506347656</v>
      </c>
      <c r="I77">
        <v>5.6300096213817596E-2</v>
      </c>
      <c r="J77">
        <v>214684.5625</v>
      </c>
      <c r="K77">
        <v>209723.90625</v>
      </c>
      <c r="L77">
        <v>7015.41650390625</v>
      </c>
      <c r="M77" t="b">
        <v>0</v>
      </c>
      <c r="N77">
        <v>2</v>
      </c>
      <c r="O77" t="b">
        <v>1</v>
      </c>
      <c r="P77">
        <v>3</v>
      </c>
      <c r="Q77">
        <v>10</v>
      </c>
      <c r="R77">
        <v>85.121177673339844</v>
      </c>
      <c r="S77" t="s">
        <v>24</v>
      </c>
      <c r="T77" t="s">
        <v>24</v>
      </c>
      <c r="U77" t="s">
        <v>24</v>
      </c>
      <c r="V77" t="s">
        <v>29</v>
      </c>
    </row>
    <row r="78" spans="1:22">
      <c r="A78" t="s">
        <v>129</v>
      </c>
      <c r="B78" t="s">
        <v>128</v>
      </c>
      <c r="C78" t="s">
        <v>25</v>
      </c>
      <c r="D78" t="s">
        <v>33</v>
      </c>
      <c r="E78" t="s">
        <v>27</v>
      </c>
      <c r="F78" t="s">
        <v>28</v>
      </c>
      <c r="G78">
        <v>19.594291687011719</v>
      </c>
      <c r="H78">
        <v>19.554481506347656</v>
      </c>
      <c r="I78">
        <v>5.6300096213817596E-2</v>
      </c>
      <c r="J78">
        <v>204763.265625</v>
      </c>
      <c r="K78">
        <v>209723.90625</v>
      </c>
      <c r="L78">
        <v>7015.41650390625</v>
      </c>
      <c r="M78" t="b">
        <v>0</v>
      </c>
      <c r="N78">
        <v>2</v>
      </c>
      <c r="O78" t="b">
        <v>1</v>
      </c>
      <c r="P78">
        <v>3</v>
      </c>
      <c r="Q78">
        <v>11</v>
      </c>
      <c r="R78">
        <v>84.9305419921875</v>
      </c>
      <c r="S78" t="s">
        <v>24</v>
      </c>
      <c r="T78" t="s">
        <v>24</v>
      </c>
      <c r="U78" t="s">
        <v>24</v>
      </c>
      <c r="V78" t="s">
        <v>29</v>
      </c>
    </row>
    <row r="79" spans="1:22">
      <c r="A79" t="s">
        <v>130</v>
      </c>
      <c r="B79" t="s">
        <v>131</v>
      </c>
      <c r="C79" t="s">
        <v>25</v>
      </c>
      <c r="D79" t="s">
        <v>33</v>
      </c>
      <c r="E79" t="s">
        <v>27</v>
      </c>
      <c r="F79" t="s">
        <v>28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b">
        <v>0</v>
      </c>
      <c r="N79">
        <v>2</v>
      </c>
      <c r="O79" t="b">
        <v>1</v>
      </c>
      <c r="P79">
        <v>3</v>
      </c>
      <c r="Q79">
        <v>49</v>
      </c>
      <c r="R79" t="s">
        <v>24</v>
      </c>
      <c r="S79" t="s">
        <v>24</v>
      </c>
      <c r="T79" t="s">
        <v>24</v>
      </c>
      <c r="U79" t="s">
        <v>24</v>
      </c>
      <c r="V79" t="s">
        <v>29</v>
      </c>
    </row>
    <row r="80" spans="1:22">
      <c r="A80" t="s">
        <v>132</v>
      </c>
      <c r="B80" t="s">
        <v>131</v>
      </c>
      <c r="C80" t="s">
        <v>25</v>
      </c>
      <c r="D80" t="s">
        <v>33</v>
      </c>
      <c r="E80" t="s">
        <v>27</v>
      </c>
      <c r="F80" t="s">
        <v>28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b">
        <v>0</v>
      </c>
      <c r="N80">
        <v>2</v>
      </c>
      <c r="O80" t="b">
        <v>1</v>
      </c>
      <c r="P80">
        <v>3</v>
      </c>
      <c r="Q80">
        <v>37</v>
      </c>
      <c r="R80" t="s">
        <v>24</v>
      </c>
      <c r="S80" t="s">
        <v>24</v>
      </c>
      <c r="T80" t="s">
        <v>24</v>
      </c>
      <c r="U80" t="s">
        <v>24</v>
      </c>
      <c r="V80" t="s">
        <v>29</v>
      </c>
    </row>
    <row r="81" spans="1:22">
      <c r="A81" t="s">
        <v>133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b">
        <v>0</v>
      </c>
      <c r="N81">
        <v>2</v>
      </c>
      <c r="O81" t="b">
        <v>1</v>
      </c>
      <c r="P81">
        <v>3</v>
      </c>
      <c r="Q81">
        <v>21</v>
      </c>
      <c r="R81" t="s">
        <v>24</v>
      </c>
      <c r="S81" t="s">
        <v>24</v>
      </c>
      <c r="T81" t="s">
        <v>24</v>
      </c>
      <c r="U81" t="s">
        <v>24</v>
      </c>
      <c r="V81" t="s">
        <v>29</v>
      </c>
    </row>
    <row r="82" spans="1:22">
      <c r="A82" t="s">
        <v>134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b">
        <v>0</v>
      </c>
      <c r="N82">
        <v>2</v>
      </c>
      <c r="O82" t="b">
        <v>1</v>
      </c>
      <c r="P82">
        <v>3</v>
      </c>
      <c r="Q82">
        <v>22</v>
      </c>
      <c r="R82" t="s">
        <v>24</v>
      </c>
      <c r="S82" t="s">
        <v>24</v>
      </c>
      <c r="T82" t="s">
        <v>24</v>
      </c>
      <c r="U82" t="s">
        <v>24</v>
      </c>
      <c r="V82" t="s">
        <v>29</v>
      </c>
    </row>
    <row r="83" spans="1:22">
      <c r="A83" t="s">
        <v>135</v>
      </c>
      <c r="B83" t="s">
        <v>136</v>
      </c>
      <c r="C83" t="s">
        <v>25</v>
      </c>
      <c r="D83" t="s">
        <v>33</v>
      </c>
      <c r="E83" t="s">
        <v>27</v>
      </c>
      <c r="F83" t="s">
        <v>28</v>
      </c>
      <c r="G83">
        <v>15.603214263916016</v>
      </c>
      <c r="H83">
        <v>15.458337783813477</v>
      </c>
      <c r="I83">
        <v>0.20488628745079041</v>
      </c>
      <c r="J83">
        <v>2194255.75</v>
      </c>
      <c r="K83">
        <v>2400408.75</v>
      </c>
      <c r="L83">
        <v>291544.375</v>
      </c>
      <c r="M83" t="b">
        <v>0</v>
      </c>
      <c r="N83">
        <v>2</v>
      </c>
      <c r="O83" t="b">
        <v>1</v>
      </c>
      <c r="P83">
        <v>3</v>
      </c>
      <c r="Q83">
        <v>9</v>
      </c>
      <c r="R83">
        <v>84.9305419921875</v>
      </c>
      <c r="S83" t="s">
        <v>24</v>
      </c>
      <c r="T83" t="s">
        <v>24</v>
      </c>
      <c r="U83" t="s">
        <v>24</v>
      </c>
      <c r="V83" t="s">
        <v>29</v>
      </c>
    </row>
    <row r="84" spans="1:22">
      <c r="A84" t="s">
        <v>137</v>
      </c>
      <c r="B84" t="s">
        <v>136</v>
      </c>
      <c r="C84" t="s">
        <v>25</v>
      </c>
      <c r="D84" t="s">
        <v>33</v>
      </c>
      <c r="E84" t="s">
        <v>27</v>
      </c>
      <c r="F84" t="s">
        <v>28</v>
      </c>
      <c r="G84">
        <v>15.313461303710938</v>
      </c>
      <c r="H84">
        <v>15.458337783813477</v>
      </c>
      <c r="I84">
        <v>0.20488628745079041</v>
      </c>
      <c r="J84">
        <v>2606561.75</v>
      </c>
      <c r="K84">
        <v>2400408.75</v>
      </c>
      <c r="L84">
        <v>291544.375</v>
      </c>
      <c r="M84" t="b">
        <v>0</v>
      </c>
      <c r="N84">
        <v>2</v>
      </c>
      <c r="O84" t="b">
        <v>1</v>
      </c>
      <c r="P84">
        <v>3</v>
      </c>
      <c r="Q84">
        <v>8</v>
      </c>
      <c r="R84">
        <v>84.9305419921875</v>
      </c>
      <c r="S84" t="s">
        <v>24</v>
      </c>
      <c r="T84" t="s">
        <v>24</v>
      </c>
      <c r="U84" t="s">
        <v>24</v>
      </c>
      <c r="V84" t="s">
        <v>29</v>
      </c>
    </row>
    <row r="85" spans="1:22">
      <c r="A85" t="s">
        <v>138</v>
      </c>
      <c r="B85" t="s">
        <v>139</v>
      </c>
      <c r="C85" t="s">
        <v>25</v>
      </c>
      <c r="D85" t="s">
        <v>33</v>
      </c>
      <c r="E85" t="s">
        <v>27</v>
      </c>
      <c r="F85" t="s">
        <v>28</v>
      </c>
      <c r="G85">
        <v>15.921979904174805</v>
      </c>
      <c r="H85">
        <v>15.870651245117188</v>
      </c>
      <c r="I85">
        <v>7.2590358555316925E-2</v>
      </c>
      <c r="J85">
        <v>1815594.25</v>
      </c>
      <c r="K85">
        <v>1872699.25</v>
      </c>
      <c r="L85">
        <v>80758.75</v>
      </c>
      <c r="M85" t="b">
        <v>0</v>
      </c>
      <c r="N85">
        <v>2</v>
      </c>
      <c r="O85" t="b">
        <v>1</v>
      </c>
      <c r="P85">
        <v>3</v>
      </c>
      <c r="Q85">
        <v>7</v>
      </c>
      <c r="R85">
        <v>84.9305419921875</v>
      </c>
      <c r="S85" t="s">
        <v>24</v>
      </c>
      <c r="T85" t="s">
        <v>24</v>
      </c>
      <c r="U85" t="s">
        <v>24</v>
      </c>
      <c r="V85" t="s">
        <v>29</v>
      </c>
    </row>
    <row r="86" spans="1:22">
      <c r="A86" t="s">
        <v>140</v>
      </c>
      <c r="B86" t="s">
        <v>139</v>
      </c>
      <c r="C86" t="s">
        <v>25</v>
      </c>
      <c r="D86" t="s">
        <v>33</v>
      </c>
      <c r="E86" t="s">
        <v>27</v>
      </c>
      <c r="F86" t="s">
        <v>28</v>
      </c>
      <c r="G86">
        <v>15.819321632385254</v>
      </c>
      <c r="H86">
        <v>15.870651245117188</v>
      </c>
      <c r="I86">
        <v>7.2590358555316925E-2</v>
      </c>
      <c r="J86">
        <v>1929804.375</v>
      </c>
      <c r="K86">
        <v>1872699.25</v>
      </c>
      <c r="L86">
        <v>80758.75</v>
      </c>
      <c r="M86" t="b">
        <v>0</v>
      </c>
      <c r="N86">
        <v>2</v>
      </c>
      <c r="O86" t="b">
        <v>1</v>
      </c>
      <c r="P86">
        <v>3</v>
      </c>
      <c r="Q86">
        <v>8</v>
      </c>
      <c r="R86">
        <v>84.9305419921875</v>
      </c>
      <c r="S86" t="s">
        <v>24</v>
      </c>
      <c r="T86" t="s">
        <v>24</v>
      </c>
      <c r="U86" t="s">
        <v>24</v>
      </c>
      <c r="V86" t="s">
        <v>29</v>
      </c>
    </row>
    <row r="87" spans="1:22">
      <c r="A87" t="s">
        <v>141</v>
      </c>
      <c r="B87" t="s">
        <v>142</v>
      </c>
      <c r="C87" t="s">
        <v>25</v>
      </c>
      <c r="D87" t="s">
        <v>33</v>
      </c>
      <c r="E87" t="s">
        <v>27</v>
      </c>
      <c r="F87" t="s">
        <v>28</v>
      </c>
      <c r="G87">
        <v>18.131080627441406</v>
      </c>
      <c r="H87">
        <v>18.191421508789062</v>
      </c>
      <c r="I87">
        <v>8.5333541035652161E-2</v>
      </c>
      <c r="J87">
        <v>488522</v>
      </c>
      <c r="K87">
        <v>471618.125</v>
      </c>
      <c r="L87">
        <v>23905.7109375</v>
      </c>
      <c r="M87" t="b">
        <v>0</v>
      </c>
      <c r="N87">
        <v>2</v>
      </c>
      <c r="O87" t="b">
        <v>1</v>
      </c>
      <c r="P87">
        <v>3</v>
      </c>
      <c r="Q87">
        <v>11</v>
      </c>
      <c r="R87">
        <v>84.54925537109375</v>
      </c>
      <c r="S87" t="s">
        <v>24</v>
      </c>
      <c r="T87" t="s">
        <v>24</v>
      </c>
      <c r="U87" t="s">
        <v>24</v>
      </c>
      <c r="V87" t="s">
        <v>29</v>
      </c>
    </row>
    <row r="88" spans="1:22">
      <c r="A88" t="s">
        <v>143</v>
      </c>
      <c r="B88" t="s">
        <v>142</v>
      </c>
      <c r="C88" t="s">
        <v>25</v>
      </c>
      <c r="D88" t="s">
        <v>33</v>
      </c>
      <c r="E88" t="s">
        <v>27</v>
      </c>
      <c r="F88" t="s">
        <v>28</v>
      </c>
      <c r="G88">
        <v>18.251760482788086</v>
      </c>
      <c r="H88">
        <v>18.191421508789062</v>
      </c>
      <c r="I88">
        <v>8.5333541035652161E-2</v>
      </c>
      <c r="J88">
        <v>454714.21875</v>
      </c>
      <c r="K88">
        <v>471618.125</v>
      </c>
      <c r="L88">
        <v>23905.7109375</v>
      </c>
      <c r="M88" t="b">
        <v>0</v>
      </c>
      <c r="N88">
        <v>2</v>
      </c>
      <c r="O88" t="b">
        <v>1</v>
      </c>
      <c r="P88">
        <v>3</v>
      </c>
      <c r="Q88">
        <v>11</v>
      </c>
      <c r="R88">
        <v>84.54925537109375</v>
      </c>
      <c r="S88" t="s">
        <v>24</v>
      </c>
      <c r="T88" t="s">
        <v>24</v>
      </c>
      <c r="U88" t="s">
        <v>24</v>
      </c>
      <c r="V88" t="s">
        <v>29</v>
      </c>
    </row>
    <row r="89" spans="1:22">
      <c r="A89" t="s">
        <v>144</v>
      </c>
      <c r="B89" t="s">
        <v>145</v>
      </c>
      <c r="C89" t="s">
        <v>25</v>
      </c>
      <c r="D89" t="s">
        <v>33</v>
      </c>
      <c r="E89" t="s">
        <v>27</v>
      </c>
      <c r="F89" t="s">
        <v>28</v>
      </c>
      <c r="G89">
        <v>17.756320953369141</v>
      </c>
      <c r="H89">
        <v>17.780475616455078</v>
      </c>
      <c r="I89">
        <v>3.415985032916069E-2</v>
      </c>
      <c r="J89">
        <v>610384.9375</v>
      </c>
      <c r="K89">
        <v>601747.9375</v>
      </c>
      <c r="L89">
        <v>12214.5625</v>
      </c>
      <c r="M89" t="b">
        <v>0</v>
      </c>
      <c r="N89">
        <v>2</v>
      </c>
      <c r="O89" t="b">
        <v>1</v>
      </c>
      <c r="P89">
        <v>3</v>
      </c>
      <c r="Q89">
        <v>9</v>
      </c>
      <c r="R89">
        <v>85.121177673339844</v>
      </c>
      <c r="S89" t="s">
        <v>24</v>
      </c>
      <c r="T89" t="s">
        <v>24</v>
      </c>
      <c r="U89" t="s">
        <v>24</v>
      </c>
      <c r="V89" t="s">
        <v>29</v>
      </c>
    </row>
    <row r="90" spans="1:22">
      <c r="A90" t="s">
        <v>146</v>
      </c>
      <c r="B90" t="s">
        <v>145</v>
      </c>
      <c r="C90" t="s">
        <v>25</v>
      </c>
      <c r="D90" t="s">
        <v>33</v>
      </c>
      <c r="E90" t="s">
        <v>27</v>
      </c>
      <c r="F90" t="s">
        <v>28</v>
      </c>
      <c r="G90">
        <v>17.804630279541016</v>
      </c>
      <c r="H90">
        <v>17.780475616455078</v>
      </c>
      <c r="I90">
        <v>3.415985032916069E-2</v>
      </c>
      <c r="J90">
        <v>593110.9375</v>
      </c>
      <c r="K90">
        <v>601747.9375</v>
      </c>
      <c r="L90">
        <v>12214.5625</v>
      </c>
      <c r="M90" t="b">
        <v>0</v>
      </c>
      <c r="N90">
        <v>2</v>
      </c>
      <c r="O90" t="b">
        <v>1</v>
      </c>
      <c r="P90">
        <v>3</v>
      </c>
      <c r="Q90">
        <v>10</v>
      </c>
      <c r="R90">
        <v>84.9305419921875</v>
      </c>
      <c r="S90" t="s">
        <v>24</v>
      </c>
      <c r="T90" t="s">
        <v>24</v>
      </c>
      <c r="U90" t="s">
        <v>24</v>
      </c>
      <c r="V90" t="s">
        <v>29</v>
      </c>
    </row>
    <row r="91" spans="1:22">
      <c r="A91" t="s">
        <v>147</v>
      </c>
      <c r="B91" t="s">
        <v>148</v>
      </c>
      <c r="C91" t="s">
        <v>25</v>
      </c>
      <c r="D91" t="s">
        <v>33</v>
      </c>
      <c r="E91" t="s">
        <v>27</v>
      </c>
      <c r="F91" t="s">
        <v>28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b">
        <v>0</v>
      </c>
      <c r="N91">
        <v>2</v>
      </c>
      <c r="O91" t="b">
        <v>1</v>
      </c>
      <c r="P91">
        <v>3</v>
      </c>
      <c r="Q91">
        <v>43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</row>
    <row r="92" spans="1:22">
      <c r="A92" t="s">
        <v>149</v>
      </c>
      <c r="B92" t="s">
        <v>148</v>
      </c>
      <c r="C92" t="s">
        <v>25</v>
      </c>
      <c r="D92" t="s">
        <v>33</v>
      </c>
      <c r="E92" t="s">
        <v>27</v>
      </c>
      <c r="F92" t="s">
        <v>28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b">
        <v>0</v>
      </c>
      <c r="N92">
        <v>2</v>
      </c>
      <c r="O92" t="b">
        <v>1</v>
      </c>
      <c r="P92">
        <v>3</v>
      </c>
      <c r="Q92">
        <v>34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</row>
    <row r="93" spans="1:22">
      <c r="A93" t="s">
        <v>150</v>
      </c>
      <c r="B93" t="s">
        <v>24</v>
      </c>
      <c r="C93" t="s">
        <v>25</v>
      </c>
      <c r="D93" t="s">
        <v>151</v>
      </c>
      <c r="E93" t="s">
        <v>27</v>
      </c>
      <c r="F93" t="s">
        <v>28</v>
      </c>
      <c r="G93">
        <v>36.729961395263672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b">
        <v>0</v>
      </c>
      <c r="N93">
        <v>2</v>
      </c>
      <c r="O93" t="b">
        <v>1</v>
      </c>
      <c r="P93">
        <v>3</v>
      </c>
      <c r="Q93">
        <v>28</v>
      </c>
      <c r="R93">
        <v>79.783248901367188</v>
      </c>
      <c r="S93" t="s">
        <v>24</v>
      </c>
      <c r="T93" t="s">
        <v>24</v>
      </c>
      <c r="U93" t="s">
        <v>24</v>
      </c>
      <c r="V93" t="s">
        <v>29</v>
      </c>
    </row>
    <row r="94" spans="1:22">
      <c r="A94" t="s">
        <v>152</v>
      </c>
      <c r="B94" t="s">
        <v>24</v>
      </c>
      <c r="C94" t="s">
        <v>25</v>
      </c>
      <c r="D94" t="s">
        <v>151</v>
      </c>
      <c r="E94" t="s">
        <v>27</v>
      </c>
      <c r="F94" t="s">
        <v>28</v>
      </c>
      <c r="G94">
        <v>36.809558868408203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b">
        <v>0</v>
      </c>
      <c r="N94">
        <v>2</v>
      </c>
      <c r="O94" t="b">
        <v>1</v>
      </c>
      <c r="P94">
        <v>3</v>
      </c>
      <c r="Q94">
        <v>27</v>
      </c>
      <c r="R94">
        <v>79.592605590820312</v>
      </c>
      <c r="S94" t="s">
        <v>24</v>
      </c>
      <c r="T94" t="s">
        <v>24</v>
      </c>
      <c r="U94" t="s">
        <v>24</v>
      </c>
      <c r="V94" t="s">
        <v>29</v>
      </c>
    </row>
    <row r="95" spans="1:22">
      <c r="A95" t="s">
        <v>153</v>
      </c>
      <c r="B95" t="s">
        <v>154</v>
      </c>
      <c r="C95" t="s">
        <v>25</v>
      </c>
      <c r="D95" t="s">
        <v>33</v>
      </c>
      <c r="E95" t="s">
        <v>27</v>
      </c>
      <c r="F95" t="s">
        <v>28</v>
      </c>
      <c r="G95">
        <v>13.24653434753418</v>
      </c>
      <c r="H95">
        <v>13.008995056152344</v>
      </c>
      <c r="I95">
        <v>0.33593195676803589</v>
      </c>
      <c r="J95">
        <v>8902455</v>
      </c>
      <c r="K95">
        <v>10354468</v>
      </c>
      <c r="L95">
        <v>2053456.5</v>
      </c>
      <c r="M95" t="b">
        <v>0</v>
      </c>
      <c r="N95">
        <v>2</v>
      </c>
      <c r="O95" t="b">
        <v>1</v>
      </c>
      <c r="P95">
        <v>3</v>
      </c>
      <c r="Q95">
        <v>5</v>
      </c>
      <c r="R95">
        <v>84.739898681640625</v>
      </c>
      <c r="S95" t="s">
        <v>24</v>
      </c>
      <c r="T95" t="s">
        <v>24</v>
      </c>
      <c r="U95" t="s">
        <v>24</v>
      </c>
      <c r="V95" t="s">
        <v>29</v>
      </c>
    </row>
    <row r="96" spans="1:22">
      <c r="A96" t="s">
        <v>155</v>
      </c>
      <c r="B96" t="s">
        <v>154</v>
      </c>
      <c r="C96" t="s">
        <v>25</v>
      </c>
      <c r="D96" t="s">
        <v>33</v>
      </c>
      <c r="E96" t="s">
        <v>27</v>
      </c>
      <c r="F96" t="s">
        <v>28</v>
      </c>
      <c r="G96">
        <v>12.771454811096191</v>
      </c>
      <c r="H96">
        <v>13.008995056152344</v>
      </c>
      <c r="I96">
        <v>0.33593195676803589</v>
      </c>
      <c r="J96">
        <v>11806481</v>
      </c>
      <c r="K96">
        <v>10354468</v>
      </c>
      <c r="L96">
        <v>2053456.5</v>
      </c>
      <c r="M96" t="b">
        <v>0</v>
      </c>
      <c r="N96">
        <v>2</v>
      </c>
      <c r="O96" t="b">
        <v>1</v>
      </c>
      <c r="P96">
        <v>1</v>
      </c>
      <c r="Q96">
        <v>2</v>
      </c>
      <c r="R96">
        <v>84.739898681640625</v>
      </c>
      <c r="S96" t="s">
        <v>24</v>
      </c>
      <c r="T96" t="s">
        <v>24</v>
      </c>
      <c r="U96" t="s">
        <v>24</v>
      </c>
      <c r="V96" t="s">
        <v>29</v>
      </c>
    </row>
    <row r="97" spans="1:22">
      <c r="A97" t="s">
        <v>156</v>
      </c>
      <c r="B97" t="s">
        <v>157</v>
      </c>
      <c r="C97" t="s">
        <v>25</v>
      </c>
      <c r="D97" t="s">
        <v>33</v>
      </c>
      <c r="E97" t="s">
        <v>27</v>
      </c>
      <c r="F97" t="s">
        <v>28</v>
      </c>
      <c r="G97">
        <v>14.961729049682617</v>
      </c>
      <c r="H97">
        <v>15.035741806030273</v>
      </c>
      <c r="I97">
        <v>0.10467051714658737</v>
      </c>
      <c r="J97">
        <v>3212511.25</v>
      </c>
      <c r="K97">
        <v>3077251</v>
      </c>
      <c r="L97">
        <v>191286.875</v>
      </c>
      <c r="M97" t="b">
        <v>0</v>
      </c>
      <c r="N97">
        <v>2</v>
      </c>
      <c r="O97" t="b">
        <v>1</v>
      </c>
      <c r="P97">
        <v>3</v>
      </c>
      <c r="Q97">
        <v>7</v>
      </c>
      <c r="R97">
        <v>84.739898681640625</v>
      </c>
      <c r="S97" t="s">
        <v>24</v>
      </c>
      <c r="T97" t="s">
        <v>24</v>
      </c>
      <c r="U97" t="s">
        <v>24</v>
      </c>
      <c r="V97" t="s">
        <v>29</v>
      </c>
    </row>
    <row r="98" spans="1:22">
      <c r="A98" t="s">
        <v>158</v>
      </c>
      <c r="B98" t="s">
        <v>157</v>
      </c>
      <c r="C98" t="s">
        <v>25</v>
      </c>
      <c r="D98" t="s">
        <v>33</v>
      </c>
      <c r="E98" t="s">
        <v>27</v>
      </c>
      <c r="F98" t="s">
        <v>28</v>
      </c>
      <c r="G98">
        <v>15.109755516052246</v>
      </c>
      <c r="H98">
        <v>15.035741806030273</v>
      </c>
      <c r="I98">
        <v>0.10467051714658737</v>
      </c>
      <c r="J98">
        <v>2941990.75</v>
      </c>
      <c r="K98">
        <v>3077251</v>
      </c>
      <c r="L98">
        <v>191286.875</v>
      </c>
      <c r="M98" t="b">
        <v>0</v>
      </c>
      <c r="N98">
        <v>2</v>
      </c>
      <c r="O98" t="b">
        <v>1</v>
      </c>
      <c r="P98">
        <v>3</v>
      </c>
      <c r="Q98">
        <v>7</v>
      </c>
      <c r="R98">
        <v>84.9305419921875</v>
      </c>
      <c r="S98" t="s">
        <v>24</v>
      </c>
      <c r="T98" t="s">
        <v>24</v>
      </c>
      <c r="U98" t="s">
        <v>24</v>
      </c>
      <c r="V98" t="s">
        <v>29</v>
      </c>
    </row>
    <row r="99" spans="1:22">
      <c r="A99" t="s">
        <v>159</v>
      </c>
      <c r="B99" t="s">
        <v>160</v>
      </c>
      <c r="C99" t="s">
        <v>25</v>
      </c>
      <c r="D99" t="s">
        <v>33</v>
      </c>
      <c r="E99" t="s">
        <v>27</v>
      </c>
      <c r="F99" t="s">
        <v>28</v>
      </c>
      <c r="G99">
        <v>17.824018478393555</v>
      </c>
      <c r="H99">
        <v>17.77476692199707</v>
      </c>
      <c r="I99">
        <v>6.9652222096920013E-2</v>
      </c>
      <c r="J99">
        <v>586316.5</v>
      </c>
      <c r="K99">
        <v>603989.1875</v>
      </c>
      <c r="L99">
        <v>24992.955078125</v>
      </c>
      <c r="M99" t="b">
        <v>0</v>
      </c>
      <c r="N99">
        <v>2</v>
      </c>
      <c r="O99" t="b">
        <v>1</v>
      </c>
      <c r="P99">
        <v>3</v>
      </c>
      <c r="Q99">
        <v>10</v>
      </c>
      <c r="R99">
        <v>84.9305419921875</v>
      </c>
      <c r="S99" t="s">
        <v>24</v>
      </c>
      <c r="T99" t="s">
        <v>24</v>
      </c>
      <c r="U99" t="s">
        <v>24</v>
      </c>
      <c r="V99" t="s">
        <v>29</v>
      </c>
    </row>
    <row r="100" spans="1:22">
      <c r="A100" t="s">
        <v>161</v>
      </c>
      <c r="B100" t="s">
        <v>160</v>
      </c>
      <c r="C100" t="s">
        <v>25</v>
      </c>
      <c r="D100" t="s">
        <v>33</v>
      </c>
      <c r="E100" t="s">
        <v>27</v>
      </c>
      <c r="F100" t="s">
        <v>28</v>
      </c>
      <c r="G100">
        <v>17.725515365600586</v>
      </c>
      <c r="H100">
        <v>17.77476692199707</v>
      </c>
      <c r="I100">
        <v>6.9652222096920013E-2</v>
      </c>
      <c r="J100">
        <v>621661.875</v>
      </c>
      <c r="K100">
        <v>603989.1875</v>
      </c>
      <c r="L100">
        <v>24992.955078125</v>
      </c>
      <c r="M100" t="b">
        <v>0</v>
      </c>
      <c r="N100">
        <v>2</v>
      </c>
      <c r="O100" t="b">
        <v>1</v>
      </c>
      <c r="P100">
        <v>3</v>
      </c>
      <c r="Q100">
        <v>10</v>
      </c>
      <c r="R100">
        <v>84.739898681640625</v>
      </c>
      <c r="S100" t="s">
        <v>24</v>
      </c>
      <c r="T100" t="s">
        <v>24</v>
      </c>
      <c r="U100" t="s">
        <v>24</v>
      </c>
      <c r="V100" t="s">
        <v>29</v>
      </c>
    </row>
    <row r="101" spans="1:22">
      <c r="A101" t="s">
        <v>162</v>
      </c>
      <c r="B101" t="s">
        <v>163</v>
      </c>
      <c r="C101" t="s">
        <v>25</v>
      </c>
      <c r="D101" t="s">
        <v>33</v>
      </c>
      <c r="E101" t="s">
        <v>27</v>
      </c>
      <c r="F101" t="s">
        <v>28</v>
      </c>
      <c r="G101">
        <v>17.339157104492188</v>
      </c>
      <c r="H101">
        <v>17.413345336914062</v>
      </c>
      <c r="I101">
        <v>0.10491665452718735</v>
      </c>
      <c r="J101">
        <v>782109.0625</v>
      </c>
      <c r="K101">
        <v>749104.9375</v>
      </c>
      <c r="L101">
        <v>46674.8828125</v>
      </c>
      <c r="M101" t="b">
        <v>0</v>
      </c>
      <c r="N101">
        <v>2</v>
      </c>
      <c r="O101" t="b">
        <v>1</v>
      </c>
      <c r="P101">
        <v>3</v>
      </c>
      <c r="Q101">
        <v>9</v>
      </c>
      <c r="R101">
        <v>85.121177673339844</v>
      </c>
      <c r="S101" t="s">
        <v>24</v>
      </c>
      <c r="T101" t="s">
        <v>24</v>
      </c>
      <c r="U101" t="s">
        <v>24</v>
      </c>
      <c r="V101" t="s">
        <v>29</v>
      </c>
    </row>
    <row r="102" spans="1:22">
      <c r="A102" t="s">
        <v>164</v>
      </c>
      <c r="B102" t="s">
        <v>163</v>
      </c>
      <c r="C102" t="s">
        <v>25</v>
      </c>
      <c r="D102" t="s">
        <v>33</v>
      </c>
      <c r="E102" t="s">
        <v>27</v>
      </c>
      <c r="F102" t="s">
        <v>28</v>
      </c>
      <c r="G102">
        <v>17.487531661987305</v>
      </c>
      <c r="H102">
        <v>17.413345336914062</v>
      </c>
      <c r="I102">
        <v>0.10491665452718735</v>
      </c>
      <c r="J102">
        <v>716100.8125</v>
      </c>
      <c r="K102">
        <v>749104.9375</v>
      </c>
      <c r="L102">
        <v>46674.8828125</v>
      </c>
      <c r="M102" t="b">
        <v>0</v>
      </c>
      <c r="N102">
        <v>2</v>
      </c>
      <c r="O102" t="b">
        <v>1</v>
      </c>
      <c r="P102">
        <v>3</v>
      </c>
      <c r="Q102">
        <v>9</v>
      </c>
      <c r="R102">
        <v>84.9305419921875</v>
      </c>
      <c r="S102" t="s">
        <v>24</v>
      </c>
      <c r="T102" t="s">
        <v>24</v>
      </c>
      <c r="U102" t="s">
        <v>24</v>
      </c>
      <c r="V102" t="s">
        <v>29</v>
      </c>
    </row>
    <row r="103" spans="1:22">
      <c r="A103" t="s">
        <v>165</v>
      </c>
      <c r="B103" t="s">
        <v>166</v>
      </c>
      <c r="C103" t="s">
        <v>25</v>
      </c>
      <c r="D103" t="s">
        <v>33</v>
      </c>
      <c r="E103" t="s">
        <v>27</v>
      </c>
      <c r="F103" t="s">
        <v>28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b">
        <v>0</v>
      </c>
      <c r="N103">
        <v>2</v>
      </c>
      <c r="O103" t="b">
        <v>1</v>
      </c>
      <c r="P103">
        <v>3</v>
      </c>
      <c r="Q103">
        <v>18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</row>
    <row r="104" spans="1:22">
      <c r="A104" t="s">
        <v>167</v>
      </c>
      <c r="B104" t="s">
        <v>166</v>
      </c>
      <c r="C104" t="s">
        <v>25</v>
      </c>
      <c r="D104" t="s">
        <v>33</v>
      </c>
      <c r="E104" t="s">
        <v>27</v>
      </c>
      <c r="F104" t="s">
        <v>28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b">
        <v>0</v>
      </c>
      <c r="N104">
        <v>2</v>
      </c>
      <c r="O104" t="b">
        <v>1</v>
      </c>
      <c r="P104">
        <v>3</v>
      </c>
      <c r="Q104">
        <v>19</v>
      </c>
      <c r="R104" t="s">
        <v>24</v>
      </c>
      <c r="S104" t="s">
        <v>24</v>
      </c>
      <c r="T104" t="s">
        <v>24</v>
      </c>
      <c r="U104" t="s">
        <v>24</v>
      </c>
      <c r="V104" t="s">
        <v>29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4"/>
  <sheetViews>
    <sheetView workbookViewId="0">
      <selection activeCell="A8" sqref="A8:K104"/>
    </sheetView>
  </sheetViews>
  <sheetFormatPr baseColWidth="10" defaultColWidth="9.1640625" defaultRowHeight="15"/>
  <cols>
    <col min="1" max="1" width="9.1640625" customWidth="1"/>
  </cols>
  <sheetData>
    <row r="1" spans="1:24">
      <c r="A1" t="s">
        <v>784</v>
      </c>
      <c r="B1" t="s">
        <v>785</v>
      </c>
    </row>
    <row r="2" spans="1:24">
      <c r="A2" t="s">
        <v>786</v>
      </c>
      <c r="B2" t="s">
        <v>787</v>
      </c>
    </row>
    <row r="3" spans="1:24">
      <c r="A3" t="s">
        <v>788</v>
      </c>
      <c r="B3" t="s">
        <v>810</v>
      </c>
    </row>
    <row r="4" spans="1:24">
      <c r="A4" t="s">
        <v>222</v>
      </c>
      <c r="B4" t="s">
        <v>811</v>
      </c>
    </row>
    <row r="5" spans="1:24">
      <c r="A5" t="s">
        <v>791</v>
      </c>
      <c r="B5" t="s">
        <v>792</v>
      </c>
    </row>
    <row r="6" spans="1:24">
      <c r="A6" t="s">
        <v>793</v>
      </c>
      <c r="B6" t="s">
        <v>794</v>
      </c>
    </row>
    <row r="8" spans="1:24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169</v>
      </c>
      <c r="W8" t="s">
        <v>181</v>
      </c>
      <c r="X8" t="s">
        <v>22</v>
      </c>
    </row>
    <row r="9" spans="1:24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179</v>
      </c>
      <c r="H9">
        <v>11.247106552124023</v>
      </c>
      <c r="I9" t="s">
        <v>24</v>
      </c>
      <c r="J9">
        <v>50000000</v>
      </c>
      <c r="K9" t="s">
        <v>24</v>
      </c>
      <c r="L9" t="s">
        <v>24</v>
      </c>
      <c r="M9" t="b">
        <v>0</v>
      </c>
      <c r="N9">
        <v>2</v>
      </c>
      <c r="O9" t="b">
        <v>1</v>
      </c>
      <c r="P9">
        <v>3</v>
      </c>
      <c r="Q9">
        <v>48</v>
      </c>
      <c r="R9">
        <v>56.930347442626953</v>
      </c>
      <c r="S9" t="s">
        <v>24</v>
      </c>
      <c r="T9" t="s">
        <v>24</v>
      </c>
      <c r="U9" t="s">
        <v>24</v>
      </c>
      <c r="V9" t="s">
        <v>29</v>
      </c>
      <c r="W9" t="s">
        <v>114</v>
      </c>
      <c r="X9" t="s">
        <v>29</v>
      </c>
    </row>
    <row r="10" spans="1:24">
      <c r="A10" t="s">
        <v>30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11.247106552124023</v>
      </c>
      <c r="H10">
        <v>11.247106552124023</v>
      </c>
      <c r="I10" t="s">
        <v>24</v>
      </c>
      <c r="J10">
        <v>50000000</v>
      </c>
      <c r="K10" t="s">
        <v>24</v>
      </c>
      <c r="L10" t="s">
        <v>24</v>
      </c>
      <c r="M10" t="b">
        <v>0</v>
      </c>
      <c r="N10">
        <v>2</v>
      </c>
      <c r="O10" t="b">
        <v>1</v>
      </c>
      <c r="P10">
        <v>1</v>
      </c>
      <c r="Q10">
        <v>3</v>
      </c>
      <c r="R10">
        <v>84.534332275390625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  <c r="X10" t="s">
        <v>29</v>
      </c>
    </row>
    <row r="11" spans="1:24">
      <c r="A11" t="s">
        <v>31</v>
      </c>
      <c r="B11" t="s">
        <v>32</v>
      </c>
      <c r="C11" t="s">
        <v>25</v>
      </c>
      <c r="D11" t="s">
        <v>33</v>
      </c>
      <c r="E11" t="s">
        <v>27</v>
      </c>
      <c r="F11" t="s">
        <v>28</v>
      </c>
      <c r="G11">
        <v>12.42359447479248</v>
      </c>
      <c r="H11">
        <v>12.340320587158203</v>
      </c>
      <c r="I11">
        <v>0.11776773631572723</v>
      </c>
      <c r="J11">
        <v>17564976</v>
      </c>
      <c r="K11">
        <v>18436508</v>
      </c>
      <c r="L11">
        <v>1232533.75</v>
      </c>
      <c r="M11" t="b">
        <v>0</v>
      </c>
      <c r="N11">
        <v>2</v>
      </c>
      <c r="O11" t="b">
        <v>1</v>
      </c>
      <c r="P11">
        <v>3</v>
      </c>
      <c r="Q11">
        <v>5</v>
      </c>
      <c r="R11">
        <v>84.727363586425781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  <c r="X11" t="s">
        <v>29</v>
      </c>
    </row>
    <row r="12" spans="1:24">
      <c r="A12" t="s">
        <v>34</v>
      </c>
      <c r="B12" t="s">
        <v>32</v>
      </c>
      <c r="C12" t="s">
        <v>25</v>
      </c>
      <c r="D12" t="s">
        <v>33</v>
      </c>
      <c r="E12" t="s">
        <v>27</v>
      </c>
      <c r="F12" t="s">
        <v>28</v>
      </c>
      <c r="G12">
        <v>12.257045745849609</v>
      </c>
      <c r="H12">
        <v>12.340320587158203</v>
      </c>
      <c r="I12">
        <v>0.11776773631572723</v>
      </c>
      <c r="J12">
        <v>19308042</v>
      </c>
      <c r="K12">
        <v>18436508</v>
      </c>
      <c r="L12">
        <v>1232533.75</v>
      </c>
      <c r="M12" t="b">
        <v>0</v>
      </c>
      <c r="N12">
        <v>2</v>
      </c>
      <c r="O12" t="b">
        <v>1</v>
      </c>
      <c r="P12">
        <v>1</v>
      </c>
      <c r="Q12">
        <v>3</v>
      </c>
      <c r="R12">
        <v>84.727363586425781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  <c r="X12" t="s">
        <v>29</v>
      </c>
    </row>
    <row r="13" spans="1:24">
      <c r="A13" t="s">
        <v>35</v>
      </c>
      <c r="B13" t="s">
        <v>36</v>
      </c>
      <c r="C13" t="s">
        <v>25</v>
      </c>
      <c r="D13" t="s">
        <v>33</v>
      </c>
      <c r="E13" t="s">
        <v>27</v>
      </c>
      <c r="F13" t="s">
        <v>28</v>
      </c>
      <c r="G13">
        <v>15.496748924255371</v>
      </c>
      <c r="H13">
        <v>15.440362930297852</v>
      </c>
      <c r="I13">
        <v>7.9741835594177246E-2</v>
      </c>
      <c r="J13">
        <v>3065089</v>
      </c>
      <c r="K13">
        <v>3166484.25</v>
      </c>
      <c r="L13">
        <v>143394.53125</v>
      </c>
      <c r="M13" t="b">
        <v>0</v>
      </c>
      <c r="N13">
        <v>2</v>
      </c>
      <c r="O13" t="b">
        <v>1</v>
      </c>
      <c r="P13">
        <v>3</v>
      </c>
      <c r="Q13">
        <v>7</v>
      </c>
      <c r="R13">
        <v>84.727363586425781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  <c r="X13" t="s">
        <v>29</v>
      </c>
    </row>
    <row r="14" spans="1:24">
      <c r="A14" t="s">
        <v>37</v>
      </c>
      <c r="B14" t="s">
        <v>36</v>
      </c>
      <c r="C14" t="s">
        <v>25</v>
      </c>
      <c r="D14" t="s">
        <v>33</v>
      </c>
      <c r="E14" t="s">
        <v>27</v>
      </c>
      <c r="F14" t="s">
        <v>28</v>
      </c>
      <c r="G14">
        <v>15.383976936340332</v>
      </c>
      <c r="H14">
        <v>15.440362930297852</v>
      </c>
      <c r="I14">
        <v>7.9741835594177246E-2</v>
      </c>
      <c r="J14">
        <v>3267879.5</v>
      </c>
      <c r="K14">
        <v>3166484.25</v>
      </c>
      <c r="L14">
        <v>143394.53125</v>
      </c>
      <c r="M14" t="b">
        <v>0</v>
      </c>
      <c r="N14">
        <v>2</v>
      </c>
      <c r="O14" t="b">
        <v>1</v>
      </c>
      <c r="P14">
        <v>3</v>
      </c>
      <c r="Q14">
        <v>7</v>
      </c>
      <c r="R14">
        <v>84.727363586425781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  <c r="X14" t="s">
        <v>29</v>
      </c>
    </row>
    <row r="15" spans="1:24">
      <c r="A15" t="s">
        <v>38</v>
      </c>
      <c r="B15" t="s">
        <v>39</v>
      </c>
      <c r="C15" t="s">
        <v>25</v>
      </c>
      <c r="D15" t="s">
        <v>33</v>
      </c>
      <c r="E15" t="s">
        <v>27</v>
      </c>
      <c r="F15" t="s">
        <v>28</v>
      </c>
      <c r="G15">
        <v>16.858663558959961</v>
      </c>
      <c r="H15">
        <v>16.969100952148438</v>
      </c>
      <c r="I15">
        <v>0.15618070960044861</v>
      </c>
      <c r="J15">
        <v>1413947.75</v>
      </c>
      <c r="K15">
        <v>1330579.25</v>
      </c>
      <c r="L15">
        <v>117900.7734375</v>
      </c>
      <c r="M15" t="b">
        <v>0</v>
      </c>
      <c r="N15">
        <v>2</v>
      </c>
      <c r="O15" t="b">
        <v>1</v>
      </c>
      <c r="P15">
        <v>3</v>
      </c>
      <c r="Q15">
        <v>10</v>
      </c>
      <c r="R15">
        <v>84.727363586425781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  <c r="X15" t="s">
        <v>29</v>
      </c>
    </row>
    <row r="16" spans="1:24">
      <c r="A16" t="s">
        <v>40</v>
      </c>
      <c r="B16" t="s">
        <v>39</v>
      </c>
      <c r="C16" t="s">
        <v>25</v>
      </c>
      <c r="D16" t="s">
        <v>33</v>
      </c>
      <c r="E16" t="s">
        <v>27</v>
      </c>
      <c r="F16" t="s">
        <v>28</v>
      </c>
      <c r="G16">
        <v>17.079536437988281</v>
      </c>
      <c r="H16">
        <v>16.969100952148438</v>
      </c>
      <c r="I16">
        <v>0.15618070960044861</v>
      </c>
      <c r="J16">
        <v>1247210.875</v>
      </c>
      <c r="K16">
        <v>1330579.25</v>
      </c>
      <c r="L16">
        <v>117900.7734375</v>
      </c>
      <c r="M16" t="b">
        <v>0</v>
      </c>
      <c r="N16">
        <v>2</v>
      </c>
      <c r="O16" t="b">
        <v>1</v>
      </c>
      <c r="P16">
        <v>3</v>
      </c>
      <c r="Q16">
        <v>10</v>
      </c>
      <c r="R16">
        <v>84.534332275390625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  <c r="X16" t="s">
        <v>29</v>
      </c>
    </row>
    <row r="17" spans="1:24">
      <c r="A17" t="s">
        <v>41</v>
      </c>
      <c r="B17" t="s">
        <v>42</v>
      </c>
      <c r="C17" t="s">
        <v>25</v>
      </c>
      <c r="D17" t="s">
        <v>33</v>
      </c>
      <c r="E17" t="s">
        <v>27</v>
      </c>
      <c r="F17" t="s">
        <v>28</v>
      </c>
      <c r="G17">
        <v>14.558259010314941</v>
      </c>
      <c r="H17">
        <v>14.655979156494141</v>
      </c>
      <c r="I17">
        <v>0.1381971538066864</v>
      </c>
      <c r="J17">
        <v>5223794</v>
      </c>
      <c r="K17">
        <v>4949320</v>
      </c>
      <c r="L17">
        <v>388165.21875</v>
      </c>
      <c r="M17" t="b">
        <v>0</v>
      </c>
      <c r="N17">
        <v>2</v>
      </c>
      <c r="O17" t="b">
        <v>1</v>
      </c>
      <c r="P17">
        <v>3</v>
      </c>
      <c r="Q17">
        <v>6</v>
      </c>
      <c r="R17">
        <v>84.534332275390625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  <c r="X17" t="s">
        <v>29</v>
      </c>
    </row>
    <row r="18" spans="1:24">
      <c r="A18" t="s">
        <v>43</v>
      </c>
      <c r="B18" t="s">
        <v>42</v>
      </c>
      <c r="C18" t="s">
        <v>25</v>
      </c>
      <c r="D18" t="s">
        <v>33</v>
      </c>
      <c r="E18" t="s">
        <v>27</v>
      </c>
      <c r="F18" t="s">
        <v>28</v>
      </c>
      <c r="G18">
        <v>14.75369930267334</v>
      </c>
      <c r="H18">
        <v>14.655979156494141</v>
      </c>
      <c r="I18">
        <v>0.1381971538066864</v>
      </c>
      <c r="J18">
        <v>4674845.5</v>
      </c>
      <c r="K18">
        <v>4949320</v>
      </c>
      <c r="L18">
        <v>388165.21875</v>
      </c>
      <c r="M18" t="b">
        <v>0</v>
      </c>
      <c r="N18">
        <v>2</v>
      </c>
      <c r="O18" t="b">
        <v>1</v>
      </c>
      <c r="P18">
        <v>3</v>
      </c>
      <c r="Q18">
        <v>7</v>
      </c>
      <c r="R18">
        <v>84.534332275390625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  <c r="X18" t="s">
        <v>29</v>
      </c>
    </row>
    <row r="19" spans="1:24">
      <c r="A19" t="s">
        <v>44</v>
      </c>
      <c r="B19" t="s">
        <v>45</v>
      </c>
      <c r="C19" t="s">
        <v>25</v>
      </c>
      <c r="D19" t="s">
        <v>33</v>
      </c>
      <c r="E19" t="s">
        <v>27</v>
      </c>
      <c r="F19" t="s">
        <v>28</v>
      </c>
      <c r="G19">
        <v>16.591056823730469</v>
      </c>
      <c r="H19">
        <v>16.778846740722656</v>
      </c>
      <c r="I19">
        <v>0.26557371020317078</v>
      </c>
      <c r="J19">
        <v>1646102.625</v>
      </c>
      <c r="K19">
        <v>1487964.375</v>
      </c>
      <c r="L19">
        <v>223641.265625</v>
      </c>
      <c r="M19" t="b">
        <v>0</v>
      </c>
      <c r="N19">
        <v>2</v>
      </c>
      <c r="O19" t="b">
        <v>1</v>
      </c>
      <c r="P19">
        <v>3</v>
      </c>
      <c r="Q19">
        <v>7</v>
      </c>
      <c r="R19">
        <v>84.148262023925781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  <c r="X19" t="s">
        <v>29</v>
      </c>
    </row>
    <row r="20" spans="1:24">
      <c r="A20" t="s">
        <v>46</v>
      </c>
      <c r="B20" t="s">
        <v>45</v>
      </c>
      <c r="C20" t="s">
        <v>25</v>
      </c>
      <c r="D20" t="s">
        <v>33</v>
      </c>
      <c r="E20" t="s">
        <v>27</v>
      </c>
      <c r="F20" t="s">
        <v>28</v>
      </c>
      <c r="G20">
        <v>16.966634750366211</v>
      </c>
      <c r="H20">
        <v>16.778846740722656</v>
      </c>
      <c r="I20">
        <v>0.26557371020317078</v>
      </c>
      <c r="J20">
        <v>1329826.125</v>
      </c>
      <c r="K20">
        <v>1487964.375</v>
      </c>
      <c r="L20">
        <v>223641.265625</v>
      </c>
      <c r="M20" t="b">
        <v>0</v>
      </c>
      <c r="N20">
        <v>2</v>
      </c>
      <c r="O20" t="b">
        <v>1</v>
      </c>
      <c r="P20">
        <v>3</v>
      </c>
      <c r="Q20">
        <v>6</v>
      </c>
      <c r="R20">
        <v>84.148262023925781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  <c r="X20" t="s">
        <v>29</v>
      </c>
    </row>
    <row r="21" spans="1:24">
      <c r="A21" t="s">
        <v>47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14.170208930969238</v>
      </c>
      <c r="H21">
        <v>14.120246887207031</v>
      </c>
      <c r="I21">
        <v>7.0656999945640564E-2</v>
      </c>
      <c r="J21">
        <v>5000000</v>
      </c>
      <c r="K21" t="s">
        <v>24</v>
      </c>
      <c r="L21" t="s">
        <v>24</v>
      </c>
      <c r="M21" t="b">
        <v>0</v>
      </c>
      <c r="N21">
        <v>2</v>
      </c>
      <c r="O21" t="b">
        <v>1</v>
      </c>
      <c r="P21">
        <v>3</v>
      </c>
      <c r="Q21">
        <v>7</v>
      </c>
      <c r="R21">
        <v>84.534332275390625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  <c r="X21" t="s">
        <v>29</v>
      </c>
    </row>
    <row r="22" spans="1:24">
      <c r="A22" t="s">
        <v>48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14.070284843444824</v>
      </c>
      <c r="H22">
        <v>14.120246887207031</v>
      </c>
      <c r="I22">
        <v>7.0656999945640564E-2</v>
      </c>
      <c r="J22">
        <v>5000000</v>
      </c>
      <c r="K22" t="s">
        <v>24</v>
      </c>
      <c r="L22" t="s">
        <v>24</v>
      </c>
      <c r="M22" t="b">
        <v>0</v>
      </c>
      <c r="N22">
        <v>2</v>
      </c>
      <c r="O22" t="b">
        <v>1</v>
      </c>
      <c r="P22">
        <v>3</v>
      </c>
      <c r="Q22">
        <v>7</v>
      </c>
      <c r="R22">
        <v>84.727363586425781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  <c r="X22" t="s">
        <v>29</v>
      </c>
    </row>
    <row r="23" spans="1:24">
      <c r="A23" t="s">
        <v>49</v>
      </c>
      <c r="B23" t="s">
        <v>50</v>
      </c>
      <c r="C23" t="s">
        <v>25</v>
      </c>
      <c r="D23" t="s">
        <v>33</v>
      </c>
      <c r="E23" t="s">
        <v>27</v>
      </c>
      <c r="F23" t="s">
        <v>28</v>
      </c>
      <c r="G23">
        <v>15.142287254333496</v>
      </c>
      <c r="H23">
        <v>15.062987327575684</v>
      </c>
      <c r="I23">
        <v>0.11214703321456909</v>
      </c>
      <c r="J23">
        <v>3748826.75</v>
      </c>
      <c r="K23">
        <v>3925551.5</v>
      </c>
      <c r="L23">
        <v>249926.71875</v>
      </c>
      <c r="M23" t="b">
        <v>0</v>
      </c>
      <c r="N23">
        <v>2</v>
      </c>
      <c r="O23" t="b">
        <v>1</v>
      </c>
      <c r="P23">
        <v>3</v>
      </c>
      <c r="Q23">
        <v>6</v>
      </c>
      <c r="R23">
        <v>84.727363586425781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  <c r="X23" t="s">
        <v>29</v>
      </c>
    </row>
    <row r="24" spans="1:24">
      <c r="A24" t="s">
        <v>51</v>
      </c>
      <c r="B24" t="s">
        <v>50</v>
      </c>
      <c r="C24" t="s">
        <v>25</v>
      </c>
      <c r="D24" t="s">
        <v>33</v>
      </c>
      <c r="E24" t="s">
        <v>27</v>
      </c>
      <c r="F24" t="s">
        <v>28</v>
      </c>
      <c r="G24">
        <v>14.983687400817871</v>
      </c>
      <c r="H24">
        <v>15.062987327575684</v>
      </c>
      <c r="I24">
        <v>0.11214703321456909</v>
      </c>
      <c r="J24">
        <v>4102276.5</v>
      </c>
      <c r="K24">
        <v>3925551.5</v>
      </c>
      <c r="L24">
        <v>249926.71875</v>
      </c>
      <c r="M24" t="b">
        <v>0</v>
      </c>
      <c r="N24">
        <v>2</v>
      </c>
      <c r="O24" t="b">
        <v>1</v>
      </c>
      <c r="P24">
        <v>3</v>
      </c>
      <c r="Q24">
        <v>7</v>
      </c>
      <c r="R24">
        <v>84.727363586425781</v>
      </c>
      <c r="S24" t="s">
        <v>24</v>
      </c>
      <c r="T24" t="s">
        <v>24</v>
      </c>
      <c r="U24" t="s">
        <v>24</v>
      </c>
      <c r="V24" t="s">
        <v>29</v>
      </c>
      <c r="W24" t="s">
        <v>29</v>
      </c>
      <c r="X24" t="s">
        <v>29</v>
      </c>
    </row>
    <row r="25" spans="1:24">
      <c r="A25" t="s">
        <v>52</v>
      </c>
      <c r="B25" t="s">
        <v>53</v>
      </c>
      <c r="C25" t="s">
        <v>25</v>
      </c>
      <c r="D25" t="s">
        <v>33</v>
      </c>
      <c r="E25" t="s">
        <v>27</v>
      </c>
      <c r="F25" t="s">
        <v>28</v>
      </c>
      <c r="G25">
        <v>17.447532653808594</v>
      </c>
      <c r="H25">
        <v>17.255626678466797</v>
      </c>
      <c r="I25">
        <v>0.27139738202095032</v>
      </c>
      <c r="J25">
        <v>1011925.0625</v>
      </c>
      <c r="K25">
        <v>1135196.875</v>
      </c>
      <c r="L25">
        <v>174332.625</v>
      </c>
      <c r="M25" t="b">
        <v>0</v>
      </c>
      <c r="N25">
        <v>2</v>
      </c>
      <c r="O25" t="b">
        <v>1</v>
      </c>
      <c r="P25">
        <v>3</v>
      </c>
      <c r="Q25">
        <v>8</v>
      </c>
      <c r="R25">
        <v>84.920394897460938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  <c r="X25" t="s">
        <v>29</v>
      </c>
    </row>
    <row r="26" spans="1:24">
      <c r="A26" t="s">
        <v>54</v>
      </c>
      <c r="B26" t="s">
        <v>53</v>
      </c>
      <c r="C26" t="s">
        <v>25</v>
      </c>
      <c r="D26" t="s">
        <v>33</v>
      </c>
      <c r="E26" t="s">
        <v>27</v>
      </c>
      <c r="F26" t="s">
        <v>28</v>
      </c>
      <c r="G26">
        <v>17.063718795776367</v>
      </c>
      <c r="H26">
        <v>17.255626678466797</v>
      </c>
      <c r="I26">
        <v>0.27139738202095032</v>
      </c>
      <c r="J26">
        <v>1258468.625</v>
      </c>
      <c r="K26">
        <v>1135196.875</v>
      </c>
      <c r="L26">
        <v>174332.625</v>
      </c>
      <c r="M26" t="b">
        <v>0</v>
      </c>
      <c r="N26">
        <v>2</v>
      </c>
      <c r="O26" t="b">
        <v>1</v>
      </c>
      <c r="P26">
        <v>3</v>
      </c>
      <c r="Q26">
        <v>8</v>
      </c>
      <c r="R26">
        <v>84.727363586425781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  <c r="X26" t="s">
        <v>29</v>
      </c>
    </row>
    <row r="27" spans="1:24">
      <c r="A27" t="s">
        <v>55</v>
      </c>
      <c r="B27" t="s">
        <v>56</v>
      </c>
      <c r="C27" t="s">
        <v>25</v>
      </c>
      <c r="D27" t="s">
        <v>33</v>
      </c>
      <c r="E27" t="s">
        <v>27</v>
      </c>
      <c r="F27" t="s">
        <v>28</v>
      </c>
      <c r="G27">
        <v>15.095354080200195</v>
      </c>
      <c r="H27">
        <v>15.346686363220215</v>
      </c>
      <c r="I27">
        <v>0.3554375171661377</v>
      </c>
      <c r="J27">
        <v>3850123.5</v>
      </c>
      <c r="K27">
        <v>3371926.5</v>
      </c>
      <c r="L27">
        <v>676272.6875</v>
      </c>
      <c r="M27" t="b">
        <v>0</v>
      </c>
      <c r="N27">
        <v>2</v>
      </c>
      <c r="O27" t="b">
        <v>1</v>
      </c>
      <c r="P27">
        <v>3</v>
      </c>
      <c r="Q27">
        <v>6</v>
      </c>
      <c r="R27">
        <v>84.920394897460938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  <c r="X27" t="s">
        <v>29</v>
      </c>
    </row>
    <row r="28" spans="1:24">
      <c r="A28" t="s">
        <v>57</v>
      </c>
      <c r="B28" t="s">
        <v>56</v>
      </c>
      <c r="C28" t="s">
        <v>25</v>
      </c>
      <c r="D28" t="s">
        <v>33</v>
      </c>
      <c r="E28" t="s">
        <v>27</v>
      </c>
      <c r="F28" t="s">
        <v>28</v>
      </c>
      <c r="G28">
        <v>15.598018646240234</v>
      </c>
      <c r="H28">
        <v>15.346686363220215</v>
      </c>
      <c r="I28">
        <v>0.3554375171661377</v>
      </c>
      <c r="J28">
        <v>2893729.5</v>
      </c>
      <c r="K28">
        <v>3371926.5</v>
      </c>
      <c r="L28">
        <v>676272.6875</v>
      </c>
      <c r="M28" t="b">
        <v>0</v>
      </c>
      <c r="N28">
        <v>2</v>
      </c>
      <c r="O28" t="b">
        <v>1</v>
      </c>
      <c r="P28">
        <v>3</v>
      </c>
      <c r="Q28">
        <v>7</v>
      </c>
      <c r="R28">
        <v>84.727363586425781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  <c r="X28" t="s">
        <v>29</v>
      </c>
    </row>
    <row r="29" spans="1:24">
      <c r="A29" t="s">
        <v>58</v>
      </c>
      <c r="B29" t="s">
        <v>59</v>
      </c>
      <c r="C29" t="s">
        <v>25</v>
      </c>
      <c r="D29" t="s">
        <v>33</v>
      </c>
      <c r="E29" t="s">
        <v>27</v>
      </c>
      <c r="F29" t="s">
        <v>28</v>
      </c>
      <c r="G29">
        <v>19.932897567749023</v>
      </c>
      <c r="H29">
        <v>20.07830810546875</v>
      </c>
      <c r="I29">
        <v>0.20564155280590057</v>
      </c>
      <c r="J29">
        <v>246582.640625</v>
      </c>
      <c r="K29">
        <v>227807.015625</v>
      </c>
      <c r="L29">
        <v>26552.744140625</v>
      </c>
      <c r="M29" t="b">
        <v>0</v>
      </c>
      <c r="N29">
        <v>2</v>
      </c>
      <c r="O29" t="b">
        <v>1</v>
      </c>
      <c r="P29">
        <v>3</v>
      </c>
      <c r="Q29">
        <v>13</v>
      </c>
      <c r="R29">
        <v>84.727363586425781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  <c r="X29" t="s">
        <v>29</v>
      </c>
    </row>
    <row r="30" spans="1:24">
      <c r="A30" t="s">
        <v>60</v>
      </c>
      <c r="B30" t="s">
        <v>59</v>
      </c>
      <c r="C30" t="s">
        <v>25</v>
      </c>
      <c r="D30" t="s">
        <v>33</v>
      </c>
      <c r="E30" t="s">
        <v>27</v>
      </c>
      <c r="F30" t="s">
        <v>28</v>
      </c>
      <c r="G30">
        <v>20.223718643188477</v>
      </c>
      <c r="H30">
        <v>20.07830810546875</v>
      </c>
      <c r="I30">
        <v>0.20564155280590057</v>
      </c>
      <c r="J30">
        <v>209031.390625</v>
      </c>
      <c r="K30">
        <v>227807.015625</v>
      </c>
      <c r="L30">
        <v>26552.744140625</v>
      </c>
      <c r="M30" t="b">
        <v>0</v>
      </c>
      <c r="N30">
        <v>2</v>
      </c>
      <c r="O30" t="b">
        <v>1</v>
      </c>
      <c r="P30">
        <v>3</v>
      </c>
      <c r="Q30">
        <v>12</v>
      </c>
      <c r="R30">
        <v>84.534332275390625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  <c r="X30" t="s">
        <v>29</v>
      </c>
    </row>
    <row r="31" spans="1:24">
      <c r="A31" t="s">
        <v>61</v>
      </c>
      <c r="B31" t="s">
        <v>62</v>
      </c>
      <c r="C31" t="s">
        <v>25</v>
      </c>
      <c r="D31" t="s">
        <v>33</v>
      </c>
      <c r="E31" t="s">
        <v>27</v>
      </c>
      <c r="F31" t="s">
        <v>28</v>
      </c>
      <c r="G31">
        <v>20.316265106201172</v>
      </c>
      <c r="H31">
        <v>20.316265106201172</v>
      </c>
      <c r="I31" t="s">
        <v>24</v>
      </c>
      <c r="J31">
        <v>198325.515625</v>
      </c>
      <c r="K31">
        <v>198325.515625</v>
      </c>
      <c r="L31" t="s">
        <v>24</v>
      </c>
      <c r="M31" t="b">
        <v>0</v>
      </c>
      <c r="N31">
        <v>2</v>
      </c>
      <c r="O31" t="b">
        <v>1</v>
      </c>
      <c r="P31">
        <v>3</v>
      </c>
      <c r="Q31">
        <v>11</v>
      </c>
      <c r="R31">
        <v>84.148262023925781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  <c r="X31" t="s">
        <v>29</v>
      </c>
    </row>
    <row r="32" spans="1:24">
      <c r="A32" t="s">
        <v>63</v>
      </c>
      <c r="B32" t="s">
        <v>62</v>
      </c>
      <c r="C32" t="s">
        <v>25</v>
      </c>
      <c r="D32" t="s">
        <v>33</v>
      </c>
      <c r="E32" t="s">
        <v>27</v>
      </c>
      <c r="F32" t="s">
        <v>28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b">
        <v>0</v>
      </c>
      <c r="N32">
        <v>2</v>
      </c>
      <c r="O32" t="b">
        <v>1</v>
      </c>
      <c r="P32">
        <v>3</v>
      </c>
      <c r="Q32">
        <v>36</v>
      </c>
      <c r="R32" t="s">
        <v>24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  <c r="X32" t="s">
        <v>29</v>
      </c>
    </row>
    <row r="33" spans="1:24">
      <c r="A33" t="s">
        <v>64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>
        <v>18.705951690673828</v>
      </c>
      <c r="H33">
        <v>18.674829483032227</v>
      </c>
      <c r="I33">
        <v>4.4013448059558868E-2</v>
      </c>
      <c r="J33">
        <v>500000</v>
      </c>
      <c r="K33" t="s">
        <v>24</v>
      </c>
      <c r="L33" t="s">
        <v>24</v>
      </c>
      <c r="M33" t="b">
        <v>0</v>
      </c>
      <c r="N33">
        <v>2</v>
      </c>
      <c r="O33" t="b">
        <v>1</v>
      </c>
      <c r="P33">
        <v>3</v>
      </c>
      <c r="Q33">
        <v>10</v>
      </c>
      <c r="R33">
        <v>84.920394897460938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  <c r="X33" t="s">
        <v>29</v>
      </c>
    </row>
    <row r="34" spans="1:24">
      <c r="A34" t="s">
        <v>65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>
        <v>18.643707275390625</v>
      </c>
      <c r="H34">
        <v>18.674829483032227</v>
      </c>
      <c r="I34">
        <v>4.4013448059558868E-2</v>
      </c>
      <c r="J34">
        <v>500000</v>
      </c>
      <c r="K34" t="s">
        <v>24</v>
      </c>
      <c r="L34" t="s">
        <v>24</v>
      </c>
      <c r="M34" t="b">
        <v>0</v>
      </c>
      <c r="N34">
        <v>2</v>
      </c>
      <c r="O34" t="b">
        <v>1</v>
      </c>
      <c r="P34">
        <v>3</v>
      </c>
      <c r="Q34">
        <v>10</v>
      </c>
      <c r="R34">
        <v>84.920394897460938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  <c r="X34" t="s">
        <v>29</v>
      </c>
    </row>
    <row r="35" spans="1:24">
      <c r="A35" t="s">
        <v>66</v>
      </c>
      <c r="B35" t="s">
        <v>67</v>
      </c>
      <c r="C35" t="s">
        <v>25</v>
      </c>
      <c r="D35" t="s">
        <v>33</v>
      </c>
      <c r="E35" t="s">
        <v>27</v>
      </c>
      <c r="F35" t="s">
        <v>28</v>
      </c>
      <c r="G35">
        <v>18.669519424438477</v>
      </c>
      <c r="H35">
        <v>18.559879302978516</v>
      </c>
      <c r="I35">
        <v>0.15505319833755493</v>
      </c>
      <c r="J35">
        <v>505430.5</v>
      </c>
      <c r="K35">
        <v>538956</v>
      </c>
      <c r="L35">
        <v>47412.26171875</v>
      </c>
      <c r="M35" t="b">
        <v>0</v>
      </c>
      <c r="N35">
        <v>2</v>
      </c>
      <c r="O35" t="b">
        <v>1</v>
      </c>
      <c r="P35">
        <v>3</v>
      </c>
      <c r="Q35">
        <v>10</v>
      </c>
      <c r="R35">
        <v>84.920394897460938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  <c r="X35" t="s">
        <v>29</v>
      </c>
    </row>
    <row r="36" spans="1:24">
      <c r="A36" t="s">
        <v>68</v>
      </c>
      <c r="B36" t="s">
        <v>67</v>
      </c>
      <c r="C36" t="s">
        <v>25</v>
      </c>
      <c r="D36" t="s">
        <v>33</v>
      </c>
      <c r="E36" t="s">
        <v>27</v>
      </c>
      <c r="F36" t="s">
        <v>28</v>
      </c>
      <c r="G36">
        <v>18.450241088867188</v>
      </c>
      <c r="H36">
        <v>18.559879302978516</v>
      </c>
      <c r="I36">
        <v>0.15505319833755493</v>
      </c>
      <c r="J36">
        <v>572481.5625</v>
      </c>
      <c r="K36">
        <v>538956</v>
      </c>
      <c r="L36">
        <v>47412.26171875</v>
      </c>
      <c r="M36" t="b">
        <v>0</v>
      </c>
      <c r="N36">
        <v>2</v>
      </c>
      <c r="O36" t="b">
        <v>1</v>
      </c>
      <c r="P36">
        <v>3</v>
      </c>
      <c r="Q36">
        <v>10</v>
      </c>
      <c r="R36">
        <v>84.920394897460938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  <c r="X36" t="s">
        <v>29</v>
      </c>
    </row>
    <row r="37" spans="1:24">
      <c r="A37" t="s">
        <v>69</v>
      </c>
      <c r="B37" t="s">
        <v>70</v>
      </c>
      <c r="C37" t="s">
        <v>25</v>
      </c>
      <c r="D37" t="s">
        <v>33</v>
      </c>
      <c r="E37" t="s">
        <v>27</v>
      </c>
      <c r="F37" t="s">
        <v>28</v>
      </c>
      <c r="G37">
        <v>36.561405181884766</v>
      </c>
      <c r="H37">
        <v>35.755741119384766</v>
      </c>
      <c r="I37">
        <v>1.1393810510635376</v>
      </c>
      <c r="J37">
        <v>19.471511840820312</v>
      </c>
      <c r="K37">
        <v>34.053001403808594</v>
      </c>
      <c r="L37">
        <v>20.621339797973633</v>
      </c>
      <c r="M37" t="b">
        <v>0</v>
      </c>
      <c r="N37">
        <v>2</v>
      </c>
      <c r="O37" t="b">
        <v>1</v>
      </c>
      <c r="P37">
        <v>3</v>
      </c>
      <c r="Q37">
        <v>29</v>
      </c>
      <c r="R37">
        <v>79.515426635742188</v>
      </c>
      <c r="S37" t="s">
        <v>24</v>
      </c>
      <c r="T37" t="s">
        <v>24</v>
      </c>
      <c r="U37" t="s">
        <v>24</v>
      </c>
      <c r="V37" t="s">
        <v>114</v>
      </c>
      <c r="W37" t="s">
        <v>29</v>
      </c>
      <c r="X37" t="s">
        <v>29</v>
      </c>
    </row>
    <row r="38" spans="1:24">
      <c r="A38" t="s">
        <v>71</v>
      </c>
      <c r="B38" t="s">
        <v>70</v>
      </c>
      <c r="C38" t="s">
        <v>25</v>
      </c>
      <c r="D38" t="s">
        <v>33</v>
      </c>
      <c r="E38" t="s">
        <v>27</v>
      </c>
      <c r="F38" t="s">
        <v>28</v>
      </c>
      <c r="G38">
        <v>34.950077056884766</v>
      </c>
      <c r="H38">
        <v>35.755741119384766</v>
      </c>
      <c r="I38">
        <v>1.1393810510635376</v>
      </c>
      <c r="J38">
        <v>48.634490966796875</v>
      </c>
      <c r="K38">
        <v>34.053001403808594</v>
      </c>
      <c r="L38">
        <v>20.621339797973633</v>
      </c>
      <c r="M38" t="b">
        <v>0</v>
      </c>
      <c r="N38">
        <v>2</v>
      </c>
      <c r="O38" t="b">
        <v>1</v>
      </c>
      <c r="P38">
        <v>3</v>
      </c>
      <c r="Q38">
        <v>27</v>
      </c>
      <c r="R38">
        <v>85.113433837890625</v>
      </c>
      <c r="S38">
        <v>78.550247192382812</v>
      </c>
      <c r="T38" t="s">
        <v>24</v>
      </c>
      <c r="U38" t="s">
        <v>24</v>
      </c>
      <c r="V38" t="s">
        <v>114</v>
      </c>
      <c r="W38" t="s">
        <v>29</v>
      </c>
      <c r="X38" t="s">
        <v>114</v>
      </c>
    </row>
    <row r="39" spans="1:24">
      <c r="A39" t="s">
        <v>72</v>
      </c>
      <c r="B39" t="s">
        <v>73</v>
      </c>
      <c r="C39" t="s">
        <v>25</v>
      </c>
      <c r="D39" t="s">
        <v>33</v>
      </c>
      <c r="E39" t="s">
        <v>27</v>
      </c>
      <c r="F39" t="s">
        <v>28</v>
      </c>
      <c r="G39">
        <v>14.471602439880371</v>
      </c>
      <c r="H39">
        <v>14.615054130554199</v>
      </c>
      <c r="I39">
        <v>0.20287132263183594</v>
      </c>
      <c r="J39">
        <v>5487390</v>
      </c>
      <c r="K39">
        <v>5074744</v>
      </c>
      <c r="L39">
        <v>583569.5625</v>
      </c>
      <c r="M39" t="b">
        <v>0</v>
      </c>
      <c r="N39">
        <v>2</v>
      </c>
      <c r="O39" t="b">
        <v>1</v>
      </c>
      <c r="P39">
        <v>3</v>
      </c>
      <c r="Q39">
        <v>5</v>
      </c>
      <c r="R39">
        <v>85.113433837890625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  <c r="X39" t="s">
        <v>29</v>
      </c>
    </row>
    <row r="40" spans="1:24">
      <c r="A40" t="s">
        <v>74</v>
      </c>
      <c r="B40" t="s">
        <v>73</v>
      </c>
      <c r="C40" t="s">
        <v>25</v>
      </c>
      <c r="D40" t="s">
        <v>33</v>
      </c>
      <c r="E40" t="s">
        <v>27</v>
      </c>
      <c r="F40" t="s">
        <v>28</v>
      </c>
      <c r="G40">
        <v>14.758505821228027</v>
      </c>
      <c r="H40">
        <v>14.615054130554199</v>
      </c>
      <c r="I40">
        <v>0.20287132263183594</v>
      </c>
      <c r="J40">
        <v>4662098</v>
      </c>
      <c r="K40">
        <v>5074744</v>
      </c>
      <c r="L40">
        <v>583569.5625</v>
      </c>
      <c r="M40" t="b">
        <v>0</v>
      </c>
      <c r="N40">
        <v>2</v>
      </c>
      <c r="O40" t="b">
        <v>1</v>
      </c>
      <c r="P40">
        <v>1</v>
      </c>
      <c r="Q40">
        <v>2</v>
      </c>
      <c r="R40">
        <v>84.920394897460938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  <c r="X40" t="s">
        <v>29</v>
      </c>
    </row>
    <row r="41" spans="1:24">
      <c r="A41" t="s">
        <v>75</v>
      </c>
      <c r="B41" t="s">
        <v>76</v>
      </c>
      <c r="C41" t="s">
        <v>25</v>
      </c>
      <c r="D41" t="s">
        <v>33</v>
      </c>
      <c r="E41" t="s">
        <v>27</v>
      </c>
      <c r="F41" t="s">
        <v>28</v>
      </c>
      <c r="G41">
        <v>17.438869476318359</v>
      </c>
      <c r="H41">
        <v>17.566125869750977</v>
      </c>
      <c r="I41">
        <v>0.17996771633625031</v>
      </c>
      <c r="J41">
        <v>1016917.5</v>
      </c>
      <c r="K41">
        <v>948468.875</v>
      </c>
      <c r="L41">
        <v>96800.9296875</v>
      </c>
      <c r="M41" t="b">
        <v>0</v>
      </c>
      <c r="N41">
        <v>2</v>
      </c>
      <c r="O41" t="b">
        <v>1</v>
      </c>
      <c r="P41">
        <v>3</v>
      </c>
      <c r="Q41">
        <v>9</v>
      </c>
      <c r="R41">
        <v>84.534332275390625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  <c r="X41" t="s">
        <v>29</v>
      </c>
    </row>
    <row r="42" spans="1:24">
      <c r="A42" t="s">
        <v>77</v>
      </c>
      <c r="B42" t="s">
        <v>76</v>
      </c>
      <c r="C42" t="s">
        <v>25</v>
      </c>
      <c r="D42" t="s">
        <v>33</v>
      </c>
      <c r="E42" t="s">
        <v>27</v>
      </c>
      <c r="F42" t="s">
        <v>28</v>
      </c>
      <c r="G42">
        <v>17.693382263183594</v>
      </c>
      <c r="H42">
        <v>17.566125869750977</v>
      </c>
      <c r="I42">
        <v>0.17996771633625031</v>
      </c>
      <c r="J42">
        <v>880020.3125</v>
      </c>
      <c r="K42">
        <v>948468.875</v>
      </c>
      <c r="L42">
        <v>96800.9296875</v>
      </c>
      <c r="M42" t="b">
        <v>0</v>
      </c>
      <c r="N42">
        <v>2</v>
      </c>
      <c r="O42" t="b">
        <v>1</v>
      </c>
      <c r="P42">
        <v>3</v>
      </c>
      <c r="Q42">
        <v>10</v>
      </c>
      <c r="R42">
        <v>84.341293334960938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  <c r="X42" t="s">
        <v>29</v>
      </c>
    </row>
    <row r="43" spans="1:24">
      <c r="A43" t="s">
        <v>78</v>
      </c>
      <c r="B43" t="s">
        <v>79</v>
      </c>
      <c r="C43" t="s">
        <v>25</v>
      </c>
      <c r="D43" t="s">
        <v>33</v>
      </c>
      <c r="E43" t="s">
        <v>27</v>
      </c>
      <c r="F43" t="s">
        <v>28</v>
      </c>
      <c r="G43">
        <v>17.330739974975586</v>
      </c>
      <c r="H43">
        <v>16.978713989257812</v>
      </c>
      <c r="I43">
        <v>0.49783992767333984</v>
      </c>
      <c r="J43">
        <v>1081342.5</v>
      </c>
      <c r="K43">
        <v>1347230</v>
      </c>
      <c r="L43">
        <v>376021.8125</v>
      </c>
      <c r="M43" t="b">
        <v>0</v>
      </c>
      <c r="N43">
        <v>2</v>
      </c>
      <c r="O43" t="b">
        <v>1</v>
      </c>
      <c r="P43">
        <v>3</v>
      </c>
      <c r="Q43">
        <v>6</v>
      </c>
      <c r="R43">
        <v>83.762191772460938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  <c r="X43" t="s">
        <v>29</v>
      </c>
    </row>
    <row r="44" spans="1:24">
      <c r="A44" t="s">
        <v>80</v>
      </c>
      <c r="B44" t="s">
        <v>79</v>
      </c>
      <c r="C44" t="s">
        <v>25</v>
      </c>
      <c r="D44" t="s">
        <v>33</v>
      </c>
      <c r="E44" t="s">
        <v>27</v>
      </c>
      <c r="F44" t="s">
        <v>28</v>
      </c>
      <c r="G44">
        <v>16.626688003540039</v>
      </c>
      <c r="H44">
        <v>16.978713989257812</v>
      </c>
      <c r="I44">
        <v>0.49783992767333984</v>
      </c>
      <c r="J44">
        <v>1613117.625</v>
      </c>
      <c r="K44">
        <v>1347230</v>
      </c>
      <c r="L44">
        <v>376021.8125</v>
      </c>
      <c r="M44" t="b">
        <v>0</v>
      </c>
      <c r="N44">
        <v>2</v>
      </c>
      <c r="O44" t="b">
        <v>1</v>
      </c>
      <c r="P44">
        <v>3</v>
      </c>
      <c r="Q44">
        <v>6</v>
      </c>
      <c r="R44">
        <v>83.762191772460938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  <c r="X44" t="s">
        <v>29</v>
      </c>
    </row>
    <row r="45" spans="1:24">
      <c r="A45" t="s">
        <v>81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>
        <v>22.852304458618164</v>
      </c>
      <c r="H45">
        <v>22.911510467529297</v>
      </c>
      <c r="I45">
        <v>8.3728589117527008E-2</v>
      </c>
      <c r="J45">
        <v>50000</v>
      </c>
      <c r="K45" t="s">
        <v>24</v>
      </c>
      <c r="L45" t="s">
        <v>24</v>
      </c>
      <c r="M45" t="b">
        <v>0</v>
      </c>
      <c r="N45">
        <v>2</v>
      </c>
      <c r="O45" t="b">
        <v>1</v>
      </c>
      <c r="P45">
        <v>3</v>
      </c>
      <c r="Q45">
        <v>15</v>
      </c>
      <c r="R45">
        <v>84.920394897460938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  <c r="X45" t="s">
        <v>29</v>
      </c>
    </row>
    <row r="46" spans="1:24">
      <c r="A46" t="s">
        <v>82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>
        <v>22.970714569091797</v>
      </c>
      <c r="H46">
        <v>22.911510467529297</v>
      </c>
      <c r="I46">
        <v>8.3728589117527008E-2</v>
      </c>
      <c r="J46">
        <v>50000</v>
      </c>
      <c r="K46" t="s">
        <v>24</v>
      </c>
      <c r="L46" t="s">
        <v>24</v>
      </c>
      <c r="M46" t="b">
        <v>0</v>
      </c>
      <c r="N46">
        <v>2</v>
      </c>
      <c r="O46" t="b">
        <v>1</v>
      </c>
      <c r="P46">
        <v>3</v>
      </c>
      <c r="Q46">
        <v>14</v>
      </c>
      <c r="R46">
        <v>84.920394897460938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  <c r="X46" t="s">
        <v>29</v>
      </c>
    </row>
    <row r="47" spans="1:24">
      <c r="A47" t="s">
        <v>83</v>
      </c>
      <c r="B47" t="s">
        <v>84</v>
      </c>
      <c r="C47" t="s">
        <v>25</v>
      </c>
      <c r="D47" t="s">
        <v>33</v>
      </c>
      <c r="E47" t="s">
        <v>27</v>
      </c>
      <c r="F47" t="s">
        <v>28</v>
      </c>
      <c r="G47">
        <v>15.079471588134766</v>
      </c>
      <c r="H47">
        <v>14.946871757507324</v>
      </c>
      <c r="I47">
        <v>0.18752448260784149</v>
      </c>
      <c r="J47">
        <v>3885019.25</v>
      </c>
      <c r="K47">
        <v>4200868</v>
      </c>
      <c r="L47">
        <v>446677.75</v>
      </c>
      <c r="M47" t="b">
        <v>0</v>
      </c>
      <c r="N47">
        <v>2</v>
      </c>
      <c r="O47" t="b">
        <v>1</v>
      </c>
      <c r="P47">
        <v>3</v>
      </c>
      <c r="Q47">
        <v>6</v>
      </c>
      <c r="R47">
        <v>85.113433837890625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  <c r="X47" t="s">
        <v>29</v>
      </c>
    </row>
    <row r="48" spans="1:24">
      <c r="A48" t="s">
        <v>85</v>
      </c>
      <c r="B48" t="s">
        <v>84</v>
      </c>
      <c r="C48" t="s">
        <v>25</v>
      </c>
      <c r="D48" t="s">
        <v>33</v>
      </c>
      <c r="E48" t="s">
        <v>27</v>
      </c>
      <c r="F48" t="s">
        <v>28</v>
      </c>
      <c r="G48">
        <v>14.814271926879883</v>
      </c>
      <c r="H48">
        <v>14.946871757507324</v>
      </c>
      <c r="I48">
        <v>0.18752448260784149</v>
      </c>
      <c r="J48">
        <v>4516717</v>
      </c>
      <c r="K48">
        <v>4200868</v>
      </c>
      <c r="L48">
        <v>446677.75</v>
      </c>
      <c r="M48" t="b">
        <v>0</v>
      </c>
      <c r="N48">
        <v>2</v>
      </c>
      <c r="O48" t="b">
        <v>1</v>
      </c>
      <c r="P48">
        <v>3</v>
      </c>
      <c r="Q48">
        <v>6</v>
      </c>
      <c r="R48">
        <v>85.306472778320312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  <c r="X48" t="s">
        <v>29</v>
      </c>
    </row>
    <row r="49" spans="1:24">
      <c r="A49" t="s">
        <v>86</v>
      </c>
      <c r="B49" t="s">
        <v>87</v>
      </c>
      <c r="C49" t="s">
        <v>25</v>
      </c>
      <c r="D49" t="s">
        <v>33</v>
      </c>
      <c r="E49" t="s">
        <v>27</v>
      </c>
      <c r="F49" t="s">
        <v>28</v>
      </c>
      <c r="G49">
        <v>15.280220985412598</v>
      </c>
      <c r="H49">
        <v>15.308307647705078</v>
      </c>
      <c r="I49">
        <v>3.9721213281154633E-2</v>
      </c>
      <c r="J49">
        <v>3466287.25</v>
      </c>
      <c r="K49">
        <v>3411852.25</v>
      </c>
      <c r="L49">
        <v>76982.71875</v>
      </c>
      <c r="M49" t="b">
        <v>0</v>
      </c>
      <c r="N49">
        <v>2</v>
      </c>
      <c r="O49" t="b">
        <v>1</v>
      </c>
      <c r="P49">
        <v>3</v>
      </c>
      <c r="Q49">
        <v>6</v>
      </c>
      <c r="R49">
        <v>85.113433837890625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  <c r="X49" t="s">
        <v>29</v>
      </c>
    </row>
    <row r="50" spans="1:24">
      <c r="A50" t="s">
        <v>88</v>
      </c>
      <c r="B50" t="s">
        <v>87</v>
      </c>
      <c r="C50" t="s">
        <v>25</v>
      </c>
      <c r="D50" t="s">
        <v>33</v>
      </c>
      <c r="E50" t="s">
        <v>27</v>
      </c>
      <c r="F50" t="s">
        <v>28</v>
      </c>
      <c r="G50">
        <v>15.336395263671875</v>
      </c>
      <c r="H50">
        <v>15.308307647705078</v>
      </c>
      <c r="I50">
        <v>3.9721213281154633E-2</v>
      </c>
      <c r="J50">
        <v>3357417.25</v>
      </c>
      <c r="K50">
        <v>3411852.25</v>
      </c>
      <c r="L50">
        <v>76982.71875</v>
      </c>
      <c r="M50" t="b">
        <v>0</v>
      </c>
      <c r="N50">
        <v>2</v>
      </c>
      <c r="O50" t="b">
        <v>1</v>
      </c>
      <c r="P50">
        <v>3</v>
      </c>
      <c r="Q50">
        <v>7</v>
      </c>
      <c r="R50">
        <v>85.306472778320312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  <c r="X50" t="s">
        <v>29</v>
      </c>
    </row>
    <row r="51" spans="1:24">
      <c r="A51" t="s">
        <v>89</v>
      </c>
      <c r="B51" t="s">
        <v>90</v>
      </c>
      <c r="C51" t="s">
        <v>25</v>
      </c>
      <c r="D51" t="s">
        <v>33</v>
      </c>
      <c r="E51" t="s">
        <v>27</v>
      </c>
      <c r="F51" t="s">
        <v>28</v>
      </c>
      <c r="G51">
        <v>18.392053604125977</v>
      </c>
      <c r="H51">
        <v>19.10881233215332</v>
      </c>
      <c r="I51">
        <v>1.0136499404907227</v>
      </c>
      <c r="J51">
        <v>591721.625</v>
      </c>
      <c r="K51">
        <v>426903.25</v>
      </c>
      <c r="L51">
        <v>233088.375</v>
      </c>
      <c r="M51" t="b">
        <v>0</v>
      </c>
      <c r="N51">
        <v>2</v>
      </c>
      <c r="O51" t="b">
        <v>1</v>
      </c>
      <c r="P51">
        <v>3</v>
      </c>
      <c r="Q51">
        <v>9</v>
      </c>
      <c r="R51">
        <v>85.306472778320312</v>
      </c>
      <c r="S51" t="s">
        <v>24</v>
      </c>
      <c r="T51" t="s">
        <v>24</v>
      </c>
      <c r="U51" t="s">
        <v>24</v>
      </c>
      <c r="V51" t="s">
        <v>114</v>
      </c>
      <c r="W51" t="s">
        <v>29</v>
      </c>
      <c r="X51" t="s">
        <v>29</v>
      </c>
    </row>
    <row r="52" spans="1:24">
      <c r="A52" t="s">
        <v>91</v>
      </c>
      <c r="B52" t="s">
        <v>90</v>
      </c>
      <c r="C52" t="s">
        <v>25</v>
      </c>
      <c r="D52" t="s">
        <v>33</v>
      </c>
      <c r="E52" t="s">
        <v>27</v>
      </c>
      <c r="F52" t="s">
        <v>28</v>
      </c>
      <c r="G52">
        <v>19.825571060180664</v>
      </c>
      <c r="H52">
        <v>19.10881233215332</v>
      </c>
      <c r="I52">
        <v>1.0136499404907227</v>
      </c>
      <c r="J52">
        <v>262084.875</v>
      </c>
      <c r="K52">
        <v>426903.25</v>
      </c>
      <c r="L52">
        <v>233088.375</v>
      </c>
      <c r="M52" t="b">
        <v>0</v>
      </c>
      <c r="N52">
        <v>2</v>
      </c>
      <c r="O52" t="b">
        <v>1</v>
      </c>
      <c r="P52">
        <v>3</v>
      </c>
      <c r="Q52">
        <v>11</v>
      </c>
      <c r="R52">
        <v>85.306472778320312</v>
      </c>
      <c r="S52" t="s">
        <v>24</v>
      </c>
      <c r="T52" t="s">
        <v>24</v>
      </c>
      <c r="U52" t="s">
        <v>24</v>
      </c>
      <c r="V52" t="s">
        <v>114</v>
      </c>
      <c r="W52" t="s">
        <v>29</v>
      </c>
      <c r="X52" t="s">
        <v>29</v>
      </c>
    </row>
    <row r="53" spans="1:24">
      <c r="A53" t="s">
        <v>92</v>
      </c>
      <c r="B53" t="s">
        <v>93</v>
      </c>
      <c r="C53" t="s">
        <v>25</v>
      </c>
      <c r="D53" t="s">
        <v>33</v>
      </c>
      <c r="E53" t="s">
        <v>27</v>
      </c>
      <c r="F53" t="s">
        <v>28</v>
      </c>
      <c r="G53">
        <v>19.613428115844727</v>
      </c>
      <c r="H53">
        <v>19.671436309814453</v>
      </c>
      <c r="I53">
        <v>8.2037322223186493E-2</v>
      </c>
      <c r="J53">
        <v>295652.5</v>
      </c>
      <c r="K53">
        <v>286223.5625</v>
      </c>
      <c r="L53">
        <v>13334.5087890625</v>
      </c>
      <c r="M53" t="b">
        <v>0</v>
      </c>
      <c r="N53">
        <v>2</v>
      </c>
      <c r="O53" t="b">
        <v>0</v>
      </c>
      <c r="P53">
        <v>2</v>
      </c>
      <c r="Q53">
        <v>9</v>
      </c>
      <c r="R53">
        <v>84.920394897460938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  <c r="X53" t="s">
        <v>29</v>
      </c>
    </row>
    <row r="54" spans="1:24">
      <c r="A54" t="s">
        <v>94</v>
      </c>
      <c r="B54" t="s">
        <v>93</v>
      </c>
      <c r="C54" t="s">
        <v>25</v>
      </c>
      <c r="D54" t="s">
        <v>33</v>
      </c>
      <c r="E54" t="s">
        <v>27</v>
      </c>
      <c r="F54" t="s">
        <v>28</v>
      </c>
      <c r="G54">
        <v>19.729446411132812</v>
      </c>
      <c r="H54">
        <v>19.671436309814453</v>
      </c>
      <c r="I54">
        <v>8.2037322223186493E-2</v>
      </c>
      <c r="J54">
        <v>276794.65625</v>
      </c>
      <c r="K54">
        <v>286223.5625</v>
      </c>
      <c r="L54">
        <v>13334.5087890625</v>
      </c>
      <c r="M54" t="b">
        <v>0</v>
      </c>
      <c r="N54">
        <v>2</v>
      </c>
      <c r="O54" t="b">
        <v>0</v>
      </c>
      <c r="P54">
        <v>2</v>
      </c>
      <c r="Q54">
        <v>9</v>
      </c>
      <c r="R54">
        <v>84.341293334960938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  <c r="X54" t="s">
        <v>29</v>
      </c>
    </row>
    <row r="55" spans="1:24">
      <c r="A55" t="s">
        <v>95</v>
      </c>
      <c r="B55" t="s">
        <v>812</v>
      </c>
      <c r="C55" t="s">
        <v>25</v>
      </c>
      <c r="D55" t="s">
        <v>33</v>
      </c>
      <c r="E55" t="s">
        <v>27</v>
      </c>
      <c r="F55" t="s">
        <v>28</v>
      </c>
      <c r="G55">
        <v>10.917692184448242</v>
      </c>
      <c r="H55">
        <v>10.933415412902832</v>
      </c>
      <c r="I55">
        <v>2.223600260913372E-2</v>
      </c>
      <c r="J55">
        <v>41322040</v>
      </c>
      <c r="K55">
        <v>40956216</v>
      </c>
      <c r="L55">
        <v>517350.4375</v>
      </c>
      <c r="M55" t="b">
        <v>0</v>
      </c>
      <c r="N55">
        <v>2</v>
      </c>
      <c r="O55" t="b">
        <v>0</v>
      </c>
      <c r="P55">
        <v>1</v>
      </c>
      <c r="Q55">
        <v>6</v>
      </c>
      <c r="R55">
        <v>84.148262023925781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  <c r="X55" t="s">
        <v>29</v>
      </c>
    </row>
    <row r="56" spans="1:24">
      <c r="A56" t="s">
        <v>97</v>
      </c>
      <c r="B56" t="s">
        <v>812</v>
      </c>
      <c r="C56" t="s">
        <v>25</v>
      </c>
      <c r="D56" t="s">
        <v>33</v>
      </c>
      <c r="E56" t="s">
        <v>27</v>
      </c>
      <c r="F56" t="s">
        <v>28</v>
      </c>
      <c r="G56">
        <v>10.949138641357422</v>
      </c>
      <c r="H56">
        <v>10.933415412902832</v>
      </c>
      <c r="I56">
        <v>2.223600260913372E-2</v>
      </c>
      <c r="J56">
        <v>40590396</v>
      </c>
      <c r="K56">
        <v>40956216</v>
      </c>
      <c r="L56">
        <v>517350.4375</v>
      </c>
      <c r="M56" t="b">
        <v>0</v>
      </c>
      <c r="N56">
        <v>2</v>
      </c>
      <c r="O56" t="b">
        <v>0</v>
      </c>
      <c r="P56">
        <v>1</v>
      </c>
      <c r="Q56">
        <v>6</v>
      </c>
      <c r="R56">
        <v>84.148262023925781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  <c r="X56" t="s">
        <v>29</v>
      </c>
    </row>
    <row r="57" spans="1:24">
      <c r="A57" t="s">
        <v>98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>
        <v>27.023365020751953</v>
      </c>
      <c r="H57">
        <v>26.889064788818359</v>
      </c>
      <c r="I57">
        <v>0.18992920219898224</v>
      </c>
      <c r="J57">
        <v>5000</v>
      </c>
      <c r="K57" t="s">
        <v>24</v>
      </c>
      <c r="L57" t="s">
        <v>24</v>
      </c>
      <c r="M57" t="b">
        <v>0</v>
      </c>
      <c r="N57">
        <v>2</v>
      </c>
      <c r="O57" t="b">
        <v>1</v>
      </c>
      <c r="P57">
        <v>3</v>
      </c>
      <c r="Q57">
        <v>20</v>
      </c>
      <c r="R57">
        <v>84.920394897460938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  <c r="X57" t="s">
        <v>29</v>
      </c>
    </row>
    <row r="58" spans="1:24">
      <c r="A58" t="s">
        <v>99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>
        <v>26.754764556884766</v>
      </c>
      <c r="H58">
        <v>26.889064788818359</v>
      </c>
      <c r="I58">
        <v>0.18992920219898224</v>
      </c>
      <c r="J58">
        <v>5000</v>
      </c>
      <c r="K58" t="s">
        <v>24</v>
      </c>
      <c r="L58" t="s">
        <v>24</v>
      </c>
      <c r="M58" t="b">
        <v>0</v>
      </c>
      <c r="N58">
        <v>2</v>
      </c>
      <c r="O58" t="b">
        <v>1</v>
      </c>
      <c r="P58">
        <v>3</v>
      </c>
      <c r="Q58">
        <v>18</v>
      </c>
      <c r="R58">
        <v>84.920394897460938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  <c r="X58" t="s">
        <v>29</v>
      </c>
    </row>
    <row r="59" spans="1:24">
      <c r="A59" t="s">
        <v>100</v>
      </c>
      <c r="B59" t="s">
        <v>101</v>
      </c>
      <c r="C59" t="s">
        <v>25</v>
      </c>
      <c r="D59" t="s">
        <v>33</v>
      </c>
      <c r="E59" t="s">
        <v>27</v>
      </c>
      <c r="F59" t="s">
        <v>28</v>
      </c>
      <c r="G59">
        <v>14.677768707275391</v>
      </c>
      <c r="H59">
        <v>14.510448455810547</v>
      </c>
      <c r="I59">
        <v>0.23662656545639038</v>
      </c>
      <c r="J59">
        <v>4880909.5</v>
      </c>
      <c r="K59">
        <v>5391887</v>
      </c>
      <c r="L59">
        <v>722631.3125</v>
      </c>
      <c r="M59" t="b">
        <v>0</v>
      </c>
      <c r="N59">
        <v>2</v>
      </c>
      <c r="O59" t="b">
        <v>1</v>
      </c>
      <c r="P59">
        <v>3</v>
      </c>
      <c r="Q59">
        <v>7</v>
      </c>
      <c r="R59">
        <v>85.113433837890625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  <c r="X59" t="s">
        <v>29</v>
      </c>
    </row>
    <row r="60" spans="1:24">
      <c r="A60" t="s">
        <v>102</v>
      </c>
      <c r="B60" t="s">
        <v>101</v>
      </c>
      <c r="C60" t="s">
        <v>25</v>
      </c>
      <c r="D60" t="s">
        <v>33</v>
      </c>
      <c r="E60" t="s">
        <v>27</v>
      </c>
      <c r="F60" t="s">
        <v>28</v>
      </c>
      <c r="G60">
        <v>14.343128204345703</v>
      </c>
      <c r="H60">
        <v>14.510448455810547</v>
      </c>
      <c r="I60">
        <v>0.23662656545639038</v>
      </c>
      <c r="J60">
        <v>5902864.5</v>
      </c>
      <c r="K60">
        <v>5391887</v>
      </c>
      <c r="L60">
        <v>722631.3125</v>
      </c>
      <c r="M60" t="b">
        <v>0</v>
      </c>
      <c r="N60">
        <v>2</v>
      </c>
      <c r="O60" t="b">
        <v>1</v>
      </c>
      <c r="P60">
        <v>3</v>
      </c>
      <c r="Q60">
        <v>5</v>
      </c>
      <c r="R60">
        <v>85.306472778320312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  <c r="X60" t="s">
        <v>29</v>
      </c>
    </row>
    <row r="61" spans="1:24">
      <c r="A61" t="s">
        <v>103</v>
      </c>
      <c r="B61" t="s">
        <v>104</v>
      </c>
      <c r="C61" t="s">
        <v>25</v>
      </c>
      <c r="D61" t="s">
        <v>33</v>
      </c>
      <c r="E61" t="s">
        <v>27</v>
      </c>
      <c r="F61" t="s">
        <v>28</v>
      </c>
      <c r="G61">
        <v>15.400856971740723</v>
      </c>
      <c r="H61">
        <v>15.437774658203125</v>
      </c>
      <c r="I61">
        <v>5.2210167050361633E-2</v>
      </c>
      <c r="J61">
        <v>3236692.25</v>
      </c>
      <c r="K61">
        <v>3170213.5</v>
      </c>
      <c r="L61">
        <v>94015.1484375</v>
      </c>
      <c r="M61" t="b">
        <v>0</v>
      </c>
      <c r="N61">
        <v>2</v>
      </c>
      <c r="O61" t="b">
        <v>1</v>
      </c>
      <c r="P61">
        <v>3</v>
      </c>
      <c r="Q61">
        <v>7</v>
      </c>
      <c r="R61">
        <v>85.306472778320312</v>
      </c>
      <c r="S61" t="s">
        <v>24</v>
      </c>
      <c r="T61" t="s">
        <v>24</v>
      </c>
      <c r="U61" t="s">
        <v>24</v>
      </c>
      <c r="V61" t="s">
        <v>29</v>
      </c>
      <c r="W61" t="s">
        <v>29</v>
      </c>
      <c r="X61" t="s">
        <v>29</v>
      </c>
    </row>
    <row r="62" spans="1:24">
      <c r="A62" t="s">
        <v>105</v>
      </c>
      <c r="B62" t="s">
        <v>104</v>
      </c>
      <c r="C62" t="s">
        <v>25</v>
      </c>
      <c r="D62" t="s">
        <v>33</v>
      </c>
      <c r="E62" t="s">
        <v>27</v>
      </c>
      <c r="F62" t="s">
        <v>28</v>
      </c>
      <c r="G62">
        <v>15.474693298339844</v>
      </c>
      <c r="H62">
        <v>15.437774658203125</v>
      </c>
      <c r="I62">
        <v>5.2210167050361633E-2</v>
      </c>
      <c r="J62">
        <v>3103734.75</v>
      </c>
      <c r="K62">
        <v>3170213.5</v>
      </c>
      <c r="L62">
        <v>94015.1484375</v>
      </c>
      <c r="M62" t="b">
        <v>0</v>
      </c>
      <c r="N62">
        <v>2</v>
      </c>
      <c r="O62" t="b">
        <v>1</v>
      </c>
      <c r="P62">
        <v>3</v>
      </c>
      <c r="Q62">
        <v>8</v>
      </c>
      <c r="R62">
        <v>85.306472778320312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  <c r="X62" t="s">
        <v>29</v>
      </c>
    </row>
    <row r="63" spans="1:24">
      <c r="A63" t="s">
        <v>106</v>
      </c>
      <c r="B63" t="s">
        <v>107</v>
      </c>
      <c r="C63" t="s">
        <v>25</v>
      </c>
      <c r="D63" t="s">
        <v>33</v>
      </c>
      <c r="E63" t="s">
        <v>27</v>
      </c>
      <c r="F63" t="s">
        <v>28</v>
      </c>
      <c r="G63">
        <v>18.548610687255859</v>
      </c>
      <c r="H63">
        <v>18.584743499755859</v>
      </c>
      <c r="I63">
        <v>5.110086128115654E-2</v>
      </c>
      <c r="J63">
        <v>541367.125</v>
      </c>
      <c r="K63">
        <v>530479.375</v>
      </c>
      <c r="L63">
        <v>15397.603515625</v>
      </c>
      <c r="M63" t="b">
        <v>0</v>
      </c>
      <c r="N63">
        <v>2</v>
      </c>
      <c r="O63" t="b">
        <v>1</v>
      </c>
      <c r="P63">
        <v>3</v>
      </c>
      <c r="Q63">
        <v>11</v>
      </c>
      <c r="R63">
        <v>85.306472778320312</v>
      </c>
      <c r="S63" t="s">
        <v>24</v>
      </c>
      <c r="T63" t="s">
        <v>24</v>
      </c>
      <c r="U63" t="s">
        <v>24</v>
      </c>
      <c r="V63" t="s">
        <v>29</v>
      </c>
      <c r="W63" t="s">
        <v>29</v>
      </c>
      <c r="X63" t="s">
        <v>29</v>
      </c>
    </row>
    <row r="64" spans="1:24">
      <c r="A64" t="s">
        <v>108</v>
      </c>
      <c r="B64" t="s">
        <v>107</v>
      </c>
      <c r="C64" t="s">
        <v>25</v>
      </c>
      <c r="D64" t="s">
        <v>33</v>
      </c>
      <c r="E64" t="s">
        <v>27</v>
      </c>
      <c r="F64" t="s">
        <v>28</v>
      </c>
      <c r="G64">
        <v>18.620878219604492</v>
      </c>
      <c r="H64">
        <v>18.584743499755859</v>
      </c>
      <c r="I64">
        <v>5.110086128115654E-2</v>
      </c>
      <c r="J64">
        <v>519591.625</v>
      </c>
      <c r="K64">
        <v>530479.375</v>
      </c>
      <c r="L64">
        <v>15397.603515625</v>
      </c>
      <c r="M64" t="b">
        <v>0</v>
      </c>
      <c r="N64">
        <v>2</v>
      </c>
      <c r="O64" t="b">
        <v>1</v>
      </c>
      <c r="P64">
        <v>3</v>
      </c>
      <c r="Q64">
        <v>9</v>
      </c>
      <c r="R64">
        <v>85.113433837890625</v>
      </c>
      <c r="S64" t="s">
        <v>24</v>
      </c>
      <c r="T64" t="s">
        <v>24</v>
      </c>
      <c r="U64" t="s">
        <v>24</v>
      </c>
      <c r="V64" t="s">
        <v>29</v>
      </c>
      <c r="W64" t="s">
        <v>29</v>
      </c>
      <c r="X64" t="s">
        <v>29</v>
      </c>
    </row>
    <row r="65" spans="1:24">
      <c r="A65" t="s">
        <v>109</v>
      </c>
      <c r="B65" t="s">
        <v>110</v>
      </c>
      <c r="C65" t="s">
        <v>25</v>
      </c>
      <c r="D65" t="s">
        <v>33</v>
      </c>
      <c r="E65" t="s">
        <v>27</v>
      </c>
      <c r="F65" t="s">
        <v>28</v>
      </c>
      <c r="G65">
        <v>18.090900421142578</v>
      </c>
      <c r="H65">
        <v>18.294864654541016</v>
      </c>
      <c r="I65">
        <v>0.28844764828681946</v>
      </c>
      <c r="J65">
        <v>702130</v>
      </c>
      <c r="K65">
        <v>629513.25</v>
      </c>
      <c r="L65">
        <v>102695.640625</v>
      </c>
      <c r="M65" t="b">
        <v>0</v>
      </c>
      <c r="N65">
        <v>2</v>
      </c>
      <c r="O65" t="b">
        <v>1</v>
      </c>
      <c r="P65">
        <v>3</v>
      </c>
      <c r="Q65">
        <v>9</v>
      </c>
      <c r="R65">
        <v>84.920394897460938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  <c r="X65" t="s">
        <v>29</v>
      </c>
    </row>
    <row r="66" spans="1:24">
      <c r="A66" t="s">
        <v>111</v>
      </c>
      <c r="B66" t="s">
        <v>110</v>
      </c>
      <c r="C66" t="s">
        <v>25</v>
      </c>
      <c r="D66" t="s">
        <v>33</v>
      </c>
      <c r="E66" t="s">
        <v>27</v>
      </c>
      <c r="F66" t="s">
        <v>28</v>
      </c>
      <c r="G66">
        <v>18.49882698059082</v>
      </c>
      <c r="H66">
        <v>18.294864654541016</v>
      </c>
      <c r="I66">
        <v>0.28844764828681946</v>
      </c>
      <c r="J66">
        <v>556896.4375</v>
      </c>
      <c r="K66">
        <v>629513.25</v>
      </c>
      <c r="L66">
        <v>102695.640625</v>
      </c>
      <c r="M66" t="b">
        <v>0</v>
      </c>
      <c r="N66">
        <v>2</v>
      </c>
      <c r="O66" t="b">
        <v>1</v>
      </c>
      <c r="P66">
        <v>3</v>
      </c>
      <c r="Q66">
        <v>8</v>
      </c>
      <c r="R66">
        <v>84.727363586425781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  <c r="X66" t="s">
        <v>29</v>
      </c>
    </row>
    <row r="67" spans="1:24">
      <c r="A67" t="s">
        <v>112</v>
      </c>
      <c r="B67" t="s">
        <v>813</v>
      </c>
      <c r="C67" t="s">
        <v>25</v>
      </c>
      <c r="D67" t="s">
        <v>33</v>
      </c>
      <c r="E67" t="s">
        <v>27</v>
      </c>
      <c r="F67" t="s">
        <v>28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b">
        <v>0</v>
      </c>
      <c r="N67">
        <v>2</v>
      </c>
      <c r="O67" t="b">
        <v>1</v>
      </c>
      <c r="P67">
        <v>3</v>
      </c>
      <c r="Q67">
        <v>42</v>
      </c>
      <c r="R67" t="s">
        <v>24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  <c r="X67" t="s">
        <v>29</v>
      </c>
    </row>
    <row r="68" spans="1:24">
      <c r="A68" t="s">
        <v>115</v>
      </c>
      <c r="B68" t="s">
        <v>813</v>
      </c>
      <c r="C68" t="s">
        <v>25</v>
      </c>
      <c r="D68" t="s">
        <v>33</v>
      </c>
      <c r="E68" t="s">
        <v>27</v>
      </c>
      <c r="F68" t="s">
        <v>28</v>
      </c>
      <c r="G68">
        <v>9.1492633819580078</v>
      </c>
      <c r="H68">
        <v>9.1492633819580078</v>
      </c>
      <c r="I68" t="s">
        <v>24</v>
      </c>
      <c r="J68">
        <v>112845976</v>
      </c>
      <c r="K68">
        <v>112845976</v>
      </c>
      <c r="L68" t="s">
        <v>24</v>
      </c>
      <c r="M68" t="b">
        <v>0</v>
      </c>
      <c r="N68">
        <v>2</v>
      </c>
      <c r="O68" t="b">
        <v>1</v>
      </c>
      <c r="P68">
        <v>1</v>
      </c>
      <c r="Q68">
        <v>2</v>
      </c>
      <c r="R68">
        <v>84.148262023925781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  <c r="X68" t="s">
        <v>29</v>
      </c>
    </row>
    <row r="69" spans="1:24">
      <c r="A69" t="s">
        <v>116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>
        <v>30.987592697143555</v>
      </c>
      <c r="H69">
        <v>30.778617858886719</v>
      </c>
      <c r="I69">
        <v>0.295533686876297</v>
      </c>
      <c r="J69">
        <v>500</v>
      </c>
      <c r="K69" t="s">
        <v>24</v>
      </c>
      <c r="L69" t="s">
        <v>24</v>
      </c>
      <c r="M69" t="b">
        <v>0</v>
      </c>
      <c r="N69">
        <v>2</v>
      </c>
      <c r="O69" t="b">
        <v>1</v>
      </c>
      <c r="P69">
        <v>3</v>
      </c>
      <c r="Q69">
        <v>23</v>
      </c>
      <c r="R69">
        <v>84.920394897460938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  <c r="X69" t="s">
        <v>29</v>
      </c>
    </row>
    <row r="70" spans="1:24">
      <c r="A70" t="s">
        <v>117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>
        <v>30.569644927978516</v>
      </c>
      <c r="H70">
        <v>30.778617858886719</v>
      </c>
      <c r="I70">
        <v>0.295533686876297</v>
      </c>
      <c r="J70">
        <v>500</v>
      </c>
      <c r="K70" t="s">
        <v>24</v>
      </c>
      <c r="L70" t="s">
        <v>24</v>
      </c>
      <c r="M70" t="b">
        <v>0</v>
      </c>
      <c r="N70">
        <v>2</v>
      </c>
      <c r="O70" t="b">
        <v>1</v>
      </c>
      <c r="P70">
        <v>3</v>
      </c>
      <c r="Q70">
        <v>21</v>
      </c>
      <c r="R70">
        <v>84.920394897460938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  <c r="X70" t="s">
        <v>29</v>
      </c>
    </row>
    <row r="71" spans="1:24">
      <c r="A71" t="s">
        <v>118</v>
      </c>
      <c r="B71" t="s">
        <v>119</v>
      </c>
      <c r="C71" t="s">
        <v>25</v>
      </c>
      <c r="D71" t="s">
        <v>33</v>
      </c>
      <c r="E71" t="s">
        <v>27</v>
      </c>
      <c r="F71" t="s">
        <v>28</v>
      </c>
      <c r="G71">
        <v>23.201242446899414</v>
      </c>
      <c r="H71">
        <v>21.12263298034668</v>
      </c>
      <c r="I71">
        <v>2.9395976066589355</v>
      </c>
      <c r="J71">
        <v>38512.42578125</v>
      </c>
      <c r="K71">
        <v>223540.203125</v>
      </c>
      <c r="L71">
        <v>261668.78125</v>
      </c>
      <c r="M71" t="b">
        <v>0</v>
      </c>
      <c r="N71">
        <v>2</v>
      </c>
      <c r="O71" t="b">
        <v>1</v>
      </c>
      <c r="P71">
        <v>3</v>
      </c>
      <c r="Q71">
        <v>12</v>
      </c>
      <c r="R71">
        <v>85.113433837890625</v>
      </c>
      <c r="S71" t="s">
        <v>24</v>
      </c>
      <c r="T71" t="s">
        <v>24</v>
      </c>
      <c r="U71" t="s">
        <v>24</v>
      </c>
      <c r="V71" t="s">
        <v>114</v>
      </c>
      <c r="W71" t="s">
        <v>29</v>
      </c>
      <c r="X71" t="s">
        <v>29</v>
      </c>
    </row>
    <row r="72" spans="1:24">
      <c r="A72" t="s">
        <v>120</v>
      </c>
      <c r="B72" t="s">
        <v>119</v>
      </c>
      <c r="C72" t="s">
        <v>25</v>
      </c>
      <c r="D72" t="s">
        <v>33</v>
      </c>
      <c r="E72" t="s">
        <v>27</v>
      </c>
      <c r="F72" t="s">
        <v>28</v>
      </c>
      <c r="G72">
        <v>19.044023513793945</v>
      </c>
      <c r="H72">
        <v>21.12263298034668</v>
      </c>
      <c r="I72">
        <v>2.9395976066589355</v>
      </c>
      <c r="J72">
        <v>408567.96875</v>
      </c>
      <c r="K72">
        <v>223540.203125</v>
      </c>
      <c r="L72">
        <v>261668.78125</v>
      </c>
      <c r="M72" t="b">
        <v>0</v>
      </c>
      <c r="N72">
        <v>2</v>
      </c>
      <c r="O72" t="b">
        <v>1</v>
      </c>
      <c r="P72">
        <v>3</v>
      </c>
      <c r="Q72">
        <v>9</v>
      </c>
      <c r="R72">
        <v>85.306472778320312</v>
      </c>
      <c r="S72" t="s">
        <v>24</v>
      </c>
      <c r="T72" t="s">
        <v>24</v>
      </c>
      <c r="U72" t="s">
        <v>24</v>
      </c>
      <c r="V72" t="s">
        <v>114</v>
      </c>
      <c r="W72" t="s">
        <v>29</v>
      </c>
      <c r="X72" t="s">
        <v>29</v>
      </c>
    </row>
    <row r="73" spans="1:24">
      <c r="A73" t="s">
        <v>121</v>
      </c>
      <c r="B73" t="s">
        <v>122</v>
      </c>
      <c r="C73" t="s">
        <v>25</v>
      </c>
      <c r="D73" t="s">
        <v>33</v>
      </c>
      <c r="E73" t="s">
        <v>27</v>
      </c>
      <c r="F73" t="s">
        <v>28</v>
      </c>
      <c r="G73">
        <v>15.906414031982422</v>
      </c>
      <c r="H73">
        <v>15.858911514282227</v>
      </c>
      <c r="I73">
        <v>6.7178033292293549E-2</v>
      </c>
      <c r="J73">
        <v>2428684.25</v>
      </c>
      <c r="K73">
        <v>2496024.25</v>
      </c>
      <c r="L73">
        <v>95233.140625</v>
      </c>
      <c r="M73" t="b">
        <v>0</v>
      </c>
      <c r="N73">
        <v>2</v>
      </c>
      <c r="O73" t="b">
        <v>1</v>
      </c>
      <c r="P73">
        <v>3</v>
      </c>
      <c r="Q73">
        <v>7</v>
      </c>
      <c r="R73">
        <v>85.306472778320312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  <c r="X73" t="s">
        <v>29</v>
      </c>
    </row>
    <row r="74" spans="1:24">
      <c r="A74" t="s">
        <v>123</v>
      </c>
      <c r="B74" t="s">
        <v>122</v>
      </c>
      <c r="C74" t="s">
        <v>25</v>
      </c>
      <c r="D74" t="s">
        <v>33</v>
      </c>
      <c r="E74" t="s">
        <v>27</v>
      </c>
      <c r="F74" t="s">
        <v>28</v>
      </c>
      <c r="G74">
        <v>15.811409950256348</v>
      </c>
      <c r="H74">
        <v>15.858911514282227</v>
      </c>
      <c r="I74">
        <v>6.7178033292293549E-2</v>
      </c>
      <c r="J74">
        <v>2563364.25</v>
      </c>
      <c r="K74">
        <v>2496024.25</v>
      </c>
      <c r="L74">
        <v>95233.140625</v>
      </c>
      <c r="M74" t="b">
        <v>0</v>
      </c>
      <c r="N74">
        <v>2</v>
      </c>
      <c r="O74" t="b">
        <v>1</v>
      </c>
      <c r="P74">
        <v>3</v>
      </c>
      <c r="Q74">
        <v>8</v>
      </c>
      <c r="R74">
        <v>85.306472778320312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  <c r="X74" t="s">
        <v>29</v>
      </c>
    </row>
    <row r="75" spans="1:24">
      <c r="A75" t="s">
        <v>124</v>
      </c>
      <c r="B75" t="s">
        <v>125</v>
      </c>
      <c r="C75" t="s">
        <v>25</v>
      </c>
      <c r="D75" t="s">
        <v>33</v>
      </c>
      <c r="E75" t="s">
        <v>27</v>
      </c>
      <c r="F75" t="s">
        <v>28</v>
      </c>
      <c r="G75">
        <v>18.286520004272461</v>
      </c>
      <c r="H75">
        <v>18.50518798828125</v>
      </c>
      <c r="I75">
        <v>0.30924323201179504</v>
      </c>
      <c r="J75">
        <v>628281.875</v>
      </c>
      <c r="K75">
        <v>559174.5</v>
      </c>
      <c r="L75">
        <v>97732.5625</v>
      </c>
      <c r="M75" t="b">
        <v>0</v>
      </c>
      <c r="N75">
        <v>2</v>
      </c>
      <c r="O75" t="b">
        <v>1</v>
      </c>
      <c r="P75">
        <v>3</v>
      </c>
      <c r="Q75">
        <v>5</v>
      </c>
      <c r="R75">
        <v>85.306472778320312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  <c r="X75" t="s">
        <v>29</v>
      </c>
    </row>
    <row r="76" spans="1:24">
      <c r="A76" t="s">
        <v>126</v>
      </c>
      <c r="B76" t="s">
        <v>125</v>
      </c>
      <c r="C76" t="s">
        <v>25</v>
      </c>
      <c r="D76" t="s">
        <v>33</v>
      </c>
      <c r="E76" t="s">
        <v>27</v>
      </c>
      <c r="F76" t="s">
        <v>28</v>
      </c>
      <c r="G76">
        <v>18.723855972290039</v>
      </c>
      <c r="H76">
        <v>18.50518798828125</v>
      </c>
      <c r="I76">
        <v>0.30924323201179504</v>
      </c>
      <c r="J76">
        <v>490067.15625</v>
      </c>
      <c r="K76">
        <v>559174.5</v>
      </c>
      <c r="L76">
        <v>97732.5625</v>
      </c>
      <c r="M76" t="b">
        <v>0</v>
      </c>
      <c r="N76">
        <v>2</v>
      </c>
      <c r="O76" t="b">
        <v>1</v>
      </c>
      <c r="P76">
        <v>3</v>
      </c>
      <c r="Q76">
        <v>11</v>
      </c>
      <c r="R76">
        <v>85.306472778320312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  <c r="X76" t="s">
        <v>29</v>
      </c>
    </row>
    <row r="77" spans="1:24">
      <c r="A77" t="s">
        <v>127</v>
      </c>
      <c r="B77" t="s">
        <v>128</v>
      </c>
      <c r="C77" t="s">
        <v>25</v>
      </c>
      <c r="D77" t="s">
        <v>33</v>
      </c>
      <c r="E77" t="s">
        <v>27</v>
      </c>
      <c r="F77" t="s">
        <v>28</v>
      </c>
      <c r="G77">
        <v>18.367469787597656</v>
      </c>
      <c r="H77">
        <v>18.515827178955078</v>
      </c>
      <c r="I77">
        <v>0.20981039106845856</v>
      </c>
      <c r="J77">
        <v>600043.5</v>
      </c>
      <c r="K77">
        <v>553503.75</v>
      </c>
      <c r="L77">
        <v>65817.1015625</v>
      </c>
      <c r="M77" t="b">
        <v>0</v>
      </c>
      <c r="N77">
        <v>2</v>
      </c>
      <c r="O77" t="b">
        <v>1</v>
      </c>
      <c r="P77">
        <v>3</v>
      </c>
      <c r="Q77">
        <v>10</v>
      </c>
      <c r="R77">
        <v>84.920394897460938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  <c r="X77" t="s">
        <v>29</v>
      </c>
    </row>
    <row r="78" spans="1:24">
      <c r="A78" t="s">
        <v>129</v>
      </c>
      <c r="B78" t="s">
        <v>128</v>
      </c>
      <c r="C78" t="s">
        <v>25</v>
      </c>
      <c r="D78" t="s">
        <v>33</v>
      </c>
      <c r="E78" t="s">
        <v>27</v>
      </c>
      <c r="F78" t="s">
        <v>28</v>
      </c>
      <c r="G78">
        <v>18.664186477661133</v>
      </c>
      <c r="H78">
        <v>18.515827178955078</v>
      </c>
      <c r="I78">
        <v>0.20981039106845856</v>
      </c>
      <c r="J78">
        <v>506964.0625</v>
      </c>
      <c r="K78">
        <v>553503.75</v>
      </c>
      <c r="L78">
        <v>65817.1015625</v>
      </c>
      <c r="M78" t="b">
        <v>0</v>
      </c>
      <c r="N78">
        <v>2</v>
      </c>
      <c r="O78" t="b">
        <v>1</v>
      </c>
      <c r="P78">
        <v>3</v>
      </c>
      <c r="Q78">
        <v>10</v>
      </c>
      <c r="R78">
        <v>84.727363586425781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  <c r="X78" t="s">
        <v>29</v>
      </c>
    </row>
    <row r="79" spans="1:24">
      <c r="A79" t="s">
        <v>130</v>
      </c>
      <c r="B79" t="s">
        <v>131</v>
      </c>
      <c r="C79" t="s">
        <v>25</v>
      </c>
      <c r="D79" t="s">
        <v>33</v>
      </c>
      <c r="E79" t="s">
        <v>27</v>
      </c>
      <c r="F79" t="s">
        <v>28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b">
        <v>0</v>
      </c>
      <c r="N79">
        <v>2</v>
      </c>
      <c r="O79" t="b">
        <v>1</v>
      </c>
      <c r="P79">
        <v>3</v>
      </c>
      <c r="Q79">
        <v>48</v>
      </c>
      <c r="R79" t="s">
        <v>24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  <c r="X79" t="s">
        <v>29</v>
      </c>
    </row>
    <row r="80" spans="1:24">
      <c r="A80" t="s">
        <v>132</v>
      </c>
      <c r="B80" t="s">
        <v>131</v>
      </c>
      <c r="C80" t="s">
        <v>25</v>
      </c>
      <c r="D80" t="s">
        <v>33</v>
      </c>
      <c r="E80" t="s">
        <v>27</v>
      </c>
      <c r="F80" t="s">
        <v>28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b">
        <v>0</v>
      </c>
      <c r="N80">
        <v>2</v>
      </c>
      <c r="O80" t="b">
        <v>1</v>
      </c>
      <c r="P80">
        <v>3</v>
      </c>
      <c r="Q80">
        <v>29</v>
      </c>
      <c r="R80" t="s">
        <v>24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  <c r="X80" t="s">
        <v>29</v>
      </c>
    </row>
    <row r="81" spans="1:24">
      <c r="A81" t="s">
        <v>133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b">
        <v>0</v>
      </c>
      <c r="N81">
        <v>2</v>
      </c>
      <c r="O81" t="b">
        <v>1</v>
      </c>
      <c r="P81">
        <v>3</v>
      </c>
      <c r="Q81">
        <v>23</v>
      </c>
      <c r="R81" t="s">
        <v>24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  <c r="X81" t="s">
        <v>29</v>
      </c>
    </row>
    <row r="82" spans="1:24">
      <c r="A82" t="s">
        <v>134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b">
        <v>0</v>
      </c>
      <c r="N82">
        <v>2</v>
      </c>
      <c r="O82" t="b">
        <v>1</v>
      </c>
      <c r="P82">
        <v>3</v>
      </c>
      <c r="Q82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  <c r="X82" t="s">
        <v>29</v>
      </c>
    </row>
    <row r="83" spans="1:24">
      <c r="A83" t="s">
        <v>135</v>
      </c>
      <c r="B83" t="s">
        <v>136</v>
      </c>
      <c r="C83" t="s">
        <v>25</v>
      </c>
      <c r="D83" t="s">
        <v>33</v>
      </c>
      <c r="E83" t="s">
        <v>27</v>
      </c>
      <c r="F83" t="s">
        <v>28</v>
      </c>
      <c r="G83">
        <v>16.187566757202148</v>
      </c>
      <c r="H83">
        <v>16.0875244140625</v>
      </c>
      <c r="I83">
        <v>0.14148123562335968</v>
      </c>
      <c r="J83">
        <v>2070167.25</v>
      </c>
      <c r="K83">
        <v>2194768.75</v>
      </c>
      <c r="L83">
        <v>176213.125</v>
      </c>
      <c r="M83" t="b">
        <v>0</v>
      </c>
      <c r="N83">
        <v>2</v>
      </c>
      <c r="O83" t="b">
        <v>1</v>
      </c>
      <c r="P83">
        <v>3</v>
      </c>
      <c r="Q83">
        <v>8</v>
      </c>
      <c r="R83">
        <v>85.113433837890625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  <c r="X83" t="s">
        <v>29</v>
      </c>
    </row>
    <row r="84" spans="1:24">
      <c r="A84" t="s">
        <v>137</v>
      </c>
      <c r="B84" t="s">
        <v>136</v>
      </c>
      <c r="C84" t="s">
        <v>25</v>
      </c>
      <c r="D84" t="s">
        <v>33</v>
      </c>
      <c r="E84" t="s">
        <v>27</v>
      </c>
      <c r="F84" t="s">
        <v>28</v>
      </c>
      <c r="G84">
        <v>15.987482070922852</v>
      </c>
      <c r="H84">
        <v>16.0875244140625</v>
      </c>
      <c r="I84">
        <v>0.14148123562335968</v>
      </c>
      <c r="J84">
        <v>2319370.25</v>
      </c>
      <c r="K84">
        <v>2194768.75</v>
      </c>
      <c r="L84">
        <v>176213.125</v>
      </c>
      <c r="M84" t="b">
        <v>0</v>
      </c>
      <c r="N84">
        <v>2</v>
      </c>
      <c r="O84" t="b">
        <v>1</v>
      </c>
      <c r="P84">
        <v>3</v>
      </c>
      <c r="Q84">
        <v>7</v>
      </c>
      <c r="R84">
        <v>85.113433837890625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  <c r="X84" t="s">
        <v>29</v>
      </c>
    </row>
    <row r="85" spans="1:24">
      <c r="A85" t="s">
        <v>138</v>
      </c>
      <c r="B85" t="s">
        <v>139</v>
      </c>
      <c r="C85" t="s">
        <v>25</v>
      </c>
      <c r="D85" t="s">
        <v>33</v>
      </c>
      <c r="E85" t="s">
        <v>27</v>
      </c>
      <c r="F85" t="s">
        <v>28</v>
      </c>
      <c r="G85">
        <v>17.241138458251953</v>
      </c>
      <c r="H85">
        <v>17.129695892333984</v>
      </c>
      <c r="I85">
        <v>0.15760359168052673</v>
      </c>
      <c r="J85">
        <v>1137809.75</v>
      </c>
      <c r="K85">
        <v>1214603</v>
      </c>
      <c r="L85">
        <v>108602.140625</v>
      </c>
      <c r="M85" t="b">
        <v>0</v>
      </c>
      <c r="N85">
        <v>2</v>
      </c>
      <c r="O85" t="b">
        <v>1</v>
      </c>
      <c r="P85">
        <v>3</v>
      </c>
      <c r="Q85">
        <v>8</v>
      </c>
      <c r="R85">
        <v>85.113433837890625</v>
      </c>
      <c r="S85" t="s">
        <v>24</v>
      </c>
      <c r="T85" t="s">
        <v>24</v>
      </c>
      <c r="U85" t="s">
        <v>24</v>
      </c>
      <c r="V85" t="s">
        <v>29</v>
      </c>
      <c r="W85" t="s">
        <v>29</v>
      </c>
      <c r="X85" t="s">
        <v>29</v>
      </c>
    </row>
    <row r="86" spans="1:24">
      <c r="A86" t="s">
        <v>140</v>
      </c>
      <c r="B86" t="s">
        <v>139</v>
      </c>
      <c r="C86" t="s">
        <v>25</v>
      </c>
      <c r="D86" t="s">
        <v>33</v>
      </c>
      <c r="E86" t="s">
        <v>27</v>
      </c>
      <c r="F86" t="s">
        <v>28</v>
      </c>
      <c r="G86">
        <v>17.018253326416016</v>
      </c>
      <c r="H86">
        <v>17.129695892333984</v>
      </c>
      <c r="I86">
        <v>0.15760359168052673</v>
      </c>
      <c r="J86">
        <v>1291396.375</v>
      </c>
      <c r="K86">
        <v>1214603</v>
      </c>
      <c r="L86">
        <v>108602.140625</v>
      </c>
      <c r="M86" t="b">
        <v>0</v>
      </c>
      <c r="N86">
        <v>2</v>
      </c>
      <c r="O86" t="b">
        <v>1</v>
      </c>
      <c r="P86">
        <v>3</v>
      </c>
      <c r="Q86">
        <v>9</v>
      </c>
      <c r="R86">
        <v>85.113433837890625</v>
      </c>
      <c r="S86" t="s">
        <v>24</v>
      </c>
      <c r="T86" t="s">
        <v>24</v>
      </c>
      <c r="U86" t="s">
        <v>24</v>
      </c>
      <c r="V86" t="s">
        <v>29</v>
      </c>
      <c r="W86" t="s">
        <v>29</v>
      </c>
      <c r="X86" t="s">
        <v>29</v>
      </c>
    </row>
    <row r="87" spans="1:24">
      <c r="A87" t="s">
        <v>141</v>
      </c>
      <c r="B87" t="s">
        <v>142</v>
      </c>
      <c r="C87" t="s">
        <v>25</v>
      </c>
      <c r="D87" t="s">
        <v>33</v>
      </c>
      <c r="E87" t="s">
        <v>27</v>
      </c>
      <c r="F87" t="s">
        <v>28</v>
      </c>
      <c r="G87">
        <v>16.915546417236328</v>
      </c>
      <c r="H87">
        <v>16.947872161865234</v>
      </c>
      <c r="I87">
        <v>4.5715507119894028E-2</v>
      </c>
      <c r="J87">
        <v>1368986.875</v>
      </c>
      <c r="K87">
        <v>1344303</v>
      </c>
      <c r="L87">
        <v>34908.359375</v>
      </c>
      <c r="M87" t="b">
        <v>0</v>
      </c>
      <c r="N87">
        <v>2</v>
      </c>
      <c r="O87" t="b">
        <v>1</v>
      </c>
      <c r="P87">
        <v>3</v>
      </c>
      <c r="Q87">
        <v>9</v>
      </c>
      <c r="R87">
        <v>85.113433837890625</v>
      </c>
      <c r="S87" t="s">
        <v>24</v>
      </c>
      <c r="T87" t="s">
        <v>24</v>
      </c>
      <c r="U87" t="s">
        <v>24</v>
      </c>
      <c r="V87" t="s">
        <v>29</v>
      </c>
      <c r="W87" t="s">
        <v>29</v>
      </c>
      <c r="X87" t="s">
        <v>29</v>
      </c>
    </row>
    <row r="88" spans="1:24">
      <c r="A88" t="s">
        <v>143</v>
      </c>
      <c r="B88" t="s">
        <v>142</v>
      </c>
      <c r="C88" t="s">
        <v>25</v>
      </c>
      <c r="D88" t="s">
        <v>33</v>
      </c>
      <c r="E88" t="s">
        <v>27</v>
      </c>
      <c r="F88" t="s">
        <v>28</v>
      </c>
      <c r="G88">
        <v>16.980197906494141</v>
      </c>
      <c r="H88">
        <v>16.947872161865234</v>
      </c>
      <c r="I88">
        <v>4.5715507119894028E-2</v>
      </c>
      <c r="J88">
        <v>1319619</v>
      </c>
      <c r="K88">
        <v>1344303</v>
      </c>
      <c r="L88">
        <v>34908.359375</v>
      </c>
      <c r="M88" t="b">
        <v>0</v>
      </c>
      <c r="N88">
        <v>2</v>
      </c>
      <c r="O88" t="b">
        <v>1</v>
      </c>
      <c r="P88">
        <v>3</v>
      </c>
      <c r="Q88">
        <v>6</v>
      </c>
      <c r="R88">
        <v>85.113433837890625</v>
      </c>
      <c r="S88" t="s">
        <v>24</v>
      </c>
      <c r="T88" t="s">
        <v>24</v>
      </c>
      <c r="U88" t="s">
        <v>24</v>
      </c>
      <c r="V88" t="s">
        <v>29</v>
      </c>
      <c r="W88" t="s">
        <v>29</v>
      </c>
      <c r="X88" t="s">
        <v>29</v>
      </c>
    </row>
    <row r="89" spans="1:24">
      <c r="A89" t="s">
        <v>144</v>
      </c>
      <c r="B89" t="s">
        <v>145</v>
      </c>
      <c r="C89" t="s">
        <v>25</v>
      </c>
      <c r="D89" t="s">
        <v>33</v>
      </c>
      <c r="E89" t="s">
        <v>27</v>
      </c>
      <c r="F89" t="s">
        <v>28</v>
      </c>
      <c r="G89">
        <v>17.946615219116211</v>
      </c>
      <c r="H89">
        <v>17.96238899230957</v>
      </c>
      <c r="I89">
        <v>2.2307483479380608E-2</v>
      </c>
      <c r="J89">
        <v>762106</v>
      </c>
      <c r="K89">
        <v>755337.625</v>
      </c>
      <c r="L89">
        <v>9571.8837890625</v>
      </c>
      <c r="M89" t="b">
        <v>0</v>
      </c>
      <c r="N89">
        <v>2</v>
      </c>
      <c r="O89" t="b">
        <v>1</v>
      </c>
      <c r="P89">
        <v>3</v>
      </c>
      <c r="Q89">
        <v>9</v>
      </c>
      <c r="R89">
        <v>84.920394897460938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  <c r="X89" t="s">
        <v>29</v>
      </c>
    </row>
    <row r="90" spans="1:24">
      <c r="A90" t="s">
        <v>146</v>
      </c>
      <c r="B90" t="s">
        <v>145</v>
      </c>
      <c r="C90" t="s">
        <v>25</v>
      </c>
      <c r="D90" t="s">
        <v>33</v>
      </c>
      <c r="E90" t="s">
        <v>27</v>
      </c>
      <c r="F90" t="s">
        <v>28</v>
      </c>
      <c r="G90">
        <v>17.97816276550293</v>
      </c>
      <c r="H90">
        <v>17.96238899230957</v>
      </c>
      <c r="I90">
        <v>2.2307483479380608E-2</v>
      </c>
      <c r="J90">
        <v>748569.3125</v>
      </c>
      <c r="K90">
        <v>755337.625</v>
      </c>
      <c r="L90">
        <v>9571.8837890625</v>
      </c>
      <c r="M90" t="b">
        <v>0</v>
      </c>
      <c r="N90">
        <v>2</v>
      </c>
      <c r="O90" t="b">
        <v>1</v>
      </c>
      <c r="P90">
        <v>3</v>
      </c>
      <c r="Q90">
        <v>9</v>
      </c>
      <c r="R90">
        <v>84.727363586425781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  <c r="X90" t="s">
        <v>29</v>
      </c>
    </row>
    <row r="91" spans="1:24">
      <c r="A91" t="s">
        <v>147</v>
      </c>
      <c r="B91" t="s">
        <v>148</v>
      </c>
      <c r="C91" t="s">
        <v>25</v>
      </c>
      <c r="D91" t="s">
        <v>33</v>
      </c>
      <c r="E91" t="s">
        <v>27</v>
      </c>
      <c r="F91" t="s">
        <v>28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b">
        <v>0</v>
      </c>
      <c r="N91">
        <v>2</v>
      </c>
      <c r="O91" t="b">
        <v>1</v>
      </c>
      <c r="P91">
        <v>3</v>
      </c>
      <c r="Q91">
        <v>49</v>
      </c>
      <c r="R91" t="s">
        <v>24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  <c r="X91" t="s">
        <v>29</v>
      </c>
    </row>
    <row r="92" spans="1:24">
      <c r="A92" t="s">
        <v>149</v>
      </c>
      <c r="B92" t="s">
        <v>148</v>
      </c>
      <c r="C92" t="s">
        <v>25</v>
      </c>
      <c r="D92" t="s">
        <v>33</v>
      </c>
      <c r="E92" t="s">
        <v>27</v>
      </c>
      <c r="F92" t="s">
        <v>28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b">
        <v>0</v>
      </c>
      <c r="N92">
        <v>2</v>
      </c>
      <c r="O92" t="b">
        <v>1</v>
      </c>
      <c r="P92">
        <v>3</v>
      </c>
      <c r="Q92">
        <v>44</v>
      </c>
      <c r="R92" t="s">
        <v>24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  <c r="X92" t="s">
        <v>29</v>
      </c>
    </row>
    <row r="93" spans="1:24">
      <c r="A93" t="s">
        <v>150</v>
      </c>
      <c r="B93" t="s">
        <v>24</v>
      </c>
      <c r="C93" t="s">
        <v>25</v>
      </c>
      <c r="D93" t="s">
        <v>151</v>
      </c>
      <c r="E93" t="s">
        <v>27</v>
      </c>
      <c r="F93" t="s">
        <v>28</v>
      </c>
      <c r="G93">
        <v>37.415416717529297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b">
        <v>0</v>
      </c>
      <c r="N93">
        <v>2</v>
      </c>
      <c r="O93" t="b">
        <v>1</v>
      </c>
      <c r="P93">
        <v>3</v>
      </c>
      <c r="Q93">
        <v>30</v>
      </c>
      <c r="R93">
        <v>77.392044067382812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  <c r="X93" t="s">
        <v>29</v>
      </c>
    </row>
    <row r="94" spans="1:24">
      <c r="A94" t="s">
        <v>152</v>
      </c>
      <c r="B94" t="s">
        <v>24</v>
      </c>
      <c r="C94" t="s">
        <v>25</v>
      </c>
      <c r="D94" t="s">
        <v>151</v>
      </c>
      <c r="E94" t="s">
        <v>27</v>
      </c>
      <c r="F94" t="s">
        <v>28</v>
      </c>
      <c r="G94">
        <v>44.392810821533203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b">
        <v>0</v>
      </c>
      <c r="N94">
        <v>2</v>
      </c>
      <c r="O94" t="b">
        <v>1</v>
      </c>
      <c r="P94">
        <v>3</v>
      </c>
      <c r="Q94">
        <v>38</v>
      </c>
      <c r="R94">
        <v>78.7432861328125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  <c r="X94" t="s">
        <v>29</v>
      </c>
    </row>
    <row r="95" spans="1:24">
      <c r="A95" t="s">
        <v>153</v>
      </c>
      <c r="B95" t="s">
        <v>154</v>
      </c>
      <c r="C95" t="s">
        <v>25</v>
      </c>
      <c r="D95" t="s">
        <v>33</v>
      </c>
      <c r="E95" t="s">
        <v>27</v>
      </c>
      <c r="F95" t="s">
        <v>28</v>
      </c>
      <c r="G95">
        <v>16.447620391845703</v>
      </c>
      <c r="H95">
        <v>16.348232269287109</v>
      </c>
      <c r="I95">
        <v>0.14055737853050232</v>
      </c>
      <c r="J95">
        <v>1785851.625</v>
      </c>
      <c r="K95">
        <v>1892598</v>
      </c>
      <c r="L95">
        <v>150962.265625</v>
      </c>
      <c r="M95" t="b">
        <v>0</v>
      </c>
      <c r="N95">
        <v>2</v>
      </c>
      <c r="O95" t="b">
        <v>1</v>
      </c>
      <c r="P95">
        <v>3</v>
      </c>
      <c r="Q95">
        <v>7</v>
      </c>
      <c r="R95">
        <v>84.920394897460938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  <c r="X95" t="s">
        <v>29</v>
      </c>
    </row>
    <row r="96" spans="1:24">
      <c r="A96" t="s">
        <v>155</v>
      </c>
      <c r="B96" t="s">
        <v>154</v>
      </c>
      <c r="C96" t="s">
        <v>25</v>
      </c>
      <c r="D96" t="s">
        <v>33</v>
      </c>
      <c r="E96" t="s">
        <v>27</v>
      </c>
      <c r="F96" t="s">
        <v>28</v>
      </c>
      <c r="G96">
        <v>16.248842239379883</v>
      </c>
      <c r="H96">
        <v>16.348232269287109</v>
      </c>
      <c r="I96">
        <v>0.14055737853050232</v>
      </c>
      <c r="J96">
        <v>1999344.5</v>
      </c>
      <c r="K96">
        <v>1892598</v>
      </c>
      <c r="L96">
        <v>150962.265625</v>
      </c>
      <c r="M96" t="b">
        <v>0</v>
      </c>
      <c r="N96">
        <v>2</v>
      </c>
      <c r="O96" t="b">
        <v>1</v>
      </c>
      <c r="P96">
        <v>3</v>
      </c>
      <c r="Q96">
        <v>5</v>
      </c>
      <c r="R96">
        <v>84.920394897460938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  <c r="X96" t="s">
        <v>29</v>
      </c>
    </row>
    <row r="97" spans="1:24">
      <c r="A97" t="s">
        <v>156</v>
      </c>
      <c r="B97" t="s">
        <v>157</v>
      </c>
      <c r="C97" t="s">
        <v>25</v>
      </c>
      <c r="D97" t="s">
        <v>33</v>
      </c>
      <c r="E97" t="s">
        <v>27</v>
      </c>
      <c r="F97" t="s">
        <v>28</v>
      </c>
      <c r="G97">
        <v>17.285669326782227</v>
      </c>
      <c r="H97">
        <v>17.281108856201172</v>
      </c>
      <c r="I97">
        <v>6.448130588978529E-3</v>
      </c>
      <c r="J97">
        <v>1109387</v>
      </c>
      <c r="K97">
        <v>1112268</v>
      </c>
      <c r="L97">
        <v>4074.349365234375</v>
      </c>
      <c r="M97" t="b">
        <v>0</v>
      </c>
      <c r="N97">
        <v>2</v>
      </c>
      <c r="O97" t="b">
        <v>1</v>
      </c>
      <c r="P97">
        <v>3</v>
      </c>
      <c r="Q97">
        <v>9</v>
      </c>
      <c r="R97">
        <v>84.920394897460938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  <c r="X97" t="s">
        <v>29</v>
      </c>
    </row>
    <row r="98" spans="1:24">
      <c r="A98" t="s">
        <v>158</v>
      </c>
      <c r="B98" t="s">
        <v>157</v>
      </c>
      <c r="C98" t="s">
        <v>25</v>
      </c>
      <c r="D98" t="s">
        <v>33</v>
      </c>
      <c r="E98" t="s">
        <v>27</v>
      </c>
      <c r="F98" t="s">
        <v>28</v>
      </c>
      <c r="G98">
        <v>17.27655029296875</v>
      </c>
      <c r="H98">
        <v>17.281108856201172</v>
      </c>
      <c r="I98">
        <v>6.448130588978529E-3</v>
      </c>
      <c r="J98">
        <v>1115149</v>
      </c>
      <c r="K98">
        <v>1112268</v>
      </c>
      <c r="L98">
        <v>4074.349365234375</v>
      </c>
      <c r="M98" t="b">
        <v>0</v>
      </c>
      <c r="N98">
        <v>2</v>
      </c>
      <c r="O98" t="b">
        <v>1</v>
      </c>
      <c r="P98">
        <v>3</v>
      </c>
      <c r="Q98">
        <v>8</v>
      </c>
      <c r="R98">
        <v>85.113433837890625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  <c r="X98" t="s">
        <v>29</v>
      </c>
    </row>
    <row r="99" spans="1:24">
      <c r="A99" t="s">
        <v>159</v>
      </c>
      <c r="B99" t="s">
        <v>160</v>
      </c>
      <c r="C99" t="s">
        <v>25</v>
      </c>
      <c r="D99" t="s">
        <v>33</v>
      </c>
      <c r="E99" t="s">
        <v>27</v>
      </c>
      <c r="F99" t="s">
        <v>28</v>
      </c>
      <c r="G99">
        <v>15.67884635925293</v>
      </c>
      <c r="H99">
        <v>15.632745742797852</v>
      </c>
      <c r="I99">
        <v>6.5196789801120758E-2</v>
      </c>
      <c r="J99">
        <v>2763861.25</v>
      </c>
      <c r="K99">
        <v>2838175</v>
      </c>
      <c r="L99">
        <v>105095.515625</v>
      </c>
      <c r="M99" t="b">
        <v>0</v>
      </c>
      <c r="N99">
        <v>2</v>
      </c>
      <c r="O99" t="b">
        <v>1</v>
      </c>
      <c r="P99">
        <v>3</v>
      </c>
      <c r="Q99">
        <v>8</v>
      </c>
      <c r="R99">
        <v>85.113433837890625</v>
      </c>
      <c r="S99" t="s">
        <v>24</v>
      </c>
      <c r="T99" t="s">
        <v>24</v>
      </c>
      <c r="U99" t="s">
        <v>24</v>
      </c>
      <c r="V99" t="s">
        <v>29</v>
      </c>
      <c r="W99" t="s">
        <v>29</v>
      </c>
      <c r="X99" t="s">
        <v>29</v>
      </c>
    </row>
    <row r="100" spans="1:24">
      <c r="A100" t="s">
        <v>161</v>
      </c>
      <c r="B100" t="s">
        <v>160</v>
      </c>
      <c r="C100" t="s">
        <v>25</v>
      </c>
      <c r="D100" t="s">
        <v>33</v>
      </c>
      <c r="E100" t="s">
        <v>27</v>
      </c>
      <c r="F100" t="s">
        <v>28</v>
      </c>
      <c r="G100">
        <v>15.586644172668457</v>
      </c>
      <c r="H100">
        <v>15.632745742797852</v>
      </c>
      <c r="I100">
        <v>6.5196789801120758E-2</v>
      </c>
      <c r="J100">
        <v>2912488.75</v>
      </c>
      <c r="K100">
        <v>2838175</v>
      </c>
      <c r="L100">
        <v>105095.515625</v>
      </c>
      <c r="M100" t="b">
        <v>0</v>
      </c>
      <c r="N100">
        <v>2</v>
      </c>
      <c r="O100" t="b">
        <v>1</v>
      </c>
      <c r="P100">
        <v>3</v>
      </c>
      <c r="Q100">
        <v>7</v>
      </c>
      <c r="R100">
        <v>84.920394897460938</v>
      </c>
      <c r="S100" t="s">
        <v>24</v>
      </c>
      <c r="T100" t="s">
        <v>24</v>
      </c>
      <c r="U100" t="s">
        <v>24</v>
      </c>
      <c r="V100" t="s">
        <v>29</v>
      </c>
      <c r="W100" t="s">
        <v>29</v>
      </c>
      <c r="X100" t="s">
        <v>29</v>
      </c>
    </row>
    <row r="101" spans="1:24">
      <c r="A101" t="s">
        <v>162</v>
      </c>
      <c r="B101" t="s">
        <v>163</v>
      </c>
      <c r="C101" t="s">
        <v>25</v>
      </c>
      <c r="D101" t="s">
        <v>33</v>
      </c>
      <c r="E101" t="s">
        <v>27</v>
      </c>
      <c r="F101" t="s">
        <v>28</v>
      </c>
      <c r="G101">
        <v>17.291488647460938</v>
      </c>
      <c r="H101">
        <v>17.2508544921875</v>
      </c>
      <c r="I101">
        <v>5.7464025914669037E-2</v>
      </c>
      <c r="J101">
        <v>1105725.5</v>
      </c>
      <c r="K101">
        <v>1131847.75</v>
      </c>
      <c r="L101">
        <v>36942.3515625</v>
      </c>
      <c r="M101" t="b">
        <v>0</v>
      </c>
      <c r="N101">
        <v>2</v>
      </c>
      <c r="O101" t="b">
        <v>1</v>
      </c>
      <c r="P101">
        <v>3</v>
      </c>
      <c r="Q101">
        <v>9</v>
      </c>
      <c r="R101">
        <v>84.727363586425781</v>
      </c>
      <c r="S101" t="s">
        <v>24</v>
      </c>
      <c r="T101" t="s">
        <v>24</v>
      </c>
      <c r="U101" t="s">
        <v>24</v>
      </c>
      <c r="V101" t="s">
        <v>29</v>
      </c>
      <c r="W101" t="s">
        <v>29</v>
      </c>
      <c r="X101" t="s">
        <v>29</v>
      </c>
    </row>
    <row r="102" spans="1:24">
      <c r="A102" t="s">
        <v>164</v>
      </c>
      <c r="B102" t="s">
        <v>163</v>
      </c>
      <c r="C102" t="s">
        <v>25</v>
      </c>
      <c r="D102" t="s">
        <v>33</v>
      </c>
      <c r="E102" t="s">
        <v>27</v>
      </c>
      <c r="F102" t="s">
        <v>28</v>
      </c>
      <c r="G102">
        <v>17.210222244262695</v>
      </c>
      <c r="H102">
        <v>17.2508544921875</v>
      </c>
      <c r="I102">
        <v>5.7464025914669037E-2</v>
      </c>
      <c r="J102">
        <v>1157969.875</v>
      </c>
      <c r="K102">
        <v>1131847.75</v>
      </c>
      <c r="L102">
        <v>36942.3515625</v>
      </c>
      <c r="M102" t="b">
        <v>0</v>
      </c>
      <c r="N102">
        <v>2</v>
      </c>
      <c r="O102" t="b">
        <v>1</v>
      </c>
      <c r="P102">
        <v>3</v>
      </c>
      <c r="Q102">
        <v>9</v>
      </c>
      <c r="R102">
        <v>84.534332275390625</v>
      </c>
      <c r="S102" t="s">
        <v>24</v>
      </c>
      <c r="T102" t="s">
        <v>24</v>
      </c>
      <c r="U102" t="s">
        <v>24</v>
      </c>
      <c r="V102" t="s">
        <v>29</v>
      </c>
      <c r="W102" t="s">
        <v>29</v>
      </c>
      <c r="X102" t="s">
        <v>29</v>
      </c>
    </row>
    <row r="103" spans="1:24">
      <c r="A103" t="s">
        <v>165</v>
      </c>
      <c r="B103" t="s">
        <v>166</v>
      </c>
      <c r="C103" t="s">
        <v>25</v>
      </c>
      <c r="D103" t="s">
        <v>33</v>
      </c>
      <c r="E103" t="s">
        <v>27</v>
      </c>
      <c r="F103" t="s">
        <v>28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b">
        <v>0</v>
      </c>
      <c r="N103">
        <v>2</v>
      </c>
      <c r="O103" t="b">
        <v>1</v>
      </c>
      <c r="P103">
        <v>3</v>
      </c>
      <c r="Q103">
        <v>31</v>
      </c>
      <c r="R103" t="s">
        <v>24</v>
      </c>
      <c r="S103" t="s">
        <v>24</v>
      </c>
      <c r="T103" t="s">
        <v>24</v>
      </c>
      <c r="U103" t="s">
        <v>24</v>
      </c>
      <c r="V103" t="s">
        <v>29</v>
      </c>
      <c r="W103" t="s">
        <v>29</v>
      </c>
      <c r="X103" t="s">
        <v>29</v>
      </c>
    </row>
    <row r="104" spans="1:24">
      <c r="A104" t="s">
        <v>167</v>
      </c>
      <c r="B104" t="s">
        <v>166</v>
      </c>
      <c r="C104" t="s">
        <v>25</v>
      </c>
      <c r="D104" t="s">
        <v>33</v>
      </c>
      <c r="E104" t="s">
        <v>27</v>
      </c>
      <c r="F104" t="s">
        <v>28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b">
        <v>0</v>
      </c>
      <c r="N104">
        <v>2</v>
      </c>
      <c r="O104" t="b">
        <v>1</v>
      </c>
      <c r="P104">
        <v>3</v>
      </c>
      <c r="Q104">
        <v>49</v>
      </c>
      <c r="R104" t="s">
        <v>24</v>
      </c>
      <c r="S104" t="s">
        <v>24</v>
      </c>
      <c r="T104" t="s">
        <v>24</v>
      </c>
      <c r="U104" t="s">
        <v>24</v>
      </c>
      <c r="V104" t="s">
        <v>29</v>
      </c>
      <c r="W104" t="s">
        <v>29</v>
      </c>
      <c r="X104" t="s">
        <v>29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98"/>
  <sheetViews>
    <sheetView workbookViewId="0">
      <selection activeCell="A3" sqref="A3:K98"/>
    </sheetView>
  </sheetViews>
  <sheetFormatPr baseColWidth="10" defaultRowHeight="15"/>
  <sheetData>
    <row r="1" spans="1:23">
      <c r="A1" t="s">
        <v>222</v>
      </c>
      <c r="B1" t="s">
        <v>223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169</v>
      </c>
      <c r="W2" t="s">
        <v>22</v>
      </c>
    </row>
    <row r="3" spans="1:23">
      <c r="A3" t="s">
        <v>23</v>
      </c>
      <c r="B3" t="s">
        <v>24</v>
      </c>
      <c r="C3" t="s">
        <v>184</v>
      </c>
      <c r="D3" t="s">
        <v>26</v>
      </c>
      <c r="E3" t="s">
        <v>27</v>
      </c>
      <c r="F3" t="s">
        <v>28</v>
      </c>
      <c r="G3">
        <v>12.320783615112305</v>
      </c>
      <c r="H3">
        <v>12.234768867492676</v>
      </c>
      <c r="I3">
        <v>0.12164322286844254</v>
      </c>
      <c r="J3">
        <v>10000000</v>
      </c>
      <c r="K3" t="s">
        <v>24</v>
      </c>
      <c r="L3" t="s">
        <v>24</v>
      </c>
      <c r="M3" t="b">
        <v>0</v>
      </c>
      <c r="N3">
        <v>1</v>
      </c>
      <c r="O3" t="b">
        <v>0</v>
      </c>
      <c r="P3">
        <v>2</v>
      </c>
      <c r="Q3">
        <v>7</v>
      </c>
      <c r="R3">
        <v>81.1199951171875</v>
      </c>
      <c r="S3" t="s">
        <v>24</v>
      </c>
      <c r="T3" t="s">
        <v>24</v>
      </c>
      <c r="U3" t="s">
        <v>24</v>
      </c>
      <c r="V3" t="s">
        <v>29</v>
      </c>
      <c r="W3" t="s">
        <v>29</v>
      </c>
    </row>
    <row r="4" spans="1:23">
      <c r="A4" t="s">
        <v>30</v>
      </c>
      <c r="B4" t="s">
        <v>24</v>
      </c>
      <c r="C4" t="s">
        <v>184</v>
      </c>
      <c r="D4" t="s">
        <v>26</v>
      </c>
      <c r="E4" t="s">
        <v>27</v>
      </c>
      <c r="F4" t="s">
        <v>28</v>
      </c>
      <c r="G4">
        <v>12.148754119873047</v>
      </c>
      <c r="H4">
        <v>12.234768867492676</v>
      </c>
      <c r="I4">
        <v>0.12164322286844254</v>
      </c>
      <c r="J4">
        <v>10000000</v>
      </c>
      <c r="K4" t="s">
        <v>24</v>
      </c>
      <c r="L4" t="s">
        <v>24</v>
      </c>
      <c r="M4" t="b">
        <v>0</v>
      </c>
      <c r="N4">
        <v>1</v>
      </c>
      <c r="O4" t="b">
        <v>0</v>
      </c>
      <c r="P4">
        <v>2</v>
      </c>
      <c r="Q4">
        <v>7</v>
      </c>
      <c r="R4">
        <v>81.1199951171875</v>
      </c>
      <c r="S4" t="s">
        <v>24</v>
      </c>
      <c r="T4" t="s">
        <v>24</v>
      </c>
      <c r="U4" t="s">
        <v>24</v>
      </c>
      <c r="V4" t="s">
        <v>29</v>
      </c>
      <c r="W4" t="s">
        <v>29</v>
      </c>
    </row>
    <row r="5" spans="1:23">
      <c r="A5" t="s">
        <v>31</v>
      </c>
      <c r="B5" t="s">
        <v>185</v>
      </c>
      <c r="C5" t="s">
        <v>184</v>
      </c>
      <c r="D5" t="s">
        <v>33</v>
      </c>
      <c r="E5" t="s">
        <v>27</v>
      </c>
      <c r="F5" t="s">
        <v>28</v>
      </c>
      <c r="G5">
        <v>16.676225662231445</v>
      </c>
      <c r="H5">
        <v>16.706958770751953</v>
      </c>
      <c r="I5">
        <v>4.3461829423904419E-2</v>
      </c>
      <c r="J5">
        <v>588689.375</v>
      </c>
      <c r="K5">
        <v>577447.625</v>
      </c>
      <c r="L5">
        <v>15898.2353515625</v>
      </c>
      <c r="M5" t="b">
        <v>0</v>
      </c>
      <c r="N5">
        <v>1</v>
      </c>
      <c r="O5" t="b">
        <v>0</v>
      </c>
      <c r="P5">
        <v>3</v>
      </c>
      <c r="Q5">
        <v>11</v>
      </c>
      <c r="R5">
        <v>81.1199951171875</v>
      </c>
      <c r="S5" t="s">
        <v>24</v>
      </c>
      <c r="T5" t="s">
        <v>24</v>
      </c>
      <c r="U5" t="s">
        <v>24</v>
      </c>
      <c r="V5" t="s">
        <v>29</v>
      </c>
      <c r="W5" t="s">
        <v>29</v>
      </c>
    </row>
    <row r="6" spans="1:23">
      <c r="A6" t="s">
        <v>34</v>
      </c>
      <c r="B6" t="s">
        <v>185</v>
      </c>
      <c r="C6" t="s">
        <v>184</v>
      </c>
      <c r="D6" t="s">
        <v>33</v>
      </c>
      <c r="E6" t="s">
        <v>27</v>
      </c>
      <c r="F6" t="s">
        <v>28</v>
      </c>
      <c r="G6">
        <v>16.737689971923828</v>
      </c>
      <c r="H6">
        <v>16.706958770751953</v>
      </c>
      <c r="I6">
        <v>4.3461829423904419E-2</v>
      </c>
      <c r="J6">
        <v>566205.875</v>
      </c>
      <c r="K6">
        <v>577447.625</v>
      </c>
      <c r="L6">
        <v>15898.2353515625</v>
      </c>
      <c r="M6" t="b">
        <v>0</v>
      </c>
      <c r="N6">
        <v>1</v>
      </c>
      <c r="O6" t="b">
        <v>0</v>
      </c>
      <c r="P6">
        <v>3</v>
      </c>
      <c r="Q6">
        <v>11</v>
      </c>
      <c r="R6">
        <v>80.928001403808594</v>
      </c>
      <c r="S6" t="s">
        <v>24</v>
      </c>
      <c r="T6" t="s">
        <v>24</v>
      </c>
      <c r="U6" t="s">
        <v>24</v>
      </c>
      <c r="V6" t="s">
        <v>29</v>
      </c>
      <c r="W6" t="s">
        <v>29</v>
      </c>
    </row>
    <row r="7" spans="1:23">
      <c r="A7" t="s">
        <v>35</v>
      </c>
      <c r="B7" t="s">
        <v>186</v>
      </c>
      <c r="C7" t="s">
        <v>184</v>
      </c>
      <c r="D7" t="s">
        <v>33</v>
      </c>
      <c r="E7" t="s">
        <v>27</v>
      </c>
      <c r="F7" t="s">
        <v>28</v>
      </c>
      <c r="G7">
        <v>11.858466148376465</v>
      </c>
      <c r="H7">
        <v>11.896191596984863</v>
      </c>
      <c r="I7">
        <v>5.3351841866970062E-2</v>
      </c>
      <c r="J7">
        <v>12459077</v>
      </c>
      <c r="K7">
        <v>12168297</v>
      </c>
      <c r="L7">
        <v>411225.03125</v>
      </c>
      <c r="M7" t="b">
        <v>0</v>
      </c>
      <c r="N7">
        <v>1</v>
      </c>
      <c r="O7" t="b">
        <v>0</v>
      </c>
      <c r="P7">
        <v>1</v>
      </c>
      <c r="Q7">
        <v>5</v>
      </c>
      <c r="R7">
        <v>81.1199951171875</v>
      </c>
      <c r="S7" t="s">
        <v>24</v>
      </c>
      <c r="T7" t="s">
        <v>24</v>
      </c>
      <c r="U7" t="s">
        <v>24</v>
      </c>
      <c r="V7" t="s">
        <v>29</v>
      </c>
      <c r="W7" t="s">
        <v>29</v>
      </c>
    </row>
    <row r="8" spans="1:23">
      <c r="A8" t="s">
        <v>37</v>
      </c>
      <c r="B8" t="s">
        <v>186</v>
      </c>
      <c r="C8" t="s">
        <v>184</v>
      </c>
      <c r="D8" t="s">
        <v>33</v>
      </c>
      <c r="E8" t="s">
        <v>27</v>
      </c>
      <c r="F8" t="s">
        <v>28</v>
      </c>
      <c r="G8">
        <v>11.933917045593262</v>
      </c>
      <c r="H8">
        <v>11.896191596984863</v>
      </c>
      <c r="I8">
        <v>5.3351841866970062E-2</v>
      </c>
      <c r="J8">
        <v>11877517</v>
      </c>
      <c r="K8">
        <v>12168297</v>
      </c>
      <c r="L8">
        <v>411225.03125</v>
      </c>
      <c r="M8" t="b">
        <v>0</v>
      </c>
      <c r="N8">
        <v>1</v>
      </c>
      <c r="O8" t="b">
        <v>0</v>
      </c>
      <c r="P8">
        <v>1</v>
      </c>
      <c r="Q8">
        <v>5</v>
      </c>
      <c r="R8">
        <v>81.1199951171875</v>
      </c>
      <c r="S8" t="s">
        <v>24</v>
      </c>
      <c r="T8" t="s">
        <v>24</v>
      </c>
      <c r="U8" t="s">
        <v>24</v>
      </c>
      <c r="V8" t="s">
        <v>29</v>
      </c>
      <c r="W8" t="s">
        <v>29</v>
      </c>
    </row>
    <row r="9" spans="1:23">
      <c r="A9" t="s">
        <v>38</v>
      </c>
      <c r="B9" t="s">
        <v>187</v>
      </c>
      <c r="C9" t="s">
        <v>184</v>
      </c>
      <c r="D9" t="s">
        <v>33</v>
      </c>
      <c r="E9" t="s">
        <v>27</v>
      </c>
      <c r="F9" t="s">
        <v>28</v>
      </c>
      <c r="G9">
        <v>9.5807018280029297</v>
      </c>
      <c r="H9">
        <v>9.5963516235351562</v>
      </c>
      <c r="I9">
        <v>2.2132152691483498E-2</v>
      </c>
      <c r="J9">
        <v>52748424</v>
      </c>
      <c r="K9">
        <v>52230576</v>
      </c>
      <c r="L9">
        <v>732347.6875</v>
      </c>
      <c r="M9" t="b">
        <v>0</v>
      </c>
      <c r="N9">
        <v>1</v>
      </c>
      <c r="O9" t="b">
        <v>0</v>
      </c>
      <c r="P9">
        <v>1</v>
      </c>
      <c r="Q9">
        <v>4</v>
      </c>
      <c r="R9">
        <v>80.736000061035156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</row>
    <row r="10" spans="1:23">
      <c r="A10" t="s">
        <v>40</v>
      </c>
      <c r="B10" t="s">
        <v>187</v>
      </c>
      <c r="C10" t="s">
        <v>184</v>
      </c>
      <c r="D10" t="s">
        <v>33</v>
      </c>
      <c r="E10" t="s">
        <v>27</v>
      </c>
      <c r="F10" t="s">
        <v>28</v>
      </c>
      <c r="G10">
        <v>9.6120014190673828</v>
      </c>
      <c r="H10">
        <v>9.5963516235351562</v>
      </c>
      <c r="I10">
        <v>2.2132152691483498E-2</v>
      </c>
      <c r="J10">
        <v>51712728</v>
      </c>
      <c r="K10">
        <v>52230576</v>
      </c>
      <c r="L10">
        <v>732347.6875</v>
      </c>
      <c r="M10" t="b">
        <v>0</v>
      </c>
      <c r="N10">
        <v>1</v>
      </c>
      <c r="O10" t="b">
        <v>0</v>
      </c>
      <c r="P10">
        <v>1</v>
      </c>
      <c r="Q10">
        <v>4</v>
      </c>
      <c r="R10">
        <v>80.543998718261719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</row>
    <row r="11" spans="1:23">
      <c r="A11" t="s">
        <v>41</v>
      </c>
      <c r="B11" t="s">
        <v>188</v>
      </c>
      <c r="C11" t="s">
        <v>184</v>
      </c>
      <c r="D11" t="s">
        <v>33</v>
      </c>
      <c r="E11" t="s">
        <v>27</v>
      </c>
      <c r="F11" t="s">
        <v>28</v>
      </c>
      <c r="G11">
        <v>8.9187641143798828</v>
      </c>
      <c r="H11">
        <v>9.0342693328857422</v>
      </c>
      <c r="I11">
        <v>0.16334971785545349</v>
      </c>
      <c r="J11">
        <v>80230728</v>
      </c>
      <c r="K11">
        <v>74768960</v>
      </c>
      <c r="L11">
        <v>7724112</v>
      </c>
      <c r="M11" t="b">
        <v>0</v>
      </c>
      <c r="N11">
        <v>1</v>
      </c>
      <c r="O11" t="b">
        <v>0</v>
      </c>
      <c r="P11">
        <v>1</v>
      </c>
      <c r="Q11">
        <v>4</v>
      </c>
      <c r="R11">
        <v>81.1199951171875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</row>
    <row r="12" spans="1:23">
      <c r="A12" t="s">
        <v>43</v>
      </c>
      <c r="B12" t="s">
        <v>188</v>
      </c>
      <c r="C12" t="s">
        <v>184</v>
      </c>
      <c r="D12" t="s">
        <v>33</v>
      </c>
      <c r="E12" t="s">
        <v>27</v>
      </c>
      <c r="F12" t="s">
        <v>28</v>
      </c>
      <c r="G12">
        <v>9.149775505065918</v>
      </c>
      <c r="H12">
        <v>9.0342693328857422</v>
      </c>
      <c r="I12">
        <v>0.16334971785545349</v>
      </c>
      <c r="J12">
        <v>69307184</v>
      </c>
      <c r="K12">
        <v>74768960</v>
      </c>
      <c r="L12">
        <v>7724112</v>
      </c>
      <c r="M12" t="b">
        <v>0</v>
      </c>
      <c r="N12">
        <v>1</v>
      </c>
      <c r="O12" t="b">
        <v>0</v>
      </c>
      <c r="P12">
        <v>1</v>
      </c>
      <c r="Q12">
        <v>4</v>
      </c>
      <c r="R12">
        <v>81.1199951171875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</row>
    <row r="13" spans="1:23">
      <c r="A13" t="s">
        <v>44</v>
      </c>
      <c r="B13" t="s">
        <v>189</v>
      </c>
      <c r="C13" t="s">
        <v>184</v>
      </c>
      <c r="D13" t="s">
        <v>33</v>
      </c>
      <c r="E13" t="s">
        <v>27</v>
      </c>
      <c r="F13" t="s">
        <v>28</v>
      </c>
      <c r="G13">
        <v>10.366018295288086</v>
      </c>
      <c r="H13">
        <v>10.253932952880859</v>
      </c>
      <c r="I13">
        <v>0.1585119366645813</v>
      </c>
      <c r="J13">
        <v>32072350</v>
      </c>
      <c r="K13">
        <v>34519528</v>
      </c>
      <c r="L13">
        <v>3460833.75</v>
      </c>
      <c r="M13" t="b">
        <v>0</v>
      </c>
      <c r="N13">
        <v>1</v>
      </c>
      <c r="O13" t="b">
        <v>0</v>
      </c>
      <c r="P13">
        <v>1</v>
      </c>
      <c r="Q13">
        <v>4</v>
      </c>
      <c r="R13">
        <v>80.543998718261719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</row>
    <row r="14" spans="1:23">
      <c r="A14" t="s">
        <v>46</v>
      </c>
      <c r="B14" t="s">
        <v>189</v>
      </c>
      <c r="C14" t="s">
        <v>184</v>
      </c>
      <c r="D14" t="s">
        <v>33</v>
      </c>
      <c r="E14" t="s">
        <v>27</v>
      </c>
      <c r="F14" t="s">
        <v>28</v>
      </c>
      <c r="G14">
        <v>10.141848564147949</v>
      </c>
      <c r="H14">
        <v>10.253932952880859</v>
      </c>
      <c r="I14">
        <v>0.1585119366645813</v>
      </c>
      <c r="J14">
        <v>36966708</v>
      </c>
      <c r="K14">
        <v>34519528</v>
      </c>
      <c r="L14">
        <v>3460833.75</v>
      </c>
      <c r="M14" t="b">
        <v>0</v>
      </c>
      <c r="N14">
        <v>1</v>
      </c>
      <c r="O14" t="b">
        <v>0</v>
      </c>
      <c r="P14">
        <v>1</v>
      </c>
      <c r="Q14">
        <v>4</v>
      </c>
      <c r="R14">
        <v>80.543998718261719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</row>
    <row r="15" spans="1:23">
      <c r="A15" t="s">
        <v>47</v>
      </c>
      <c r="B15" t="s">
        <v>24</v>
      </c>
      <c r="C15" t="s">
        <v>184</v>
      </c>
      <c r="D15" t="s">
        <v>26</v>
      </c>
      <c r="E15" t="s">
        <v>27</v>
      </c>
      <c r="F15" t="s">
        <v>28</v>
      </c>
      <c r="G15">
        <v>16.368339538574219</v>
      </c>
      <c r="H15">
        <v>15.95382022857666</v>
      </c>
      <c r="I15">
        <v>0.58621883392333984</v>
      </c>
      <c r="J15">
        <v>1000000</v>
      </c>
      <c r="K15" t="s">
        <v>24</v>
      </c>
      <c r="L15" t="s">
        <v>24</v>
      </c>
      <c r="M15" t="b">
        <v>0</v>
      </c>
      <c r="N15">
        <v>1</v>
      </c>
      <c r="O15" t="b">
        <v>0</v>
      </c>
      <c r="P15">
        <v>3</v>
      </c>
      <c r="Q15">
        <v>10</v>
      </c>
      <c r="R15">
        <v>80.928001403808594</v>
      </c>
      <c r="S15" t="s">
        <v>24</v>
      </c>
      <c r="T15" t="s">
        <v>24</v>
      </c>
      <c r="U15" t="s">
        <v>24</v>
      </c>
      <c r="V15" t="s">
        <v>114</v>
      </c>
      <c r="W15" t="s">
        <v>29</v>
      </c>
    </row>
    <row r="16" spans="1:23">
      <c r="A16" t="s">
        <v>48</v>
      </c>
      <c r="B16" t="s">
        <v>24</v>
      </c>
      <c r="C16" t="s">
        <v>184</v>
      </c>
      <c r="D16" t="s">
        <v>26</v>
      </c>
      <c r="E16" t="s">
        <v>27</v>
      </c>
      <c r="F16" t="s">
        <v>28</v>
      </c>
      <c r="G16">
        <v>15.539300918579102</v>
      </c>
      <c r="H16">
        <v>15.95382022857666</v>
      </c>
      <c r="I16">
        <v>0.58621883392333984</v>
      </c>
      <c r="J16">
        <v>1000000</v>
      </c>
      <c r="K16" t="s">
        <v>24</v>
      </c>
      <c r="L16" t="s">
        <v>24</v>
      </c>
      <c r="M16" t="b">
        <v>0</v>
      </c>
      <c r="N16">
        <v>1</v>
      </c>
      <c r="O16" t="b">
        <v>0</v>
      </c>
      <c r="P16">
        <v>3</v>
      </c>
      <c r="Q16">
        <v>10</v>
      </c>
      <c r="R16">
        <v>81.1199951171875</v>
      </c>
      <c r="S16" t="s">
        <v>24</v>
      </c>
      <c r="T16" t="s">
        <v>24</v>
      </c>
      <c r="U16" t="s">
        <v>24</v>
      </c>
      <c r="V16" t="s">
        <v>114</v>
      </c>
      <c r="W16" t="s">
        <v>29</v>
      </c>
    </row>
    <row r="17" spans="1:23">
      <c r="A17" t="s">
        <v>49</v>
      </c>
      <c r="B17" t="s">
        <v>190</v>
      </c>
      <c r="C17" t="s">
        <v>184</v>
      </c>
      <c r="D17" t="s">
        <v>33</v>
      </c>
      <c r="E17" t="s">
        <v>27</v>
      </c>
      <c r="F17" t="s">
        <v>28</v>
      </c>
      <c r="G17">
        <v>12.830417633056641</v>
      </c>
      <c r="H17">
        <v>13.032686233520508</v>
      </c>
      <c r="I17">
        <v>0.28605100512504578</v>
      </c>
      <c r="J17">
        <v>6730616</v>
      </c>
      <c r="K17">
        <v>5969764</v>
      </c>
      <c r="L17">
        <v>1076007.625</v>
      </c>
      <c r="M17" t="b">
        <v>0</v>
      </c>
      <c r="N17">
        <v>1</v>
      </c>
      <c r="O17" t="b">
        <v>0</v>
      </c>
      <c r="P17">
        <v>1</v>
      </c>
      <c r="Q17">
        <v>5</v>
      </c>
      <c r="R17">
        <v>81.1199951171875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</row>
    <row r="18" spans="1:23">
      <c r="A18" t="s">
        <v>51</v>
      </c>
      <c r="B18" t="s">
        <v>190</v>
      </c>
      <c r="C18" t="s">
        <v>184</v>
      </c>
      <c r="D18" t="s">
        <v>33</v>
      </c>
      <c r="E18" t="s">
        <v>27</v>
      </c>
      <c r="F18" t="s">
        <v>28</v>
      </c>
      <c r="G18">
        <v>13.234954833984375</v>
      </c>
      <c r="H18">
        <v>13.032686233520508</v>
      </c>
      <c r="I18">
        <v>0.28605100512504578</v>
      </c>
      <c r="J18">
        <v>5208911.5</v>
      </c>
      <c r="K18">
        <v>5969764</v>
      </c>
      <c r="L18">
        <v>1076007.625</v>
      </c>
      <c r="M18" t="b">
        <v>0</v>
      </c>
      <c r="N18">
        <v>1</v>
      </c>
      <c r="O18" t="b">
        <v>0</v>
      </c>
      <c r="P18">
        <v>1</v>
      </c>
      <c r="Q18">
        <v>5</v>
      </c>
      <c r="R18">
        <v>80.928001403808594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</row>
    <row r="19" spans="1:23">
      <c r="A19" t="s">
        <v>52</v>
      </c>
      <c r="B19" t="s">
        <v>191</v>
      </c>
      <c r="C19" t="s">
        <v>184</v>
      </c>
      <c r="D19" t="s">
        <v>33</v>
      </c>
      <c r="E19" t="s">
        <v>27</v>
      </c>
      <c r="F19" t="s">
        <v>28</v>
      </c>
      <c r="G19">
        <v>11.655024528503418</v>
      </c>
      <c r="H19">
        <v>11.722203254699707</v>
      </c>
      <c r="I19">
        <v>9.5005065202713013E-2</v>
      </c>
      <c r="J19">
        <v>14173025</v>
      </c>
      <c r="K19">
        <v>13594764</v>
      </c>
      <c r="L19">
        <v>817785.25</v>
      </c>
      <c r="M19" t="b">
        <v>0</v>
      </c>
      <c r="N19">
        <v>1</v>
      </c>
      <c r="O19" t="b">
        <v>0</v>
      </c>
      <c r="P19">
        <v>1</v>
      </c>
      <c r="Q19">
        <v>5</v>
      </c>
      <c r="R19">
        <v>81.311996459960938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</row>
    <row r="20" spans="1:23">
      <c r="A20" t="s">
        <v>54</v>
      </c>
      <c r="B20" t="s">
        <v>191</v>
      </c>
      <c r="C20" t="s">
        <v>184</v>
      </c>
      <c r="D20" t="s">
        <v>33</v>
      </c>
      <c r="E20" t="s">
        <v>27</v>
      </c>
      <c r="F20" t="s">
        <v>28</v>
      </c>
      <c r="G20">
        <v>11.789381980895996</v>
      </c>
      <c r="H20">
        <v>11.722203254699707</v>
      </c>
      <c r="I20">
        <v>9.5005065202713013E-2</v>
      </c>
      <c r="J20">
        <v>13016502</v>
      </c>
      <c r="K20">
        <v>13594764</v>
      </c>
      <c r="L20">
        <v>817785.25</v>
      </c>
      <c r="M20" t="b">
        <v>0</v>
      </c>
      <c r="N20">
        <v>1</v>
      </c>
      <c r="O20" t="b">
        <v>0</v>
      </c>
      <c r="P20">
        <v>1</v>
      </c>
      <c r="Q20">
        <v>5</v>
      </c>
      <c r="R20">
        <v>81.1199951171875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</row>
    <row r="21" spans="1:23">
      <c r="A21" t="s">
        <v>55</v>
      </c>
      <c r="B21" t="s">
        <v>192</v>
      </c>
      <c r="C21" t="s">
        <v>184</v>
      </c>
      <c r="D21" t="s">
        <v>33</v>
      </c>
      <c r="E21" t="s">
        <v>27</v>
      </c>
      <c r="F21" t="s">
        <v>28</v>
      </c>
      <c r="G21">
        <v>9.9614839553833008</v>
      </c>
      <c r="H21">
        <v>10.042642593383789</v>
      </c>
      <c r="I21">
        <v>0.114775650203228</v>
      </c>
      <c r="J21">
        <v>41441724</v>
      </c>
      <c r="K21">
        <v>39416768</v>
      </c>
      <c r="L21">
        <v>2863723</v>
      </c>
      <c r="M21" t="b">
        <v>0</v>
      </c>
      <c r="N21">
        <v>1</v>
      </c>
      <c r="O21" t="b">
        <v>0</v>
      </c>
      <c r="P21">
        <v>1</v>
      </c>
      <c r="Q21">
        <v>4</v>
      </c>
      <c r="R21">
        <v>80.928001403808594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</row>
    <row r="22" spans="1:23">
      <c r="A22" t="s">
        <v>57</v>
      </c>
      <c r="B22" t="s">
        <v>192</v>
      </c>
      <c r="C22" t="s">
        <v>184</v>
      </c>
      <c r="D22" t="s">
        <v>33</v>
      </c>
      <c r="E22" t="s">
        <v>27</v>
      </c>
      <c r="F22" t="s">
        <v>28</v>
      </c>
      <c r="G22">
        <v>10.123801231384277</v>
      </c>
      <c r="H22">
        <v>10.042642593383789</v>
      </c>
      <c r="I22">
        <v>0.114775650203228</v>
      </c>
      <c r="J22">
        <v>37391808</v>
      </c>
      <c r="K22">
        <v>39416768</v>
      </c>
      <c r="L22">
        <v>2863723</v>
      </c>
      <c r="M22" t="b">
        <v>0</v>
      </c>
      <c r="N22">
        <v>1</v>
      </c>
      <c r="O22" t="b">
        <v>0</v>
      </c>
      <c r="P22">
        <v>1</v>
      </c>
      <c r="Q22">
        <v>4</v>
      </c>
      <c r="R22">
        <v>80.928001403808594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</row>
    <row r="23" spans="1:23">
      <c r="A23" t="s">
        <v>58</v>
      </c>
      <c r="B23" t="s">
        <v>193</v>
      </c>
      <c r="C23" t="s">
        <v>184</v>
      </c>
      <c r="D23" t="s">
        <v>33</v>
      </c>
      <c r="E23" t="s">
        <v>27</v>
      </c>
      <c r="F23" t="s">
        <v>28</v>
      </c>
      <c r="G23">
        <v>26.088916778564453</v>
      </c>
      <c r="H23">
        <v>28.009042739868164</v>
      </c>
      <c r="I23">
        <v>1.598393440246582</v>
      </c>
      <c r="J23">
        <v>1513.5528564453125</v>
      </c>
      <c r="K23">
        <v>649.01788330078125</v>
      </c>
      <c r="L23">
        <v>543.2738037109375</v>
      </c>
      <c r="M23" t="b">
        <v>0</v>
      </c>
      <c r="N23">
        <v>1</v>
      </c>
      <c r="O23" t="b">
        <v>1</v>
      </c>
      <c r="P23">
        <v>3</v>
      </c>
      <c r="Q23">
        <v>19</v>
      </c>
      <c r="R23">
        <v>80.928001403808594</v>
      </c>
      <c r="S23" t="s">
        <v>24</v>
      </c>
      <c r="T23" t="s">
        <v>24</v>
      </c>
      <c r="U23" t="s">
        <v>24</v>
      </c>
      <c r="V23" t="s">
        <v>114</v>
      </c>
      <c r="W23" t="s">
        <v>29</v>
      </c>
    </row>
    <row r="24" spans="1:23">
      <c r="A24" t="s">
        <v>60</v>
      </c>
      <c r="B24" t="s">
        <v>193</v>
      </c>
      <c r="C24" t="s">
        <v>184</v>
      </c>
      <c r="D24" t="s">
        <v>33</v>
      </c>
      <c r="E24" t="s">
        <v>27</v>
      </c>
      <c r="F24" t="s">
        <v>28</v>
      </c>
      <c r="G24">
        <v>26.659231185913086</v>
      </c>
      <c r="H24">
        <v>28.009042739868164</v>
      </c>
      <c r="I24">
        <v>1.598393440246582</v>
      </c>
      <c r="J24">
        <v>1054.5723876953125</v>
      </c>
      <c r="K24">
        <v>649.01788330078125</v>
      </c>
      <c r="L24">
        <v>543.2738037109375</v>
      </c>
      <c r="M24" t="b">
        <v>0</v>
      </c>
      <c r="N24">
        <v>1</v>
      </c>
      <c r="O24" t="b">
        <v>1</v>
      </c>
      <c r="P24">
        <v>3</v>
      </c>
      <c r="Q24">
        <v>19</v>
      </c>
      <c r="R24">
        <v>80.736000061035156</v>
      </c>
      <c r="S24" t="s">
        <v>24</v>
      </c>
      <c r="T24" t="s">
        <v>24</v>
      </c>
      <c r="U24" t="s">
        <v>24</v>
      </c>
      <c r="V24" t="s">
        <v>114</v>
      </c>
      <c r="W24" t="s">
        <v>29</v>
      </c>
    </row>
    <row r="25" spans="1:23">
      <c r="A25" t="s">
        <v>61</v>
      </c>
      <c r="B25" t="s">
        <v>194</v>
      </c>
      <c r="C25" t="s">
        <v>184</v>
      </c>
      <c r="D25" t="s">
        <v>33</v>
      </c>
      <c r="E25" t="s">
        <v>27</v>
      </c>
      <c r="F25" t="s">
        <v>28</v>
      </c>
      <c r="G25">
        <v>9.4944906234741211</v>
      </c>
      <c r="H25">
        <v>9.3422050476074219</v>
      </c>
      <c r="I25">
        <v>0.21536365151405334</v>
      </c>
      <c r="J25">
        <v>55709644</v>
      </c>
      <c r="K25">
        <v>61638152</v>
      </c>
      <c r="L25">
        <v>8384173.5</v>
      </c>
      <c r="M25" t="b">
        <v>0</v>
      </c>
      <c r="N25">
        <v>1</v>
      </c>
      <c r="O25" t="b">
        <v>0</v>
      </c>
      <c r="P25">
        <v>1</v>
      </c>
      <c r="Q25">
        <v>4</v>
      </c>
      <c r="R25">
        <v>80.351997375488281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</row>
    <row r="26" spans="1:23">
      <c r="A26" t="s">
        <v>63</v>
      </c>
      <c r="B26" t="s">
        <v>194</v>
      </c>
      <c r="C26" t="s">
        <v>184</v>
      </c>
      <c r="D26" t="s">
        <v>33</v>
      </c>
      <c r="E26" t="s">
        <v>27</v>
      </c>
      <c r="F26" t="s">
        <v>28</v>
      </c>
      <c r="G26">
        <v>9.1899204254150391</v>
      </c>
      <c r="H26">
        <v>9.3422050476074219</v>
      </c>
      <c r="I26">
        <v>0.21536365151405334</v>
      </c>
      <c r="J26">
        <v>67566656</v>
      </c>
      <c r="K26">
        <v>61638152</v>
      </c>
      <c r="L26">
        <v>8384173.5</v>
      </c>
      <c r="M26" t="b">
        <v>0</v>
      </c>
      <c r="N26">
        <v>1</v>
      </c>
      <c r="O26" t="b">
        <v>0</v>
      </c>
      <c r="P26">
        <v>1</v>
      </c>
      <c r="Q26">
        <v>4</v>
      </c>
      <c r="R26">
        <v>80.160003662109375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</row>
    <row r="27" spans="1:23">
      <c r="A27" t="s">
        <v>64</v>
      </c>
      <c r="B27" t="s">
        <v>24</v>
      </c>
      <c r="C27" t="s">
        <v>184</v>
      </c>
      <c r="D27" t="s">
        <v>26</v>
      </c>
      <c r="E27" t="s">
        <v>27</v>
      </c>
      <c r="F27" t="s">
        <v>28</v>
      </c>
      <c r="G27">
        <v>19.311141967773438</v>
      </c>
      <c r="H27">
        <v>19.242660522460938</v>
      </c>
      <c r="I27">
        <v>9.6846036612987518E-2</v>
      </c>
      <c r="J27">
        <v>100000</v>
      </c>
      <c r="K27" t="s">
        <v>24</v>
      </c>
      <c r="L27" t="s">
        <v>24</v>
      </c>
      <c r="M27" t="b">
        <v>0</v>
      </c>
      <c r="N27">
        <v>1</v>
      </c>
      <c r="O27" t="b">
        <v>0</v>
      </c>
      <c r="P27">
        <v>3</v>
      </c>
      <c r="Q27">
        <v>13</v>
      </c>
      <c r="R27">
        <v>81.1199951171875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</row>
    <row r="28" spans="1:23">
      <c r="A28" t="s">
        <v>65</v>
      </c>
      <c r="B28" t="s">
        <v>24</v>
      </c>
      <c r="C28" t="s">
        <v>184</v>
      </c>
      <c r="D28" t="s">
        <v>26</v>
      </c>
      <c r="E28" t="s">
        <v>27</v>
      </c>
      <c r="F28" t="s">
        <v>28</v>
      </c>
      <c r="G28">
        <v>19.17418098449707</v>
      </c>
      <c r="H28">
        <v>19.242660522460938</v>
      </c>
      <c r="I28">
        <v>9.6846036612987518E-2</v>
      </c>
      <c r="J28">
        <v>100000</v>
      </c>
      <c r="K28" t="s">
        <v>24</v>
      </c>
      <c r="L28" t="s">
        <v>24</v>
      </c>
      <c r="M28" t="b">
        <v>0</v>
      </c>
      <c r="N28">
        <v>1</v>
      </c>
      <c r="O28" t="b">
        <v>0</v>
      </c>
      <c r="P28">
        <v>3</v>
      </c>
      <c r="Q28">
        <v>13</v>
      </c>
      <c r="R28">
        <v>81.1199951171875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</row>
    <row r="29" spans="1:23">
      <c r="A29" t="s">
        <v>66</v>
      </c>
      <c r="B29" t="s">
        <v>195</v>
      </c>
      <c r="C29" t="s">
        <v>184</v>
      </c>
      <c r="D29" t="s">
        <v>33</v>
      </c>
      <c r="E29" t="s">
        <v>27</v>
      </c>
      <c r="F29" t="s">
        <v>28</v>
      </c>
      <c r="G29">
        <v>12.406045913696289</v>
      </c>
      <c r="H29">
        <v>12.470635414123535</v>
      </c>
      <c r="I29">
        <v>9.134335070848465E-2</v>
      </c>
      <c r="J29">
        <v>8806839</v>
      </c>
      <c r="K29">
        <v>8460809</v>
      </c>
      <c r="L29">
        <v>489360.6875</v>
      </c>
      <c r="M29" t="b">
        <v>0</v>
      </c>
      <c r="N29">
        <v>1</v>
      </c>
      <c r="O29" t="b">
        <v>0</v>
      </c>
      <c r="P29">
        <v>1</v>
      </c>
      <c r="Q29">
        <v>5</v>
      </c>
      <c r="R29">
        <v>81.88800048828125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</row>
    <row r="30" spans="1:23">
      <c r="A30" t="s">
        <v>68</v>
      </c>
      <c r="B30" t="s">
        <v>195</v>
      </c>
      <c r="C30" t="s">
        <v>184</v>
      </c>
      <c r="D30" t="s">
        <v>33</v>
      </c>
      <c r="E30" t="s">
        <v>27</v>
      </c>
      <c r="F30" t="s">
        <v>28</v>
      </c>
      <c r="G30">
        <v>12.535224914550781</v>
      </c>
      <c r="H30">
        <v>12.470635414123535</v>
      </c>
      <c r="I30">
        <v>9.134335070848465E-2</v>
      </c>
      <c r="J30">
        <v>8114778.5</v>
      </c>
      <c r="K30">
        <v>8460809</v>
      </c>
      <c r="L30">
        <v>489360.6875</v>
      </c>
      <c r="M30" t="b">
        <v>0</v>
      </c>
      <c r="N30">
        <v>1</v>
      </c>
      <c r="O30" t="b">
        <v>0</v>
      </c>
      <c r="P30">
        <v>1</v>
      </c>
      <c r="Q30">
        <v>5</v>
      </c>
      <c r="R30">
        <v>81.88800048828125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</row>
    <row r="31" spans="1:23">
      <c r="A31" t="s">
        <v>69</v>
      </c>
      <c r="B31" t="s">
        <v>196</v>
      </c>
      <c r="C31" t="s">
        <v>184</v>
      </c>
      <c r="D31" t="s">
        <v>33</v>
      </c>
      <c r="E31" t="s">
        <v>27</v>
      </c>
      <c r="F31" t="s">
        <v>28</v>
      </c>
      <c r="G31">
        <v>10.544136047363281</v>
      </c>
      <c r="H31">
        <v>10.736703872680664</v>
      </c>
      <c r="I31">
        <v>0.27233269810676575</v>
      </c>
      <c r="J31">
        <v>28649822</v>
      </c>
      <c r="K31">
        <v>25548252</v>
      </c>
      <c r="L31">
        <v>4386282.5</v>
      </c>
      <c r="M31" t="b">
        <v>0</v>
      </c>
      <c r="N31">
        <v>1</v>
      </c>
      <c r="O31" t="b">
        <v>0</v>
      </c>
      <c r="P31">
        <v>1</v>
      </c>
      <c r="Q31">
        <v>5</v>
      </c>
      <c r="R31">
        <v>81.695999145507812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</row>
    <row r="32" spans="1:23">
      <c r="A32" t="s">
        <v>71</v>
      </c>
      <c r="B32" t="s">
        <v>196</v>
      </c>
      <c r="C32" t="s">
        <v>184</v>
      </c>
      <c r="D32" t="s">
        <v>33</v>
      </c>
      <c r="E32" t="s">
        <v>27</v>
      </c>
      <c r="F32" t="s">
        <v>28</v>
      </c>
      <c r="G32">
        <v>10.929272651672363</v>
      </c>
      <c r="H32">
        <v>10.736703872680664</v>
      </c>
      <c r="I32">
        <v>0.27233269810676575</v>
      </c>
      <c r="J32">
        <v>22446682</v>
      </c>
      <c r="K32">
        <v>25548252</v>
      </c>
      <c r="L32">
        <v>4386282.5</v>
      </c>
      <c r="M32" t="b">
        <v>0</v>
      </c>
      <c r="N32">
        <v>1</v>
      </c>
      <c r="O32" t="b">
        <v>0</v>
      </c>
      <c r="P32">
        <v>1</v>
      </c>
      <c r="Q32">
        <v>5</v>
      </c>
      <c r="R32">
        <v>81.695999145507812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</row>
    <row r="33" spans="1:23">
      <c r="A33" t="s">
        <v>72</v>
      </c>
      <c r="B33" t="s">
        <v>197</v>
      </c>
      <c r="C33" t="s">
        <v>184</v>
      </c>
      <c r="D33" t="s">
        <v>33</v>
      </c>
      <c r="E33" t="s">
        <v>27</v>
      </c>
      <c r="F33" t="s">
        <v>28</v>
      </c>
      <c r="G33">
        <v>8.8425922393798828</v>
      </c>
      <c r="H33">
        <v>8.8899879455566406</v>
      </c>
      <c r="I33">
        <v>6.7027650773525238E-2</v>
      </c>
      <c r="J33">
        <v>84197520</v>
      </c>
      <c r="K33">
        <v>81743680</v>
      </c>
      <c r="L33">
        <v>3470248.25</v>
      </c>
      <c r="M33" t="b">
        <v>0</v>
      </c>
      <c r="N33">
        <v>1</v>
      </c>
      <c r="O33" t="b">
        <v>0</v>
      </c>
      <c r="P33">
        <v>1</v>
      </c>
      <c r="Q33">
        <v>4</v>
      </c>
      <c r="R33">
        <v>81.311996459960938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</row>
    <row r="34" spans="1:23">
      <c r="A34" t="s">
        <v>74</v>
      </c>
      <c r="B34" t="s">
        <v>197</v>
      </c>
      <c r="C34" t="s">
        <v>184</v>
      </c>
      <c r="D34" t="s">
        <v>33</v>
      </c>
      <c r="E34" t="s">
        <v>27</v>
      </c>
      <c r="F34" t="s">
        <v>28</v>
      </c>
      <c r="G34">
        <v>8.9373836517333984</v>
      </c>
      <c r="H34">
        <v>8.8899879455566406</v>
      </c>
      <c r="I34">
        <v>6.7027650773525238E-2</v>
      </c>
      <c r="J34">
        <v>79289848</v>
      </c>
      <c r="K34">
        <v>81743680</v>
      </c>
      <c r="L34">
        <v>3470248.25</v>
      </c>
      <c r="M34" t="b">
        <v>0</v>
      </c>
      <c r="N34">
        <v>1</v>
      </c>
      <c r="O34" t="b">
        <v>0</v>
      </c>
      <c r="P34">
        <v>1</v>
      </c>
      <c r="Q34">
        <v>4</v>
      </c>
      <c r="R34">
        <v>81.1199951171875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</row>
    <row r="35" spans="1:23">
      <c r="A35" t="s">
        <v>75</v>
      </c>
      <c r="B35" t="s">
        <v>198</v>
      </c>
      <c r="C35" t="s">
        <v>184</v>
      </c>
      <c r="D35" t="s">
        <v>33</v>
      </c>
      <c r="E35" t="s">
        <v>27</v>
      </c>
      <c r="F35" t="s">
        <v>28</v>
      </c>
      <c r="G35">
        <v>10.236974716186523</v>
      </c>
      <c r="H35">
        <v>10.224166870117188</v>
      </c>
      <c r="I35">
        <v>1.8113704398274422E-2</v>
      </c>
      <c r="J35">
        <v>34804624</v>
      </c>
      <c r="K35">
        <v>35089360</v>
      </c>
      <c r="L35">
        <v>402674.6875</v>
      </c>
      <c r="M35" t="b">
        <v>0</v>
      </c>
      <c r="N35">
        <v>1</v>
      </c>
      <c r="O35" t="b">
        <v>0</v>
      </c>
      <c r="P35">
        <v>1</v>
      </c>
      <c r="Q35">
        <v>4</v>
      </c>
      <c r="R35">
        <v>80.928001403808594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</row>
    <row r="36" spans="1:23">
      <c r="A36" t="s">
        <v>77</v>
      </c>
      <c r="B36" t="s">
        <v>198</v>
      </c>
      <c r="C36" t="s">
        <v>184</v>
      </c>
      <c r="D36" t="s">
        <v>33</v>
      </c>
      <c r="E36" t="s">
        <v>27</v>
      </c>
      <c r="F36" t="s">
        <v>28</v>
      </c>
      <c r="G36">
        <v>10.211358070373535</v>
      </c>
      <c r="H36">
        <v>10.224166870117188</v>
      </c>
      <c r="I36">
        <v>1.8113704398274422E-2</v>
      </c>
      <c r="J36">
        <v>35374092</v>
      </c>
      <c r="K36">
        <v>35089360</v>
      </c>
      <c r="L36">
        <v>402674.6875</v>
      </c>
      <c r="M36" t="b">
        <v>0</v>
      </c>
      <c r="N36">
        <v>1</v>
      </c>
      <c r="O36" t="b">
        <v>0</v>
      </c>
      <c r="P36">
        <v>1</v>
      </c>
      <c r="Q36">
        <v>4</v>
      </c>
      <c r="R36">
        <v>80.543998718261719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</row>
    <row r="37" spans="1:23">
      <c r="A37" t="s">
        <v>78</v>
      </c>
      <c r="B37" t="s">
        <v>199</v>
      </c>
      <c r="C37" t="s">
        <v>184</v>
      </c>
      <c r="D37" t="s">
        <v>33</v>
      </c>
      <c r="E37" t="s">
        <v>27</v>
      </c>
      <c r="F37" t="s">
        <v>28</v>
      </c>
      <c r="G37">
        <v>9.9468879699707031</v>
      </c>
      <c r="H37">
        <v>10.061845779418945</v>
      </c>
      <c r="I37">
        <v>0.16257421672344208</v>
      </c>
      <c r="J37">
        <v>41826728</v>
      </c>
      <c r="K37">
        <v>38991896</v>
      </c>
      <c r="L37">
        <v>4009055</v>
      </c>
      <c r="M37" t="b">
        <v>0</v>
      </c>
      <c r="N37">
        <v>1</v>
      </c>
      <c r="O37" t="b">
        <v>0</v>
      </c>
      <c r="P37">
        <v>1</v>
      </c>
      <c r="Q37">
        <v>4</v>
      </c>
      <c r="R37">
        <v>80.543998718261719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</row>
    <row r="38" spans="1:23">
      <c r="A38" t="s">
        <v>80</v>
      </c>
      <c r="B38" t="s">
        <v>199</v>
      </c>
      <c r="C38" t="s">
        <v>184</v>
      </c>
      <c r="D38" t="s">
        <v>33</v>
      </c>
      <c r="E38" t="s">
        <v>27</v>
      </c>
      <c r="F38" t="s">
        <v>28</v>
      </c>
      <c r="G38">
        <v>10.176802635192871</v>
      </c>
      <c r="H38">
        <v>10.061845779418945</v>
      </c>
      <c r="I38">
        <v>0.16257421672344208</v>
      </c>
      <c r="J38">
        <v>36157068</v>
      </c>
      <c r="K38">
        <v>38991896</v>
      </c>
      <c r="L38">
        <v>4009055</v>
      </c>
      <c r="M38" t="b">
        <v>0</v>
      </c>
      <c r="N38">
        <v>1</v>
      </c>
      <c r="O38" t="b">
        <v>0</v>
      </c>
      <c r="P38">
        <v>1</v>
      </c>
      <c r="Q38">
        <v>4</v>
      </c>
      <c r="R38">
        <v>80.351997375488281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</row>
    <row r="39" spans="1:23">
      <c r="A39" t="s">
        <v>81</v>
      </c>
      <c r="B39" t="s">
        <v>24</v>
      </c>
      <c r="C39" t="s">
        <v>184</v>
      </c>
      <c r="D39" t="s">
        <v>26</v>
      </c>
      <c r="E39" t="s">
        <v>27</v>
      </c>
      <c r="F39" t="s">
        <v>28</v>
      </c>
      <c r="G39">
        <v>23.322933197021484</v>
      </c>
      <c r="H39">
        <v>23.109073638916016</v>
      </c>
      <c r="I39">
        <v>0.30244442820549011</v>
      </c>
      <c r="J39">
        <v>10000</v>
      </c>
      <c r="K39" t="s">
        <v>24</v>
      </c>
      <c r="L39" t="s">
        <v>24</v>
      </c>
      <c r="M39" t="b">
        <v>0</v>
      </c>
      <c r="N39">
        <v>1</v>
      </c>
      <c r="O39" t="b">
        <v>0</v>
      </c>
      <c r="P39">
        <v>3</v>
      </c>
      <c r="Q39">
        <v>16</v>
      </c>
      <c r="R39">
        <v>81.311996459960938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</row>
    <row r="40" spans="1:23">
      <c r="A40" t="s">
        <v>82</v>
      </c>
      <c r="B40" t="s">
        <v>24</v>
      </c>
      <c r="C40" t="s">
        <v>184</v>
      </c>
      <c r="D40" t="s">
        <v>26</v>
      </c>
      <c r="E40" t="s">
        <v>27</v>
      </c>
      <c r="F40" t="s">
        <v>28</v>
      </c>
      <c r="G40">
        <v>22.895212173461914</v>
      </c>
      <c r="H40">
        <v>23.109073638916016</v>
      </c>
      <c r="I40">
        <v>0.30244442820549011</v>
      </c>
      <c r="J40">
        <v>10000</v>
      </c>
      <c r="K40" t="s">
        <v>24</v>
      </c>
      <c r="L40" t="s">
        <v>24</v>
      </c>
      <c r="M40" t="b">
        <v>0</v>
      </c>
      <c r="N40">
        <v>1</v>
      </c>
      <c r="O40" t="b">
        <v>0</v>
      </c>
      <c r="P40">
        <v>3</v>
      </c>
      <c r="Q40">
        <v>16</v>
      </c>
      <c r="R40">
        <v>81.1199951171875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</row>
    <row r="41" spans="1:23">
      <c r="A41" t="s">
        <v>83</v>
      </c>
      <c r="B41" t="s">
        <v>200</v>
      </c>
      <c r="C41" t="s">
        <v>184</v>
      </c>
      <c r="D41" t="s">
        <v>33</v>
      </c>
      <c r="E41" t="s">
        <v>27</v>
      </c>
      <c r="F41" t="s">
        <v>28</v>
      </c>
      <c r="G41">
        <v>11.147954940795898</v>
      </c>
      <c r="H41">
        <v>11.128677368164062</v>
      </c>
      <c r="I41">
        <v>2.7262603864073753E-2</v>
      </c>
      <c r="J41">
        <v>19542586</v>
      </c>
      <c r="K41">
        <v>19784204</v>
      </c>
      <c r="L41">
        <v>341700.875</v>
      </c>
      <c r="M41" t="b">
        <v>0</v>
      </c>
      <c r="N41">
        <v>1</v>
      </c>
      <c r="O41" t="b">
        <v>0</v>
      </c>
      <c r="P41">
        <v>1</v>
      </c>
      <c r="Q41">
        <v>5</v>
      </c>
      <c r="R41">
        <v>81.88800048828125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</row>
    <row r="42" spans="1:23">
      <c r="A42" t="s">
        <v>85</v>
      </c>
      <c r="B42" t="s">
        <v>200</v>
      </c>
      <c r="C42" t="s">
        <v>184</v>
      </c>
      <c r="D42" t="s">
        <v>33</v>
      </c>
      <c r="E42" t="s">
        <v>27</v>
      </c>
      <c r="F42" t="s">
        <v>28</v>
      </c>
      <c r="G42">
        <v>11.109399795532227</v>
      </c>
      <c r="H42">
        <v>11.128677368164062</v>
      </c>
      <c r="I42">
        <v>2.7262603864073753E-2</v>
      </c>
      <c r="J42">
        <v>20025824</v>
      </c>
      <c r="K42">
        <v>19784204</v>
      </c>
      <c r="L42">
        <v>341700.875</v>
      </c>
      <c r="M42" t="b">
        <v>0</v>
      </c>
      <c r="N42">
        <v>1</v>
      </c>
      <c r="O42" t="b">
        <v>0</v>
      </c>
      <c r="P42">
        <v>1</v>
      </c>
      <c r="Q42">
        <v>5</v>
      </c>
      <c r="R42">
        <v>81.88800048828125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</row>
    <row r="43" spans="1:23">
      <c r="A43" t="s">
        <v>86</v>
      </c>
      <c r="B43" t="s">
        <v>201</v>
      </c>
      <c r="C43" t="s">
        <v>184</v>
      </c>
      <c r="D43" t="s">
        <v>33</v>
      </c>
      <c r="E43" t="s">
        <v>27</v>
      </c>
      <c r="F43" t="s">
        <v>28</v>
      </c>
      <c r="G43">
        <v>10.402498245239258</v>
      </c>
      <c r="H43">
        <v>10.399879455566406</v>
      </c>
      <c r="I43">
        <v>3.7035278510302305E-3</v>
      </c>
      <c r="J43">
        <v>31339594</v>
      </c>
      <c r="K43">
        <v>31391676</v>
      </c>
      <c r="L43">
        <v>73656.484375</v>
      </c>
      <c r="M43" t="b">
        <v>0</v>
      </c>
      <c r="N43">
        <v>1</v>
      </c>
      <c r="O43" t="b">
        <v>0</v>
      </c>
      <c r="P43">
        <v>1</v>
      </c>
      <c r="Q43">
        <v>5</v>
      </c>
      <c r="R43">
        <v>81.503997802734375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</row>
    <row r="44" spans="1:23">
      <c r="A44" t="s">
        <v>88</v>
      </c>
      <c r="B44" t="s">
        <v>201</v>
      </c>
      <c r="C44" t="s">
        <v>184</v>
      </c>
      <c r="D44" t="s">
        <v>33</v>
      </c>
      <c r="E44" t="s">
        <v>27</v>
      </c>
      <c r="F44" t="s">
        <v>28</v>
      </c>
      <c r="G44">
        <v>10.397260665893555</v>
      </c>
      <c r="H44">
        <v>10.399879455566406</v>
      </c>
      <c r="I44">
        <v>3.7035278510302305E-3</v>
      </c>
      <c r="J44">
        <v>31443760</v>
      </c>
      <c r="K44">
        <v>31391676</v>
      </c>
      <c r="L44">
        <v>73656.484375</v>
      </c>
      <c r="M44" t="b">
        <v>0</v>
      </c>
      <c r="N44">
        <v>1</v>
      </c>
      <c r="O44" t="b">
        <v>0</v>
      </c>
      <c r="P44">
        <v>1</v>
      </c>
      <c r="Q44">
        <v>5</v>
      </c>
      <c r="R44">
        <v>81.311996459960938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</row>
    <row r="45" spans="1:23">
      <c r="A45" t="s">
        <v>89</v>
      </c>
      <c r="B45" t="s">
        <v>202</v>
      </c>
      <c r="C45" t="s">
        <v>184</v>
      </c>
      <c r="D45" t="s">
        <v>33</v>
      </c>
      <c r="E45" t="s">
        <v>27</v>
      </c>
      <c r="F45" t="s">
        <v>28</v>
      </c>
      <c r="G45">
        <v>9.8549985885620117</v>
      </c>
      <c r="H45">
        <v>9.9943761825561523</v>
      </c>
      <c r="I45">
        <v>0.19710968434810638</v>
      </c>
      <c r="J45">
        <v>44334020</v>
      </c>
      <c r="K45">
        <v>40745400</v>
      </c>
      <c r="L45">
        <v>5075078</v>
      </c>
      <c r="M45" t="b">
        <v>0</v>
      </c>
      <c r="N45">
        <v>1</v>
      </c>
      <c r="O45" t="b">
        <v>0</v>
      </c>
      <c r="P45">
        <v>1</v>
      </c>
      <c r="Q45">
        <v>4</v>
      </c>
      <c r="R45">
        <v>81.695999145507812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</row>
    <row r="46" spans="1:23">
      <c r="A46" t="s">
        <v>91</v>
      </c>
      <c r="B46" t="s">
        <v>202</v>
      </c>
      <c r="C46" t="s">
        <v>184</v>
      </c>
      <c r="D46" t="s">
        <v>33</v>
      </c>
      <c r="E46" t="s">
        <v>27</v>
      </c>
      <c r="F46" t="s">
        <v>28</v>
      </c>
      <c r="G46">
        <v>10.133753776550293</v>
      </c>
      <c r="H46">
        <v>9.9943761825561523</v>
      </c>
      <c r="I46">
        <v>0.19710968434810638</v>
      </c>
      <c r="J46">
        <v>37156776</v>
      </c>
      <c r="K46">
        <v>40745400</v>
      </c>
      <c r="L46">
        <v>5075078</v>
      </c>
      <c r="M46" t="b">
        <v>0</v>
      </c>
      <c r="N46">
        <v>1</v>
      </c>
      <c r="O46" t="b">
        <v>0</v>
      </c>
      <c r="P46">
        <v>1</v>
      </c>
      <c r="Q46">
        <v>4</v>
      </c>
      <c r="R46">
        <v>81.503997802734375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</row>
    <row r="47" spans="1:23">
      <c r="A47" t="s">
        <v>92</v>
      </c>
      <c r="B47" t="s">
        <v>203</v>
      </c>
      <c r="C47" t="s">
        <v>184</v>
      </c>
      <c r="D47" t="s">
        <v>33</v>
      </c>
      <c r="E47" t="s">
        <v>27</v>
      </c>
      <c r="F47" t="s">
        <v>28</v>
      </c>
      <c r="G47">
        <v>10.080732345581055</v>
      </c>
      <c r="H47">
        <v>10.21413516998291</v>
      </c>
      <c r="I47">
        <v>0.18866008520126343</v>
      </c>
      <c r="J47">
        <v>38426144</v>
      </c>
      <c r="K47">
        <v>35438104</v>
      </c>
      <c r="L47">
        <v>4225724</v>
      </c>
      <c r="M47" t="b">
        <v>0</v>
      </c>
      <c r="N47">
        <v>1</v>
      </c>
      <c r="O47" t="b">
        <v>0</v>
      </c>
      <c r="P47">
        <v>1</v>
      </c>
      <c r="Q47">
        <v>4</v>
      </c>
      <c r="R47">
        <v>80.928001403808594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</row>
    <row r="48" spans="1:23">
      <c r="A48" t="s">
        <v>94</v>
      </c>
      <c r="B48" t="s">
        <v>203</v>
      </c>
      <c r="C48" t="s">
        <v>184</v>
      </c>
      <c r="D48" t="s">
        <v>33</v>
      </c>
      <c r="E48" t="s">
        <v>27</v>
      </c>
      <c r="F48" t="s">
        <v>28</v>
      </c>
      <c r="G48">
        <v>10.347537994384766</v>
      </c>
      <c r="H48">
        <v>10.21413516998291</v>
      </c>
      <c r="I48">
        <v>0.18866008520126343</v>
      </c>
      <c r="J48">
        <v>32450068</v>
      </c>
      <c r="K48">
        <v>35438104</v>
      </c>
      <c r="L48">
        <v>4225724</v>
      </c>
      <c r="M48" t="b">
        <v>0</v>
      </c>
      <c r="N48">
        <v>1</v>
      </c>
      <c r="O48" t="b">
        <v>0</v>
      </c>
      <c r="P48">
        <v>1</v>
      </c>
      <c r="Q48">
        <v>4</v>
      </c>
      <c r="R48">
        <v>80.543998718261719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</row>
    <row r="49" spans="1:23">
      <c r="A49" t="s">
        <v>95</v>
      </c>
      <c r="B49" t="s">
        <v>204</v>
      </c>
      <c r="C49" t="s">
        <v>184</v>
      </c>
      <c r="D49" t="s">
        <v>33</v>
      </c>
      <c r="E49" t="s">
        <v>27</v>
      </c>
      <c r="F49" t="s">
        <v>28</v>
      </c>
      <c r="G49">
        <v>9.1829328536987305</v>
      </c>
      <c r="H49">
        <v>9.1720294952392578</v>
      </c>
      <c r="I49">
        <v>1.5419002622365952E-2</v>
      </c>
      <c r="J49">
        <v>67866440</v>
      </c>
      <c r="K49">
        <v>68338480</v>
      </c>
      <c r="L49">
        <v>667571</v>
      </c>
      <c r="M49" t="b">
        <v>0</v>
      </c>
      <c r="N49">
        <v>1</v>
      </c>
      <c r="O49" t="b">
        <v>0</v>
      </c>
      <c r="P49">
        <v>1</v>
      </c>
      <c r="Q49">
        <v>4</v>
      </c>
      <c r="R49">
        <v>80.351997375488281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</row>
    <row r="50" spans="1:23">
      <c r="A50" t="s">
        <v>97</v>
      </c>
      <c r="B50" t="s">
        <v>204</v>
      </c>
      <c r="C50" t="s">
        <v>184</v>
      </c>
      <c r="D50" t="s">
        <v>33</v>
      </c>
      <c r="E50" t="s">
        <v>27</v>
      </c>
      <c r="F50" t="s">
        <v>28</v>
      </c>
      <c r="G50">
        <v>9.1611270904541016</v>
      </c>
      <c r="H50">
        <v>9.1720294952392578</v>
      </c>
      <c r="I50">
        <v>1.5419002622365952E-2</v>
      </c>
      <c r="J50">
        <v>68810528</v>
      </c>
      <c r="K50">
        <v>68338480</v>
      </c>
      <c r="L50">
        <v>667571</v>
      </c>
      <c r="M50" t="b">
        <v>0</v>
      </c>
      <c r="N50">
        <v>1</v>
      </c>
      <c r="O50" t="b">
        <v>0</v>
      </c>
      <c r="P50">
        <v>1</v>
      </c>
      <c r="Q50">
        <v>4</v>
      </c>
      <c r="R50">
        <v>80.351997375488281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</row>
    <row r="51" spans="1:23">
      <c r="A51" t="s">
        <v>98</v>
      </c>
      <c r="B51" t="s">
        <v>24</v>
      </c>
      <c r="C51" t="s">
        <v>184</v>
      </c>
      <c r="D51" t="s">
        <v>26</v>
      </c>
      <c r="E51" t="s">
        <v>27</v>
      </c>
      <c r="F51" t="s">
        <v>28</v>
      </c>
      <c r="G51">
        <v>27.038787841796875</v>
      </c>
      <c r="H51">
        <v>26.832983016967773</v>
      </c>
      <c r="I51">
        <v>0.29105198383331299</v>
      </c>
      <c r="J51">
        <v>1000</v>
      </c>
      <c r="K51" t="s">
        <v>24</v>
      </c>
      <c r="L51" t="s">
        <v>24</v>
      </c>
      <c r="M51" t="b">
        <v>0</v>
      </c>
      <c r="N51">
        <v>1</v>
      </c>
      <c r="O51" t="b">
        <v>0</v>
      </c>
      <c r="P51">
        <v>3</v>
      </c>
      <c r="Q51">
        <v>20</v>
      </c>
      <c r="R51">
        <v>81.1199951171875</v>
      </c>
      <c r="S51" t="s">
        <v>24</v>
      </c>
      <c r="T51" t="s">
        <v>24</v>
      </c>
      <c r="U51" t="s">
        <v>24</v>
      </c>
      <c r="V51" t="s">
        <v>29</v>
      </c>
      <c r="W51" t="s">
        <v>29</v>
      </c>
    </row>
    <row r="52" spans="1:23">
      <c r="A52" t="s">
        <v>99</v>
      </c>
      <c r="B52" t="s">
        <v>24</v>
      </c>
      <c r="C52" t="s">
        <v>184</v>
      </c>
      <c r="D52" t="s">
        <v>26</v>
      </c>
      <c r="E52" t="s">
        <v>27</v>
      </c>
      <c r="F52" t="s">
        <v>28</v>
      </c>
      <c r="G52">
        <v>26.627178192138672</v>
      </c>
      <c r="H52">
        <v>26.832983016967773</v>
      </c>
      <c r="I52">
        <v>0.29105198383331299</v>
      </c>
      <c r="J52">
        <v>1000</v>
      </c>
      <c r="K52" t="s">
        <v>24</v>
      </c>
      <c r="L52" t="s">
        <v>24</v>
      </c>
      <c r="M52" t="b">
        <v>0</v>
      </c>
      <c r="N52">
        <v>1</v>
      </c>
      <c r="O52" t="b">
        <v>0</v>
      </c>
      <c r="P52">
        <v>3</v>
      </c>
      <c r="Q52">
        <v>20</v>
      </c>
      <c r="R52">
        <v>81.311996459960938</v>
      </c>
      <c r="S52" t="s">
        <v>24</v>
      </c>
      <c r="T52" t="s">
        <v>24</v>
      </c>
      <c r="U52" t="s">
        <v>24</v>
      </c>
      <c r="V52" t="s">
        <v>29</v>
      </c>
      <c r="W52" t="s">
        <v>29</v>
      </c>
    </row>
    <row r="53" spans="1:23">
      <c r="A53" t="s">
        <v>100</v>
      </c>
      <c r="B53" t="s">
        <v>205</v>
      </c>
      <c r="C53" t="s">
        <v>184</v>
      </c>
      <c r="D53" t="s">
        <v>33</v>
      </c>
      <c r="E53" t="s">
        <v>27</v>
      </c>
      <c r="F53" t="s">
        <v>28</v>
      </c>
      <c r="G53">
        <v>10.172945022583008</v>
      </c>
      <c r="H53">
        <v>10.292801856994629</v>
      </c>
      <c r="I53">
        <v>0.16950316727161407</v>
      </c>
      <c r="J53">
        <v>36245544</v>
      </c>
      <c r="K53">
        <v>33692024</v>
      </c>
      <c r="L53">
        <v>3611222.5</v>
      </c>
      <c r="M53" t="b">
        <v>0</v>
      </c>
      <c r="N53">
        <v>1</v>
      </c>
      <c r="O53" t="b">
        <v>0</v>
      </c>
      <c r="P53">
        <v>1</v>
      </c>
      <c r="Q53">
        <v>5</v>
      </c>
      <c r="R53">
        <v>81.88800048828125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</row>
    <row r="54" spans="1:23">
      <c r="A54" t="s">
        <v>102</v>
      </c>
      <c r="B54" t="s">
        <v>205</v>
      </c>
      <c r="C54" t="s">
        <v>184</v>
      </c>
      <c r="D54" t="s">
        <v>33</v>
      </c>
      <c r="E54" t="s">
        <v>27</v>
      </c>
      <c r="F54" t="s">
        <v>28</v>
      </c>
      <c r="G54">
        <v>10.41265869140625</v>
      </c>
      <c r="H54">
        <v>10.292801856994629</v>
      </c>
      <c r="I54">
        <v>0.16950316727161407</v>
      </c>
      <c r="J54">
        <v>31138504</v>
      </c>
      <c r="K54">
        <v>33692024</v>
      </c>
      <c r="L54">
        <v>3611222.5</v>
      </c>
      <c r="M54" t="b">
        <v>0</v>
      </c>
      <c r="N54">
        <v>1</v>
      </c>
      <c r="O54" t="b">
        <v>0</v>
      </c>
      <c r="P54">
        <v>1</v>
      </c>
      <c r="Q54">
        <v>5</v>
      </c>
      <c r="R54">
        <v>81.88800048828125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</row>
    <row r="55" spans="1:23">
      <c r="A55" t="s">
        <v>103</v>
      </c>
      <c r="B55" t="s">
        <v>193</v>
      </c>
      <c r="C55" t="s">
        <v>184</v>
      </c>
      <c r="D55" t="s">
        <v>33</v>
      </c>
      <c r="E55" t="s">
        <v>27</v>
      </c>
      <c r="F55" t="s">
        <v>28</v>
      </c>
      <c r="G55">
        <v>29.620809555053711</v>
      </c>
      <c r="H55">
        <v>28.009042739868164</v>
      </c>
      <c r="I55">
        <v>1.598393440246582</v>
      </c>
      <c r="J55">
        <v>161.51107788085938</v>
      </c>
      <c r="K55">
        <v>649.01788330078125</v>
      </c>
      <c r="L55">
        <v>543.2738037109375</v>
      </c>
      <c r="M55" t="b">
        <v>0</v>
      </c>
      <c r="N55">
        <v>1</v>
      </c>
      <c r="O55" t="b">
        <v>1</v>
      </c>
      <c r="P55">
        <v>3</v>
      </c>
      <c r="Q55">
        <v>22</v>
      </c>
      <c r="R55">
        <v>81.503997802734375</v>
      </c>
      <c r="S55" t="s">
        <v>24</v>
      </c>
      <c r="T55" t="s">
        <v>24</v>
      </c>
      <c r="U55" t="s">
        <v>24</v>
      </c>
      <c r="V55" t="s">
        <v>114</v>
      </c>
      <c r="W55" t="s">
        <v>29</v>
      </c>
    </row>
    <row r="56" spans="1:23">
      <c r="A56" t="s">
        <v>105</v>
      </c>
      <c r="B56" t="s">
        <v>193</v>
      </c>
      <c r="C56" t="s">
        <v>184</v>
      </c>
      <c r="D56" t="s">
        <v>33</v>
      </c>
      <c r="E56" t="s">
        <v>27</v>
      </c>
      <c r="F56" t="s">
        <v>28</v>
      </c>
      <c r="G56">
        <v>30.118824005126953</v>
      </c>
      <c r="H56">
        <v>28.009042739868164</v>
      </c>
      <c r="I56">
        <v>1.598393440246582</v>
      </c>
      <c r="J56">
        <v>117.80787658691406</v>
      </c>
      <c r="K56">
        <v>649.01788330078125</v>
      </c>
      <c r="L56">
        <v>543.2738037109375</v>
      </c>
      <c r="M56" t="b">
        <v>0</v>
      </c>
      <c r="N56">
        <v>1</v>
      </c>
      <c r="O56" t="b">
        <v>1</v>
      </c>
      <c r="P56">
        <v>3</v>
      </c>
      <c r="Q56">
        <v>22</v>
      </c>
      <c r="R56">
        <v>81.503997802734375</v>
      </c>
      <c r="S56" t="s">
        <v>24</v>
      </c>
      <c r="T56" t="s">
        <v>24</v>
      </c>
      <c r="U56" t="s">
        <v>24</v>
      </c>
      <c r="V56" t="s">
        <v>114</v>
      </c>
      <c r="W56" t="s">
        <v>29</v>
      </c>
    </row>
    <row r="57" spans="1:23">
      <c r="A57" t="s">
        <v>106</v>
      </c>
      <c r="B57" t="s">
        <v>206</v>
      </c>
      <c r="C57" t="s">
        <v>184</v>
      </c>
      <c r="D57" t="s">
        <v>33</v>
      </c>
      <c r="E57" t="s">
        <v>27</v>
      </c>
      <c r="F57" t="s">
        <v>28</v>
      </c>
      <c r="G57">
        <v>9.0540266036987305</v>
      </c>
      <c r="H57">
        <v>9.0921001434326172</v>
      </c>
      <c r="I57">
        <v>5.3844790905714035E-2</v>
      </c>
      <c r="J57">
        <v>73641640</v>
      </c>
      <c r="K57">
        <v>71907432</v>
      </c>
      <c r="L57">
        <v>2452540.5</v>
      </c>
      <c r="M57" t="b">
        <v>0</v>
      </c>
      <c r="N57">
        <v>1</v>
      </c>
      <c r="O57" t="b">
        <v>0</v>
      </c>
      <c r="P57">
        <v>1</v>
      </c>
      <c r="Q57">
        <v>4</v>
      </c>
      <c r="R57">
        <v>81.1199951171875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</row>
    <row r="58" spans="1:23">
      <c r="A58" t="s">
        <v>108</v>
      </c>
      <c r="B58" t="s">
        <v>206</v>
      </c>
      <c r="C58" t="s">
        <v>184</v>
      </c>
      <c r="D58" t="s">
        <v>33</v>
      </c>
      <c r="E58" t="s">
        <v>27</v>
      </c>
      <c r="F58" t="s">
        <v>28</v>
      </c>
      <c r="G58">
        <v>9.1301746368408203</v>
      </c>
      <c r="H58">
        <v>9.0921001434326172</v>
      </c>
      <c r="I58">
        <v>5.3844790905714035E-2</v>
      </c>
      <c r="J58">
        <v>70173224</v>
      </c>
      <c r="K58">
        <v>71907432</v>
      </c>
      <c r="L58">
        <v>2452540.5</v>
      </c>
      <c r="M58" t="b">
        <v>0</v>
      </c>
      <c r="N58">
        <v>1</v>
      </c>
      <c r="O58" t="b">
        <v>0</v>
      </c>
      <c r="P58">
        <v>1</v>
      </c>
      <c r="Q58">
        <v>4</v>
      </c>
      <c r="R58">
        <v>81.1199951171875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</row>
    <row r="59" spans="1:23">
      <c r="A59" t="s">
        <v>109</v>
      </c>
      <c r="B59" t="s">
        <v>207</v>
      </c>
      <c r="C59" t="s">
        <v>184</v>
      </c>
      <c r="D59" t="s">
        <v>33</v>
      </c>
      <c r="E59" t="s">
        <v>27</v>
      </c>
      <c r="F59" t="s">
        <v>28</v>
      </c>
      <c r="G59">
        <v>8.9883480072021484</v>
      </c>
      <c r="H59">
        <v>9.1758499145507812</v>
      </c>
      <c r="I59">
        <v>0.26516842842102051</v>
      </c>
      <c r="J59">
        <v>76770576</v>
      </c>
      <c r="K59">
        <v>68653224</v>
      </c>
      <c r="L59">
        <v>11479672</v>
      </c>
      <c r="M59" t="b">
        <v>0</v>
      </c>
      <c r="N59">
        <v>1</v>
      </c>
      <c r="O59" t="b">
        <v>0</v>
      </c>
      <c r="P59">
        <v>1</v>
      </c>
      <c r="Q59">
        <v>4</v>
      </c>
      <c r="R59">
        <v>80.736000061035156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</row>
    <row r="60" spans="1:23">
      <c r="A60" t="s">
        <v>111</v>
      </c>
      <c r="B60" t="s">
        <v>207</v>
      </c>
      <c r="C60" t="s">
        <v>184</v>
      </c>
      <c r="D60" t="s">
        <v>33</v>
      </c>
      <c r="E60" t="s">
        <v>27</v>
      </c>
      <c r="F60" t="s">
        <v>28</v>
      </c>
      <c r="G60">
        <v>9.3633527755737305</v>
      </c>
      <c r="H60">
        <v>9.1758499145507812</v>
      </c>
      <c r="I60">
        <v>0.26516842842102051</v>
      </c>
      <c r="J60">
        <v>60535868</v>
      </c>
      <c r="K60">
        <v>68653224</v>
      </c>
      <c r="L60">
        <v>11479672</v>
      </c>
      <c r="M60" t="b">
        <v>0</v>
      </c>
      <c r="N60">
        <v>1</v>
      </c>
      <c r="O60" t="b">
        <v>0</v>
      </c>
      <c r="P60">
        <v>1</v>
      </c>
      <c r="Q60">
        <v>4</v>
      </c>
      <c r="R60">
        <v>80.736000061035156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</row>
    <row r="61" spans="1:23">
      <c r="A61" t="s">
        <v>112</v>
      </c>
      <c r="B61" t="s">
        <v>208</v>
      </c>
      <c r="C61" t="s">
        <v>184</v>
      </c>
      <c r="D61" t="s">
        <v>33</v>
      </c>
      <c r="E61" t="s">
        <v>27</v>
      </c>
      <c r="F61" t="s">
        <v>28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b">
        <v>0</v>
      </c>
      <c r="N61">
        <v>1</v>
      </c>
      <c r="O61" t="b">
        <v>0</v>
      </c>
      <c r="P61">
        <v>1</v>
      </c>
      <c r="Q61">
        <v>4</v>
      </c>
      <c r="R61" t="s">
        <v>24</v>
      </c>
      <c r="S61" t="s">
        <v>24</v>
      </c>
      <c r="T61" t="s">
        <v>24</v>
      </c>
      <c r="U61" t="s">
        <v>24</v>
      </c>
      <c r="V61" t="s">
        <v>29</v>
      </c>
      <c r="W61" t="s">
        <v>29</v>
      </c>
    </row>
    <row r="62" spans="1:23">
      <c r="A62" t="s">
        <v>115</v>
      </c>
      <c r="B62" t="s">
        <v>208</v>
      </c>
      <c r="C62" t="s">
        <v>184</v>
      </c>
      <c r="D62" t="s">
        <v>33</v>
      </c>
      <c r="E62" t="s">
        <v>27</v>
      </c>
      <c r="F62" t="s">
        <v>28</v>
      </c>
      <c r="G62">
        <v>9.8396205902099609</v>
      </c>
      <c r="H62">
        <v>9.8396205902099609</v>
      </c>
      <c r="I62" t="s">
        <v>24</v>
      </c>
      <c r="J62">
        <v>44768068</v>
      </c>
      <c r="K62">
        <v>44768068</v>
      </c>
      <c r="L62" t="s">
        <v>24</v>
      </c>
      <c r="M62" t="b">
        <v>0</v>
      </c>
      <c r="N62">
        <v>1</v>
      </c>
      <c r="O62" t="b">
        <v>0</v>
      </c>
      <c r="P62">
        <v>1</v>
      </c>
      <c r="Q62">
        <v>4</v>
      </c>
      <c r="R62">
        <v>80.351997375488281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</row>
    <row r="63" spans="1:23">
      <c r="A63" t="s">
        <v>116</v>
      </c>
      <c r="B63" t="s">
        <v>24</v>
      </c>
      <c r="C63" t="s">
        <v>184</v>
      </c>
      <c r="D63" t="s">
        <v>26</v>
      </c>
      <c r="E63" t="s">
        <v>27</v>
      </c>
      <c r="F63" t="s">
        <v>28</v>
      </c>
      <c r="G63">
        <v>30.497945785522461</v>
      </c>
      <c r="H63">
        <v>30.375007629394531</v>
      </c>
      <c r="I63">
        <v>0.17386215925216675</v>
      </c>
      <c r="J63">
        <v>100</v>
      </c>
      <c r="K63" t="s">
        <v>24</v>
      </c>
      <c r="L63" t="s">
        <v>24</v>
      </c>
      <c r="M63" t="b">
        <v>0</v>
      </c>
      <c r="N63">
        <v>1</v>
      </c>
      <c r="O63" t="b">
        <v>1</v>
      </c>
      <c r="P63">
        <v>3</v>
      </c>
      <c r="Q63">
        <v>23</v>
      </c>
      <c r="R63">
        <v>81.1199951171875</v>
      </c>
      <c r="S63" t="s">
        <v>24</v>
      </c>
      <c r="T63" t="s">
        <v>24</v>
      </c>
      <c r="U63" t="s">
        <v>24</v>
      </c>
      <c r="V63" t="s">
        <v>29</v>
      </c>
      <c r="W63" t="s">
        <v>29</v>
      </c>
    </row>
    <row r="64" spans="1:23">
      <c r="A64" t="s">
        <v>117</v>
      </c>
      <c r="B64" t="s">
        <v>24</v>
      </c>
      <c r="C64" t="s">
        <v>184</v>
      </c>
      <c r="D64" t="s">
        <v>26</v>
      </c>
      <c r="E64" t="s">
        <v>27</v>
      </c>
      <c r="F64" t="s">
        <v>28</v>
      </c>
      <c r="G64">
        <v>30.252067565917969</v>
      </c>
      <c r="H64">
        <v>30.375007629394531</v>
      </c>
      <c r="I64">
        <v>0.17386215925216675</v>
      </c>
      <c r="J64">
        <v>100</v>
      </c>
      <c r="K64" t="s">
        <v>24</v>
      </c>
      <c r="L64" t="s">
        <v>24</v>
      </c>
      <c r="M64" t="b">
        <v>0</v>
      </c>
      <c r="N64">
        <v>1</v>
      </c>
      <c r="O64" t="b">
        <v>1</v>
      </c>
      <c r="P64">
        <v>3</v>
      </c>
      <c r="Q64">
        <v>23</v>
      </c>
      <c r="R64">
        <v>81.1199951171875</v>
      </c>
      <c r="S64" t="s">
        <v>24</v>
      </c>
      <c r="T64" t="s">
        <v>24</v>
      </c>
      <c r="U64" t="s">
        <v>24</v>
      </c>
      <c r="V64" t="s">
        <v>29</v>
      </c>
      <c r="W64" t="s">
        <v>29</v>
      </c>
    </row>
    <row r="65" spans="1:23">
      <c r="A65" t="s">
        <v>118</v>
      </c>
      <c r="B65" t="s">
        <v>209</v>
      </c>
      <c r="C65" t="s">
        <v>184</v>
      </c>
      <c r="D65" t="s">
        <v>33</v>
      </c>
      <c r="E65" t="s">
        <v>27</v>
      </c>
      <c r="F65" t="s">
        <v>28</v>
      </c>
      <c r="G65">
        <v>10.22599983215332</v>
      </c>
      <c r="H65">
        <v>10.362022399902344</v>
      </c>
      <c r="I65">
        <v>0.19236429035663605</v>
      </c>
      <c r="J65">
        <v>35047468</v>
      </c>
      <c r="K65">
        <v>32273124</v>
      </c>
      <c r="L65">
        <v>3923513.5</v>
      </c>
      <c r="M65" t="b">
        <v>0</v>
      </c>
      <c r="N65">
        <v>1</v>
      </c>
      <c r="O65" t="b">
        <v>0</v>
      </c>
      <c r="P65">
        <v>1</v>
      </c>
      <c r="Q65">
        <v>5</v>
      </c>
      <c r="R65">
        <v>81.695999145507812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</row>
    <row r="66" spans="1:23">
      <c r="A66" t="s">
        <v>120</v>
      </c>
      <c r="B66" t="s">
        <v>209</v>
      </c>
      <c r="C66" t="s">
        <v>184</v>
      </c>
      <c r="D66" t="s">
        <v>33</v>
      </c>
      <c r="E66" t="s">
        <v>27</v>
      </c>
      <c r="F66" t="s">
        <v>28</v>
      </c>
      <c r="G66">
        <v>10.498044013977051</v>
      </c>
      <c r="H66">
        <v>10.362022399902344</v>
      </c>
      <c r="I66">
        <v>0.19236429035663605</v>
      </c>
      <c r="J66">
        <v>29498782</v>
      </c>
      <c r="K66">
        <v>32273124</v>
      </c>
      <c r="L66">
        <v>3923513.5</v>
      </c>
      <c r="M66" t="b">
        <v>0</v>
      </c>
      <c r="N66">
        <v>1</v>
      </c>
      <c r="O66" t="b">
        <v>0</v>
      </c>
      <c r="P66">
        <v>1</v>
      </c>
      <c r="Q66">
        <v>5</v>
      </c>
      <c r="R66">
        <v>81.695999145507812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</row>
    <row r="67" spans="1:23">
      <c r="A67" t="s">
        <v>121</v>
      </c>
      <c r="B67" t="s">
        <v>210</v>
      </c>
      <c r="C67" t="s">
        <v>184</v>
      </c>
      <c r="D67" t="s">
        <v>33</v>
      </c>
      <c r="E67" t="s">
        <v>27</v>
      </c>
      <c r="F67" t="s">
        <v>28</v>
      </c>
      <c r="G67">
        <v>11.250583648681641</v>
      </c>
      <c r="H67">
        <v>11.361662864685059</v>
      </c>
      <c r="I67">
        <v>0.15708974003791809</v>
      </c>
      <c r="J67">
        <v>18312342</v>
      </c>
      <c r="K67">
        <v>17110202</v>
      </c>
      <c r="L67">
        <v>1700082</v>
      </c>
      <c r="M67" t="b">
        <v>0</v>
      </c>
      <c r="N67">
        <v>1</v>
      </c>
      <c r="O67" t="b">
        <v>0</v>
      </c>
      <c r="P67">
        <v>1</v>
      </c>
      <c r="Q67">
        <v>6</v>
      </c>
      <c r="R67">
        <v>81.695999145507812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</row>
    <row r="68" spans="1:23">
      <c r="A68" t="s">
        <v>123</v>
      </c>
      <c r="B68" t="s">
        <v>210</v>
      </c>
      <c r="C68" t="s">
        <v>184</v>
      </c>
      <c r="D68" t="s">
        <v>33</v>
      </c>
      <c r="E68" t="s">
        <v>27</v>
      </c>
      <c r="F68" t="s">
        <v>28</v>
      </c>
      <c r="G68">
        <v>11.472742080688477</v>
      </c>
      <c r="H68">
        <v>11.361662864685059</v>
      </c>
      <c r="I68">
        <v>0.15708974003791809</v>
      </c>
      <c r="J68">
        <v>15908063</v>
      </c>
      <c r="K68">
        <v>17110202</v>
      </c>
      <c r="L68">
        <v>1700082</v>
      </c>
      <c r="M68" t="b">
        <v>0</v>
      </c>
      <c r="N68">
        <v>1</v>
      </c>
      <c r="O68" t="b">
        <v>0</v>
      </c>
      <c r="P68">
        <v>1</v>
      </c>
      <c r="Q68">
        <v>6</v>
      </c>
      <c r="R68">
        <v>81.695999145507812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</row>
    <row r="69" spans="1:23">
      <c r="A69" t="s">
        <v>124</v>
      </c>
      <c r="B69" t="s">
        <v>211</v>
      </c>
      <c r="C69" t="s">
        <v>184</v>
      </c>
      <c r="D69" t="s">
        <v>33</v>
      </c>
      <c r="E69" t="s">
        <v>27</v>
      </c>
      <c r="F69" t="s">
        <v>28</v>
      </c>
      <c r="G69">
        <v>9.5052499771118164</v>
      </c>
      <c r="H69">
        <v>9.4994745254516602</v>
      </c>
      <c r="I69">
        <v>8.167722262442112E-3</v>
      </c>
      <c r="J69">
        <v>55331184</v>
      </c>
      <c r="K69">
        <v>55534384</v>
      </c>
      <c r="L69">
        <v>287371.03125</v>
      </c>
      <c r="M69" t="b">
        <v>0</v>
      </c>
      <c r="N69">
        <v>1</v>
      </c>
      <c r="O69" t="b">
        <v>0</v>
      </c>
      <c r="P69">
        <v>1</v>
      </c>
      <c r="Q69">
        <v>4</v>
      </c>
      <c r="R69">
        <v>81.695999145507812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</row>
    <row r="70" spans="1:23">
      <c r="A70" t="s">
        <v>126</v>
      </c>
      <c r="B70" t="s">
        <v>211</v>
      </c>
      <c r="C70" t="s">
        <v>184</v>
      </c>
      <c r="D70" t="s">
        <v>33</v>
      </c>
      <c r="E70" t="s">
        <v>27</v>
      </c>
      <c r="F70" t="s">
        <v>28</v>
      </c>
      <c r="G70">
        <v>9.4936990737915039</v>
      </c>
      <c r="H70">
        <v>9.4994745254516602</v>
      </c>
      <c r="I70">
        <v>8.167722262442112E-3</v>
      </c>
      <c r="J70">
        <v>55737588</v>
      </c>
      <c r="K70">
        <v>55534384</v>
      </c>
      <c r="L70">
        <v>287371.03125</v>
      </c>
      <c r="M70" t="b">
        <v>0</v>
      </c>
      <c r="N70">
        <v>1</v>
      </c>
      <c r="O70" t="b">
        <v>0</v>
      </c>
      <c r="P70">
        <v>1</v>
      </c>
      <c r="Q70">
        <v>4</v>
      </c>
      <c r="R70">
        <v>81.695999145507812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</row>
    <row r="71" spans="1:23">
      <c r="A71" t="s">
        <v>127</v>
      </c>
      <c r="B71" t="s">
        <v>212</v>
      </c>
      <c r="C71" t="s">
        <v>184</v>
      </c>
      <c r="D71" t="s">
        <v>33</v>
      </c>
      <c r="E71" t="s">
        <v>27</v>
      </c>
      <c r="F71" t="s">
        <v>28</v>
      </c>
      <c r="G71">
        <v>10.088561058044434</v>
      </c>
      <c r="H71">
        <v>10.195658683776855</v>
      </c>
      <c r="I71">
        <v>0.15145891904830933</v>
      </c>
      <c r="J71">
        <v>38236024</v>
      </c>
      <c r="K71">
        <v>35809968</v>
      </c>
      <c r="L71">
        <v>3430961.25</v>
      </c>
      <c r="M71" t="b">
        <v>0</v>
      </c>
      <c r="N71">
        <v>1</v>
      </c>
      <c r="O71" t="b">
        <v>0</v>
      </c>
      <c r="P71">
        <v>1</v>
      </c>
      <c r="Q71">
        <v>4</v>
      </c>
      <c r="R71">
        <v>80.736000061035156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</row>
    <row r="72" spans="1:23">
      <c r="A72" t="s">
        <v>129</v>
      </c>
      <c r="B72" t="s">
        <v>212</v>
      </c>
      <c r="C72" t="s">
        <v>184</v>
      </c>
      <c r="D72" t="s">
        <v>33</v>
      </c>
      <c r="E72" t="s">
        <v>27</v>
      </c>
      <c r="F72" t="s">
        <v>28</v>
      </c>
      <c r="G72">
        <v>10.302756309509277</v>
      </c>
      <c r="H72">
        <v>10.195658683776855</v>
      </c>
      <c r="I72">
        <v>0.15145891904830933</v>
      </c>
      <c r="J72">
        <v>33383912</v>
      </c>
      <c r="K72">
        <v>35809968</v>
      </c>
      <c r="L72">
        <v>3430961.25</v>
      </c>
      <c r="M72" t="b">
        <v>0</v>
      </c>
      <c r="N72">
        <v>1</v>
      </c>
      <c r="O72" t="b">
        <v>0</v>
      </c>
      <c r="P72">
        <v>1</v>
      </c>
      <c r="Q72">
        <v>4</v>
      </c>
      <c r="R72">
        <v>80.736000061035156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</row>
    <row r="73" spans="1:23">
      <c r="A73" t="s">
        <v>130</v>
      </c>
      <c r="B73" t="s">
        <v>213</v>
      </c>
      <c r="C73" t="s">
        <v>184</v>
      </c>
      <c r="D73" t="s">
        <v>33</v>
      </c>
      <c r="E73" t="s">
        <v>27</v>
      </c>
      <c r="F73" t="s">
        <v>28</v>
      </c>
      <c r="G73">
        <v>10.406538009643555</v>
      </c>
      <c r="H73">
        <v>10.607387542724609</v>
      </c>
      <c r="I73">
        <v>0.28404346108436584</v>
      </c>
      <c r="J73">
        <v>31259486</v>
      </c>
      <c r="K73">
        <v>27747582</v>
      </c>
      <c r="L73">
        <v>4966582.5</v>
      </c>
      <c r="M73" t="b">
        <v>0</v>
      </c>
      <c r="N73">
        <v>1</v>
      </c>
      <c r="O73" t="b">
        <v>0</v>
      </c>
      <c r="P73">
        <v>1</v>
      </c>
      <c r="Q73">
        <v>4</v>
      </c>
      <c r="R73">
        <v>80.543998718261719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</row>
    <row r="74" spans="1:23">
      <c r="A74" t="s">
        <v>132</v>
      </c>
      <c r="B74" t="s">
        <v>213</v>
      </c>
      <c r="C74" t="s">
        <v>184</v>
      </c>
      <c r="D74" t="s">
        <v>33</v>
      </c>
      <c r="E74" t="s">
        <v>27</v>
      </c>
      <c r="F74" t="s">
        <v>28</v>
      </c>
      <c r="G74">
        <v>10.808236122131348</v>
      </c>
      <c r="H74">
        <v>10.607387542724609</v>
      </c>
      <c r="I74">
        <v>0.28404346108436584</v>
      </c>
      <c r="J74">
        <v>24235678</v>
      </c>
      <c r="K74">
        <v>27747582</v>
      </c>
      <c r="L74">
        <v>4966582.5</v>
      </c>
      <c r="M74" t="b">
        <v>0</v>
      </c>
      <c r="N74">
        <v>1</v>
      </c>
      <c r="O74" t="b">
        <v>0</v>
      </c>
      <c r="P74">
        <v>1</v>
      </c>
      <c r="Q74">
        <v>4</v>
      </c>
      <c r="R74">
        <v>80.351997375488281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</row>
    <row r="75" spans="1:23">
      <c r="A75" t="s">
        <v>133</v>
      </c>
      <c r="B75" t="s">
        <v>24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</row>
    <row r="76" spans="1:23">
      <c r="A76" t="s">
        <v>134</v>
      </c>
      <c r="B76" t="s">
        <v>24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</row>
    <row r="77" spans="1:23">
      <c r="A77" t="s">
        <v>135</v>
      </c>
      <c r="B77" t="s">
        <v>214</v>
      </c>
      <c r="C77" t="s">
        <v>184</v>
      </c>
      <c r="D77" t="s">
        <v>33</v>
      </c>
      <c r="E77" t="s">
        <v>27</v>
      </c>
      <c r="F77" t="s">
        <v>28</v>
      </c>
      <c r="G77">
        <v>9.9620504379272461</v>
      </c>
      <c r="H77">
        <v>9.7499179840087891</v>
      </c>
      <c r="I77">
        <v>0.30000060796737671</v>
      </c>
      <c r="J77">
        <v>41426856</v>
      </c>
      <c r="K77">
        <v>47814584</v>
      </c>
      <c r="L77">
        <v>9033614</v>
      </c>
      <c r="M77" t="b">
        <v>0</v>
      </c>
      <c r="N77">
        <v>1</v>
      </c>
      <c r="O77" t="b">
        <v>0</v>
      </c>
      <c r="P77">
        <v>1</v>
      </c>
      <c r="Q77">
        <v>4</v>
      </c>
      <c r="R77">
        <v>81.695999145507812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</row>
    <row r="78" spans="1:23">
      <c r="A78" t="s">
        <v>137</v>
      </c>
      <c r="B78" t="s">
        <v>214</v>
      </c>
      <c r="C78" t="s">
        <v>184</v>
      </c>
      <c r="D78" t="s">
        <v>33</v>
      </c>
      <c r="E78" t="s">
        <v>27</v>
      </c>
      <c r="F78" t="s">
        <v>28</v>
      </c>
      <c r="G78">
        <v>9.537785530090332</v>
      </c>
      <c r="H78">
        <v>9.7499179840087891</v>
      </c>
      <c r="I78">
        <v>0.30000060796737671</v>
      </c>
      <c r="J78">
        <v>54202316</v>
      </c>
      <c r="K78">
        <v>47814584</v>
      </c>
      <c r="L78">
        <v>9033614</v>
      </c>
      <c r="M78" t="b">
        <v>0</v>
      </c>
      <c r="N78">
        <v>1</v>
      </c>
      <c r="O78" t="b">
        <v>0</v>
      </c>
      <c r="P78">
        <v>1</v>
      </c>
      <c r="Q78">
        <v>4</v>
      </c>
      <c r="R78">
        <v>81.695999145507812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</row>
    <row r="79" spans="1:23">
      <c r="A79" t="s">
        <v>138</v>
      </c>
      <c r="B79" t="s">
        <v>215</v>
      </c>
      <c r="C79" t="s">
        <v>184</v>
      </c>
      <c r="D79" t="s">
        <v>33</v>
      </c>
      <c r="E79" t="s">
        <v>27</v>
      </c>
      <c r="F79" t="s">
        <v>28</v>
      </c>
      <c r="G79">
        <v>11.175693511962891</v>
      </c>
      <c r="H79">
        <v>11.140304565429688</v>
      </c>
      <c r="I79">
        <v>5.0047527998685837E-2</v>
      </c>
      <c r="J79">
        <v>19202148</v>
      </c>
      <c r="K79">
        <v>19642472</v>
      </c>
      <c r="L79">
        <v>622713.5625</v>
      </c>
      <c r="M79" t="b">
        <v>0</v>
      </c>
      <c r="N79">
        <v>1</v>
      </c>
      <c r="O79" t="b">
        <v>0</v>
      </c>
      <c r="P79">
        <v>1</v>
      </c>
      <c r="Q79">
        <v>6</v>
      </c>
      <c r="R79">
        <v>81.1199951171875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</row>
    <row r="80" spans="1:23">
      <c r="A80" t="s">
        <v>140</v>
      </c>
      <c r="B80" t="s">
        <v>215</v>
      </c>
      <c r="C80" t="s">
        <v>184</v>
      </c>
      <c r="D80" t="s">
        <v>33</v>
      </c>
      <c r="E80" t="s">
        <v>27</v>
      </c>
      <c r="F80" t="s">
        <v>28</v>
      </c>
      <c r="G80">
        <v>11.104915618896484</v>
      </c>
      <c r="H80">
        <v>11.140304565429688</v>
      </c>
      <c r="I80">
        <v>5.0047527998685837E-2</v>
      </c>
      <c r="J80">
        <v>20082798</v>
      </c>
      <c r="K80">
        <v>19642472</v>
      </c>
      <c r="L80">
        <v>622713.5625</v>
      </c>
      <c r="M80" t="b">
        <v>0</v>
      </c>
      <c r="N80">
        <v>1</v>
      </c>
      <c r="O80" t="b">
        <v>0</v>
      </c>
      <c r="P80">
        <v>1</v>
      </c>
      <c r="Q80">
        <v>6</v>
      </c>
      <c r="R80">
        <v>81.1199951171875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</row>
    <row r="81" spans="1:23">
      <c r="A81" t="s">
        <v>141</v>
      </c>
      <c r="B81" t="s">
        <v>216</v>
      </c>
      <c r="C81" t="s">
        <v>184</v>
      </c>
      <c r="D81" t="s">
        <v>33</v>
      </c>
      <c r="E81" t="s">
        <v>27</v>
      </c>
      <c r="F81" t="s">
        <v>28</v>
      </c>
      <c r="G81">
        <v>9.1608953475952148</v>
      </c>
      <c r="H81">
        <v>9.3844070434570312</v>
      </c>
      <c r="I81">
        <v>0.31609395146369934</v>
      </c>
      <c r="J81">
        <v>68820632</v>
      </c>
      <c r="K81">
        <v>60333632</v>
      </c>
      <c r="L81">
        <v>12002431</v>
      </c>
      <c r="M81" t="b">
        <v>0</v>
      </c>
      <c r="N81">
        <v>1</v>
      </c>
      <c r="O81" t="b">
        <v>0</v>
      </c>
      <c r="P81">
        <v>1</v>
      </c>
      <c r="Q81">
        <v>4</v>
      </c>
      <c r="R81">
        <v>81.311996459960938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</row>
    <row r="82" spans="1:23">
      <c r="A82" t="s">
        <v>143</v>
      </c>
      <c r="B82" t="s">
        <v>216</v>
      </c>
      <c r="C82" t="s">
        <v>184</v>
      </c>
      <c r="D82" t="s">
        <v>33</v>
      </c>
      <c r="E82" t="s">
        <v>27</v>
      </c>
      <c r="F82" t="s">
        <v>28</v>
      </c>
      <c r="G82">
        <v>9.6079196929931641</v>
      </c>
      <c r="H82">
        <v>9.3844070434570312</v>
      </c>
      <c r="I82">
        <v>0.31609395146369934</v>
      </c>
      <c r="J82">
        <v>51846632</v>
      </c>
      <c r="K82">
        <v>60333632</v>
      </c>
      <c r="L82">
        <v>12002431</v>
      </c>
      <c r="M82" t="b">
        <v>0</v>
      </c>
      <c r="N82">
        <v>1</v>
      </c>
      <c r="O82" t="b">
        <v>0</v>
      </c>
      <c r="P82">
        <v>1</v>
      </c>
      <c r="Q82">
        <v>4</v>
      </c>
      <c r="R82">
        <v>81.1199951171875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</row>
    <row r="83" spans="1:23">
      <c r="A83" t="s">
        <v>144</v>
      </c>
      <c r="B83" t="s">
        <v>217</v>
      </c>
      <c r="C83" t="s">
        <v>184</v>
      </c>
      <c r="D83" t="s">
        <v>33</v>
      </c>
      <c r="E83" t="s">
        <v>27</v>
      </c>
      <c r="F83" t="s">
        <v>28</v>
      </c>
      <c r="G83">
        <v>17.169582366943359</v>
      </c>
      <c r="H83">
        <v>17.597082138061523</v>
      </c>
      <c r="I83">
        <v>0.6045759916305542</v>
      </c>
      <c r="J83">
        <v>430665.21875</v>
      </c>
      <c r="K83">
        <v>340605.71875</v>
      </c>
      <c r="L83">
        <v>127363.3515625</v>
      </c>
      <c r="M83" t="b">
        <v>0</v>
      </c>
      <c r="N83">
        <v>1</v>
      </c>
      <c r="O83" t="b">
        <v>1</v>
      </c>
      <c r="P83">
        <v>3</v>
      </c>
      <c r="Q83">
        <v>10</v>
      </c>
      <c r="R83">
        <v>80.160003662109375</v>
      </c>
      <c r="S83" t="s">
        <v>24</v>
      </c>
      <c r="T83" t="s">
        <v>24</v>
      </c>
      <c r="U83" t="s">
        <v>24</v>
      </c>
      <c r="V83" t="s">
        <v>114</v>
      </c>
      <c r="W83" t="s">
        <v>29</v>
      </c>
    </row>
    <row r="84" spans="1:23">
      <c r="A84" t="s">
        <v>146</v>
      </c>
      <c r="B84" t="s">
        <v>217</v>
      </c>
      <c r="C84" t="s">
        <v>184</v>
      </c>
      <c r="D84" t="s">
        <v>33</v>
      </c>
      <c r="E84" t="s">
        <v>27</v>
      </c>
      <c r="F84" t="s">
        <v>28</v>
      </c>
      <c r="G84">
        <v>18.024581909179688</v>
      </c>
      <c r="H84">
        <v>17.597082138061523</v>
      </c>
      <c r="I84">
        <v>0.6045759916305542</v>
      </c>
      <c r="J84">
        <v>250546.234375</v>
      </c>
      <c r="K84">
        <v>340605.71875</v>
      </c>
      <c r="L84">
        <v>127363.3515625</v>
      </c>
      <c r="M84" t="b">
        <v>0</v>
      </c>
      <c r="N84">
        <v>1</v>
      </c>
      <c r="O84" t="b">
        <v>1</v>
      </c>
      <c r="P84">
        <v>3</v>
      </c>
      <c r="Q84">
        <v>10</v>
      </c>
      <c r="R84">
        <v>79.968002319335938</v>
      </c>
      <c r="S84" t="s">
        <v>24</v>
      </c>
      <c r="T84" t="s">
        <v>24</v>
      </c>
      <c r="U84" t="s">
        <v>24</v>
      </c>
      <c r="V84" t="s">
        <v>114</v>
      </c>
      <c r="W84" t="s">
        <v>29</v>
      </c>
    </row>
    <row r="85" spans="1:23">
      <c r="A85" t="s">
        <v>147</v>
      </c>
      <c r="B85" t="s">
        <v>193</v>
      </c>
      <c r="C85" t="s">
        <v>184</v>
      </c>
      <c r="D85" t="s">
        <v>33</v>
      </c>
      <c r="E85" t="s">
        <v>27</v>
      </c>
      <c r="F85" t="s">
        <v>28</v>
      </c>
      <c r="G85">
        <v>27.543981552124023</v>
      </c>
      <c r="H85">
        <v>28.009042739868164</v>
      </c>
      <c r="I85">
        <v>1.598393440246582</v>
      </c>
      <c r="J85">
        <v>602.058349609375</v>
      </c>
      <c r="K85">
        <v>649.01788330078125</v>
      </c>
      <c r="L85">
        <v>543.2738037109375</v>
      </c>
      <c r="M85" t="b">
        <v>0</v>
      </c>
      <c r="N85">
        <v>1</v>
      </c>
      <c r="O85" t="b">
        <v>1</v>
      </c>
      <c r="P85">
        <v>3</v>
      </c>
      <c r="Q85">
        <v>19</v>
      </c>
      <c r="R85">
        <v>80.351997375488281</v>
      </c>
      <c r="S85" t="s">
        <v>24</v>
      </c>
      <c r="T85" t="s">
        <v>24</v>
      </c>
      <c r="U85" t="s">
        <v>24</v>
      </c>
      <c r="V85" t="s">
        <v>114</v>
      </c>
      <c r="W85" t="s">
        <v>29</v>
      </c>
    </row>
    <row r="86" spans="1:23">
      <c r="A86" t="s">
        <v>149</v>
      </c>
      <c r="B86" t="s">
        <v>193</v>
      </c>
      <c r="C86" t="s">
        <v>184</v>
      </c>
      <c r="D86" t="s">
        <v>33</v>
      </c>
      <c r="E86" t="s">
        <v>27</v>
      </c>
      <c r="F86" t="s">
        <v>28</v>
      </c>
      <c r="G86">
        <v>28.022502899169922</v>
      </c>
      <c r="H86">
        <v>28.009042739868164</v>
      </c>
      <c r="I86">
        <v>1.598393440246582</v>
      </c>
      <c r="J86">
        <v>444.60476684570312</v>
      </c>
      <c r="K86">
        <v>649.01788330078125</v>
      </c>
      <c r="L86">
        <v>543.2738037109375</v>
      </c>
      <c r="M86" t="b">
        <v>0</v>
      </c>
      <c r="N86">
        <v>1</v>
      </c>
      <c r="O86" t="b">
        <v>1</v>
      </c>
      <c r="P86">
        <v>3</v>
      </c>
      <c r="Q86">
        <v>19</v>
      </c>
      <c r="R86">
        <v>80.351997375488281</v>
      </c>
      <c r="S86" t="s">
        <v>24</v>
      </c>
      <c r="T86" t="s">
        <v>24</v>
      </c>
      <c r="U86" t="s">
        <v>24</v>
      </c>
      <c r="V86" t="s">
        <v>114</v>
      </c>
      <c r="W86" t="s">
        <v>29</v>
      </c>
    </row>
    <row r="87" spans="1:23">
      <c r="A87" t="s">
        <v>150</v>
      </c>
      <c r="B87" t="s">
        <v>24</v>
      </c>
      <c r="C87" t="s">
        <v>184</v>
      </c>
      <c r="D87" t="s">
        <v>151</v>
      </c>
      <c r="E87" t="s">
        <v>27</v>
      </c>
      <c r="F87" t="s">
        <v>28</v>
      </c>
      <c r="G87" t="s">
        <v>179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b">
        <v>0</v>
      </c>
      <c r="N87">
        <v>1</v>
      </c>
      <c r="O87" t="b">
        <v>1</v>
      </c>
      <c r="P87">
        <v>3</v>
      </c>
      <c r="Q87">
        <v>42</v>
      </c>
      <c r="R87">
        <v>61.920001983642578</v>
      </c>
      <c r="S87">
        <v>77.472000122070312</v>
      </c>
      <c r="T87" t="s">
        <v>24</v>
      </c>
      <c r="U87" t="s">
        <v>24</v>
      </c>
      <c r="V87" t="s">
        <v>29</v>
      </c>
      <c r="W87" t="s">
        <v>114</v>
      </c>
    </row>
    <row r="88" spans="1:23">
      <c r="A88" t="s">
        <v>152</v>
      </c>
      <c r="B88" t="s">
        <v>24</v>
      </c>
      <c r="C88" t="s">
        <v>184</v>
      </c>
      <c r="D88" t="s">
        <v>151</v>
      </c>
      <c r="E88" t="s">
        <v>27</v>
      </c>
      <c r="F88" t="s">
        <v>28</v>
      </c>
      <c r="G88" t="s">
        <v>179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b">
        <v>0</v>
      </c>
      <c r="N88">
        <v>1</v>
      </c>
      <c r="O88" t="b">
        <v>1</v>
      </c>
      <c r="P88">
        <v>3</v>
      </c>
      <c r="Q88">
        <v>33</v>
      </c>
      <c r="R88">
        <v>61.920001983642578</v>
      </c>
      <c r="S88" t="s">
        <v>24</v>
      </c>
      <c r="T88" t="s">
        <v>24</v>
      </c>
      <c r="U88" t="s">
        <v>24</v>
      </c>
      <c r="V88" t="s">
        <v>29</v>
      </c>
      <c r="W88" t="s">
        <v>29</v>
      </c>
    </row>
    <row r="89" spans="1:23">
      <c r="A89" t="s">
        <v>153</v>
      </c>
      <c r="B89" t="s">
        <v>218</v>
      </c>
      <c r="C89" t="s">
        <v>184</v>
      </c>
      <c r="D89" t="s">
        <v>33</v>
      </c>
      <c r="E89" t="s">
        <v>27</v>
      </c>
      <c r="F89" t="s">
        <v>28</v>
      </c>
      <c r="G89">
        <v>9.1189050674438477</v>
      </c>
      <c r="H89">
        <v>9.1387462615966797</v>
      </c>
      <c r="I89">
        <v>2.8059011325240135E-2</v>
      </c>
      <c r="J89">
        <v>70676040</v>
      </c>
      <c r="K89">
        <v>69798704</v>
      </c>
      <c r="L89">
        <v>1240734.875</v>
      </c>
      <c r="M89" t="b">
        <v>0</v>
      </c>
      <c r="N89">
        <v>1</v>
      </c>
      <c r="O89" t="b">
        <v>0</v>
      </c>
      <c r="P89">
        <v>1</v>
      </c>
      <c r="Q89">
        <v>4</v>
      </c>
      <c r="R89">
        <v>81.311996459960938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</row>
    <row r="90" spans="1:23">
      <c r="A90" t="s">
        <v>155</v>
      </c>
      <c r="B90" t="s">
        <v>218</v>
      </c>
      <c r="C90" t="s">
        <v>184</v>
      </c>
      <c r="D90" t="s">
        <v>33</v>
      </c>
      <c r="E90" t="s">
        <v>27</v>
      </c>
      <c r="F90" t="s">
        <v>28</v>
      </c>
      <c r="G90">
        <v>9.1585865020751953</v>
      </c>
      <c r="H90">
        <v>9.1387462615966797</v>
      </c>
      <c r="I90">
        <v>2.8059011325240135E-2</v>
      </c>
      <c r="J90">
        <v>68921376</v>
      </c>
      <c r="K90">
        <v>69798704</v>
      </c>
      <c r="L90">
        <v>1240734.875</v>
      </c>
      <c r="M90" t="b">
        <v>0</v>
      </c>
      <c r="N90">
        <v>1</v>
      </c>
      <c r="O90" t="b">
        <v>0</v>
      </c>
      <c r="P90">
        <v>1</v>
      </c>
      <c r="Q90">
        <v>4</v>
      </c>
      <c r="R90">
        <v>81.311996459960938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</row>
    <row r="91" spans="1:23">
      <c r="A91" t="s">
        <v>156</v>
      </c>
      <c r="B91" t="s">
        <v>219</v>
      </c>
      <c r="C91" t="s">
        <v>184</v>
      </c>
      <c r="D91" t="s">
        <v>33</v>
      </c>
      <c r="E91" t="s">
        <v>27</v>
      </c>
      <c r="F91" t="s">
        <v>28</v>
      </c>
      <c r="G91">
        <v>9.5331315994262695</v>
      </c>
      <c r="H91">
        <v>9.8589591979980469</v>
      </c>
      <c r="I91">
        <v>0.46078914403915405</v>
      </c>
      <c r="J91">
        <v>54362368</v>
      </c>
      <c r="K91">
        <v>45168512</v>
      </c>
      <c r="L91">
        <v>13002076</v>
      </c>
      <c r="M91" t="b">
        <v>0</v>
      </c>
      <c r="N91">
        <v>1</v>
      </c>
      <c r="O91" t="b">
        <v>0</v>
      </c>
      <c r="P91">
        <v>1</v>
      </c>
      <c r="Q91">
        <v>4</v>
      </c>
      <c r="R91">
        <v>80.736000061035156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</row>
    <row r="92" spans="1:23">
      <c r="A92" t="s">
        <v>158</v>
      </c>
      <c r="B92" t="s">
        <v>219</v>
      </c>
      <c r="C92" t="s">
        <v>184</v>
      </c>
      <c r="D92" t="s">
        <v>33</v>
      </c>
      <c r="E92" t="s">
        <v>27</v>
      </c>
      <c r="F92" t="s">
        <v>28</v>
      </c>
      <c r="G92">
        <v>10.184785842895508</v>
      </c>
      <c r="H92">
        <v>9.8589591979980469</v>
      </c>
      <c r="I92">
        <v>0.46078914403915405</v>
      </c>
      <c r="J92">
        <v>35974656</v>
      </c>
      <c r="K92">
        <v>45168512</v>
      </c>
      <c r="L92">
        <v>13002076</v>
      </c>
      <c r="M92" t="b">
        <v>0</v>
      </c>
      <c r="N92">
        <v>1</v>
      </c>
      <c r="O92" t="b">
        <v>0</v>
      </c>
      <c r="P92">
        <v>1</v>
      </c>
      <c r="Q92">
        <v>4</v>
      </c>
      <c r="R92">
        <v>80.736000061035156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</row>
    <row r="93" spans="1:23">
      <c r="A93" t="s">
        <v>159</v>
      </c>
      <c r="B93" t="s">
        <v>220</v>
      </c>
      <c r="C93" t="s">
        <v>184</v>
      </c>
      <c r="D93" t="s">
        <v>33</v>
      </c>
      <c r="E93" t="s">
        <v>27</v>
      </c>
      <c r="F93" t="s">
        <v>28</v>
      </c>
      <c r="G93">
        <v>9.567561149597168</v>
      </c>
      <c r="H93">
        <v>9.7268486022949219</v>
      </c>
      <c r="I93">
        <v>0.22526715695858002</v>
      </c>
      <c r="J93">
        <v>53189404</v>
      </c>
      <c r="K93">
        <v>48328688</v>
      </c>
      <c r="L93">
        <v>6874087.5</v>
      </c>
      <c r="M93" t="b">
        <v>0</v>
      </c>
      <c r="N93">
        <v>1</v>
      </c>
      <c r="O93" t="b">
        <v>0</v>
      </c>
      <c r="P93">
        <v>1</v>
      </c>
      <c r="Q93">
        <v>4</v>
      </c>
      <c r="R93">
        <v>81.311996459960938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</row>
    <row r="94" spans="1:23">
      <c r="A94" t="s">
        <v>161</v>
      </c>
      <c r="B94" t="s">
        <v>220</v>
      </c>
      <c r="C94" t="s">
        <v>184</v>
      </c>
      <c r="D94" t="s">
        <v>33</v>
      </c>
      <c r="E94" t="s">
        <v>27</v>
      </c>
      <c r="F94" t="s">
        <v>28</v>
      </c>
      <c r="G94">
        <v>9.8861370086669922</v>
      </c>
      <c r="H94">
        <v>9.7268486022949219</v>
      </c>
      <c r="I94">
        <v>0.22526715695858002</v>
      </c>
      <c r="J94">
        <v>43467976</v>
      </c>
      <c r="K94">
        <v>48328688</v>
      </c>
      <c r="L94">
        <v>6874087.5</v>
      </c>
      <c r="M94" t="b">
        <v>0</v>
      </c>
      <c r="N94">
        <v>1</v>
      </c>
      <c r="O94" t="b">
        <v>0</v>
      </c>
      <c r="P94">
        <v>1</v>
      </c>
      <c r="Q94">
        <v>4</v>
      </c>
      <c r="R94">
        <v>81.311996459960938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</row>
    <row r="95" spans="1:23">
      <c r="A95" t="s">
        <v>162</v>
      </c>
      <c r="B95" t="s">
        <v>221</v>
      </c>
      <c r="C95" t="s">
        <v>184</v>
      </c>
      <c r="D95" t="s">
        <v>33</v>
      </c>
      <c r="E95" t="s">
        <v>27</v>
      </c>
      <c r="F95" t="s">
        <v>28</v>
      </c>
      <c r="G95">
        <v>17.156112670898438</v>
      </c>
      <c r="H95">
        <v>17.449190139770508</v>
      </c>
      <c r="I95">
        <v>0.41447412967681885</v>
      </c>
      <c r="J95">
        <v>434356.125</v>
      </c>
      <c r="K95">
        <v>366986.5</v>
      </c>
      <c r="L95">
        <v>95275.0390625</v>
      </c>
      <c r="M95" t="b">
        <v>0</v>
      </c>
      <c r="N95">
        <v>1</v>
      </c>
      <c r="O95" t="b">
        <v>1</v>
      </c>
      <c r="P95">
        <v>3</v>
      </c>
      <c r="Q95">
        <v>10</v>
      </c>
      <c r="R95">
        <v>79.7760009765625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</row>
    <row r="96" spans="1:23">
      <c r="A96" t="s">
        <v>164</v>
      </c>
      <c r="B96" t="s">
        <v>221</v>
      </c>
      <c r="C96" t="s">
        <v>184</v>
      </c>
      <c r="D96" t="s">
        <v>33</v>
      </c>
      <c r="E96" t="s">
        <v>27</v>
      </c>
      <c r="F96" t="s">
        <v>28</v>
      </c>
      <c r="G96">
        <v>17.742267608642578</v>
      </c>
      <c r="H96">
        <v>17.449190139770508</v>
      </c>
      <c r="I96">
        <v>0.41447412967681885</v>
      </c>
      <c r="J96">
        <v>299616.875</v>
      </c>
      <c r="K96">
        <v>366986.5</v>
      </c>
      <c r="L96">
        <v>95275.0390625</v>
      </c>
      <c r="M96" t="b">
        <v>0</v>
      </c>
      <c r="N96">
        <v>1</v>
      </c>
      <c r="O96" t="b">
        <v>1</v>
      </c>
      <c r="P96">
        <v>3</v>
      </c>
      <c r="Q96">
        <v>11</v>
      </c>
      <c r="R96">
        <v>79.583999633789062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</row>
    <row r="97" spans="1:23">
      <c r="A97" t="s">
        <v>165</v>
      </c>
      <c r="B97" t="s">
        <v>24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</row>
    <row r="98" spans="1:23">
      <c r="A98" t="s">
        <v>167</v>
      </c>
      <c r="B98" t="s">
        <v>24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98"/>
  <sheetViews>
    <sheetView topLeftCell="A61" workbookViewId="0">
      <selection activeCell="A3" sqref="A3:K96"/>
    </sheetView>
  </sheetViews>
  <sheetFormatPr baseColWidth="10" defaultRowHeight="15"/>
  <sheetData>
    <row r="1" spans="1:23">
      <c r="A1" t="s">
        <v>222</v>
      </c>
      <c r="B1" t="s">
        <v>269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169</v>
      </c>
    </row>
    <row r="3" spans="1:23">
      <c r="A3" t="s">
        <v>23</v>
      </c>
      <c r="B3" t="s">
        <v>24</v>
      </c>
      <c r="C3" t="s">
        <v>270</v>
      </c>
      <c r="D3" t="s">
        <v>26</v>
      </c>
      <c r="E3" t="s">
        <v>27</v>
      </c>
      <c r="F3" t="s">
        <v>28</v>
      </c>
      <c r="G3">
        <v>14.007902145385742</v>
      </c>
      <c r="H3">
        <v>13.845479011535645</v>
      </c>
      <c r="I3">
        <v>0.22970099747180939</v>
      </c>
      <c r="J3">
        <v>10000000</v>
      </c>
      <c r="K3" t="s">
        <v>24</v>
      </c>
      <c r="L3" t="s">
        <v>24</v>
      </c>
      <c r="M3" t="b">
        <v>0</v>
      </c>
      <c r="N3">
        <v>0.5</v>
      </c>
      <c r="O3" t="b">
        <v>0</v>
      </c>
      <c r="P3">
        <v>3</v>
      </c>
      <c r="Q3">
        <v>8</v>
      </c>
      <c r="R3">
        <v>81.008773803710938</v>
      </c>
      <c r="S3" t="s">
        <v>24</v>
      </c>
      <c r="T3" t="s">
        <v>24</v>
      </c>
      <c r="U3" t="s">
        <v>24</v>
      </c>
      <c r="V3" t="s">
        <v>29</v>
      </c>
      <c r="W3" t="s">
        <v>29</v>
      </c>
    </row>
    <row r="4" spans="1:23">
      <c r="A4" t="s">
        <v>30</v>
      </c>
      <c r="B4" t="s">
        <v>24</v>
      </c>
      <c r="C4" t="s">
        <v>270</v>
      </c>
      <c r="D4" t="s">
        <v>26</v>
      </c>
      <c r="E4" t="s">
        <v>27</v>
      </c>
      <c r="F4" t="s">
        <v>28</v>
      </c>
      <c r="G4">
        <v>13.683055877685547</v>
      </c>
      <c r="H4">
        <v>13.845479011535645</v>
      </c>
      <c r="I4">
        <v>0.22970099747180939</v>
      </c>
      <c r="J4">
        <v>10000000</v>
      </c>
      <c r="K4" t="s">
        <v>24</v>
      </c>
      <c r="L4" t="s">
        <v>24</v>
      </c>
      <c r="M4" t="b">
        <v>0</v>
      </c>
      <c r="N4">
        <v>0.5</v>
      </c>
      <c r="O4" t="b">
        <v>0</v>
      </c>
      <c r="P4">
        <v>3</v>
      </c>
      <c r="Q4">
        <v>8</v>
      </c>
      <c r="R4">
        <v>80.813453674316406</v>
      </c>
      <c r="S4" t="s">
        <v>24</v>
      </c>
      <c r="T4" t="s">
        <v>24</v>
      </c>
      <c r="U4" t="s">
        <v>24</v>
      </c>
      <c r="V4" t="s">
        <v>29</v>
      </c>
      <c r="W4" t="s">
        <v>29</v>
      </c>
    </row>
    <row r="5" spans="1:23">
      <c r="A5" t="s">
        <v>31</v>
      </c>
      <c r="B5" t="s">
        <v>233</v>
      </c>
      <c r="C5" t="s">
        <v>270</v>
      </c>
      <c r="D5" t="s">
        <v>33</v>
      </c>
      <c r="E5" t="s">
        <v>27</v>
      </c>
      <c r="F5" t="s">
        <v>28</v>
      </c>
      <c r="G5">
        <v>27.356685638427734</v>
      </c>
      <c r="H5">
        <v>27.205799102783203</v>
      </c>
      <c r="I5">
        <v>0.21338579058647156</v>
      </c>
      <c r="J5">
        <v>2102.728759765625</v>
      </c>
      <c r="K5">
        <v>2311.05029296875</v>
      </c>
      <c r="L5">
        <v>294.61129760742188</v>
      </c>
      <c r="M5" t="b">
        <v>0</v>
      </c>
      <c r="N5">
        <v>0.5</v>
      </c>
      <c r="O5" t="b">
        <v>0</v>
      </c>
      <c r="P5">
        <v>3</v>
      </c>
      <c r="Q5">
        <v>21</v>
      </c>
      <c r="R5">
        <v>80.618133544921875</v>
      </c>
      <c r="S5" t="s">
        <v>24</v>
      </c>
      <c r="T5" t="s">
        <v>24</v>
      </c>
      <c r="U5" t="s">
        <v>24</v>
      </c>
      <c r="V5" t="s">
        <v>29</v>
      </c>
      <c r="W5" t="s">
        <v>29</v>
      </c>
    </row>
    <row r="6" spans="1:23">
      <c r="A6" t="s">
        <v>34</v>
      </c>
      <c r="B6" t="s">
        <v>233</v>
      </c>
      <c r="C6" t="s">
        <v>270</v>
      </c>
      <c r="D6" t="s">
        <v>33</v>
      </c>
      <c r="E6" t="s">
        <v>27</v>
      </c>
      <c r="F6" t="s">
        <v>28</v>
      </c>
      <c r="G6">
        <v>27.054912567138672</v>
      </c>
      <c r="H6">
        <v>27.205799102783203</v>
      </c>
      <c r="I6">
        <v>0.21338579058647156</v>
      </c>
      <c r="J6">
        <v>2519.3720703125</v>
      </c>
      <c r="K6">
        <v>2311.05029296875</v>
      </c>
      <c r="L6">
        <v>294.61129760742188</v>
      </c>
      <c r="M6" t="b">
        <v>0</v>
      </c>
      <c r="N6">
        <v>0.5</v>
      </c>
      <c r="O6" t="b">
        <v>0</v>
      </c>
      <c r="P6">
        <v>3</v>
      </c>
      <c r="Q6">
        <v>21</v>
      </c>
      <c r="R6">
        <v>80.618133544921875</v>
      </c>
      <c r="S6" t="s">
        <v>24</v>
      </c>
      <c r="T6" t="s">
        <v>24</v>
      </c>
      <c r="U6" t="s">
        <v>24</v>
      </c>
      <c r="V6" t="s">
        <v>29</v>
      </c>
      <c r="W6" t="s">
        <v>29</v>
      </c>
    </row>
    <row r="7" spans="1:23">
      <c r="A7" t="s">
        <v>35</v>
      </c>
      <c r="B7" t="s">
        <v>234</v>
      </c>
      <c r="C7" t="s">
        <v>270</v>
      </c>
      <c r="D7" t="s">
        <v>33</v>
      </c>
      <c r="E7" t="s">
        <v>27</v>
      </c>
      <c r="F7" t="s">
        <v>28</v>
      </c>
      <c r="G7">
        <v>21.335931777954102</v>
      </c>
      <c r="H7">
        <v>21.3912353515625</v>
      </c>
      <c r="I7">
        <v>7.8209713101387024E-2</v>
      </c>
      <c r="J7">
        <v>77470.7734375</v>
      </c>
      <c r="K7">
        <v>74987.46875</v>
      </c>
      <c r="L7">
        <v>3511.9287109375</v>
      </c>
      <c r="M7" t="b">
        <v>0</v>
      </c>
      <c r="N7">
        <v>0.5</v>
      </c>
      <c r="O7" t="b">
        <v>0</v>
      </c>
      <c r="P7">
        <v>3</v>
      </c>
      <c r="Q7">
        <v>14</v>
      </c>
      <c r="R7">
        <v>80.618133544921875</v>
      </c>
      <c r="S7" t="s">
        <v>24</v>
      </c>
      <c r="T7" t="s">
        <v>24</v>
      </c>
      <c r="U7" t="s">
        <v>24</v>
      </c>
      <c r="V7" t="s">
        <v>29</v>
      </c>
      <c r="W7" t="s">
        <v>29</v>
      </c>
    </row>
    <row r="8" spans="1:23">
      <c r="A8" t="s">
        <v>37</v>
      </c>
      <c r="B8" t="s">
        <v>234</v>
      </c>
      <c r="C8" t="s">
        <v>270</v>
      </c>
      <c r="D8" t="s">
        <v>33</v>
      </c>
      <c r="E8" t="s">
        <v>27</v>
      </c>
      <c r="F8" t="s">
        <v>28</v>
      </c>
      <c r="G8">
        <v>21.446537017822266</v>
      </c>
      <c r="H8">
        <v>21.3912353515625</v>
      </c>
      <c r="I8">
        <v>7.8209713101387024E-2</v>
      </c>
      <c r="J8">
        <v>72504.15625</v>
      </c>
      <c r="K8">
        <v>74987.46875</v>
      </c>
      <c r="L8">
        <v>3511.9287109375</v>
      </c>
      <c r="M8" t="b">
        <v>0</v>
      </c>
      <c r="N8">
        <v>0.5</v>
      </c>
      <c r="O8" t="b">
        <v>0</v>
      </c>
      <c r="P8">
        <v>3</v>
      </c>
      <c r="Q8">
        <v>14</v>
      </c>
      <c r="R8">
        <v>80.618133544921875</v>
      </c>
      <c r="S8" t="s">
        <v>24</v>
      </c>
      <c r="T8" t="s">
        <v>24</v>
      </c>
      <c r="U8" t="s">
        <v>24</v>
      </c>
      <c r="V8" t="s">
        <v>29</v>
      </c>
      <c r="W8" t="s">
        <v>29</v>
      </c>
    </row>
    <row r="9" spans="1:23">
      <c r="A9" t="s">
        <v>38</v>
      </c>
      <c r="B9" t="s">
        <v>235</v>
      </c>
      <c r="C9" t="s">
        <v>270</v>
      </c>
      <c r="D9" t="s">
        <v>33</v>
      </c>
      <c r="E9" t="s">
        <v>27</v>
      </c>
      <c r="F9" t="s">
        <v>28</v>
      </c>
      <c r="G9">
        <v>19.102533340454102</v>
      </c>
      <c r="H9">
        <v>19.550430297851562</v>
      </c>
      <c r="I9">
        <v>0.63342195749282837</v>
      </c>
      <c r="J9">
        <v>295241.28125</v>
      </c>
      <c r="K9">
        <v>233937.96875</v>
      </c>
      <c r="L9">
        <v>86695.96875</v>
      </c>
      <c r="M9" t="b">
        <v>0</v>
      </c>
      <c r="N9">
        <v>0.5</v>
      </c>
      <c r="O9" t="b">
        <v>0</v>
      </c>
      <c r="P9">
        <v>3</v>
      </c>
      <c r="Q9">
        <v>14</v>
      </c>
      <c r="R9">
        <v>80.618133544921875</v>
      </c>
      <c r="S9" t="s">
        <v>24</v>
      </c>
      <c r="T9" t="s">
        <v>24</v>
      </c>
      <c r="U9" t="s">
        <v>24</v>
      </c>
      <c r="V9" t="s">
        <v>29</v>
      </c>
      <c r="W9" t="s">
        <v>114</v>
      </c>
    </row>
    <row r="10" spans="1:23">
      <c r="A10" t="s">
        <v>40</v>
      </c>
      <c r="B10" t="s">
        <v>235</v>
      </c>
      <c r="C10" t="s">
        <v>270</v>
      </c>
      <c r="D10" t="s">
        <v>33</v>
      </c>
      <c r="E10" t="s">
        <v>27</v>
      </c>
      <c r="F10" t="s">
        <v>28</v>
      </c>
      <c r="G10">
        <v>19.998327255249023</v>
      </c>
      <c r="H10">
        <v>19.550430297851562</v>
      </c>
      <c r="I10">
        <v>0.63342195749282837</v>
      </c>
      <c r="J10">
        <v>172634.671875</v>
      </c>
      <c r="K10">
        <v>233937.96875</v>
      </c>
      <c r="L10">
        <v>86695.96875</v>
      </c>
      <c r="M10" t="b">
        <v>0</v>
      </c>
      <c r="N10">
        <v>0.5</v>
      </c>
      <c r="O10" t="b">
        <v>0</v>
      </c>
      <c r="P10">
        <v>3</v>
      </c>
      <c r="Q10">
        <v>14</v>
      </c>
      <c r="R10">
        <v>80.618133544921875</v>
      </c>
      <c r="S10" t="s">
        <v>24</v>
      </c>
      <c r="T10" t="s">
        <v>24</v>
      </c>
      <c r="U10" t="s">
        <v>24</v>
      </c>
      <c r="V10" t="s">
        <v>29</v>
      </c>
      <c r="W10" t="s">
        <v>114</v>
      </c>
    </row>
    <row r="11" spans="1:23">
      <c r="A11" t="s">
        <v>41</v>
      </c>
      <c r="B11" t="s">
        <v>236</v>
      </c>
      <c r="C11" t="s">
        <v>270</v>
      </c>
      <c r="D11" t="s">
        <v>33</v>
      </c>
      <c r="E11" t="s">
        <v>27</v>
      </c>
      <c r="F11" t="s">
        <v>28</v>
      </c>
      <c r="G11">
        <v>18.674037933349609</v>
      </c>
      <c r="H11">
        <v>18.639240264892578</v>
      </c>
      <c r="I11">
        <v>4.9209985882043839E-2</v>
      </c>
      <c r="J11">
        <v>381640.1875</v>
      </c>
      <c r="K11">
        <v>389763.46875</v>
      </c>
      <c r="L11">
        <v>11488.0546875</v>
      </c>
      <c r="M11" t="b">
        <v>0</v>
      </c>
      <c r="N11">
        <v>0.5</v>
      </c>
      <c r="O11" t="b">
        <v>0</v>
      </c>
      <c r="P11">
        <v>3</v>
      </c>
      <c r="Q11">
        <v>13</v>
      </c>
      <c r="R11">
        <v>80.422805786132812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</row>
    <row r="12" spans="1:23">
      <c r="A12" t="s">
        <v>43</v>
      </c>
      <c r="B12" t="s">
        <v>236</v>
      </c>
      <c r="C12" t="s">
        <v>270</v>
      </c>
      <c r="D12" t="s">
        <v>33</v>
      </c>
      <c r="E12" t="s">
        <v>27</v>
      </c>
      <c r="F12" t="s">
        <v>28</v>
      </c>
      <c r="G12">
        <v>18.60444450378418</v>
      </c>
      <c r="H12">
        <v>18.639240264892578</v>
      </c>
      <c r="I12">
        <v>4.9209985882043839E-2</v>
      </c>
      <c r="J12">
        <v>397886.75</v>
      </c>
      <c r="K12">
        <v>389763.46875</v>
      </c>
      <c r="L12">
        <v>11488.0546875</v>
      </c>
      <c r="M12" t="b">
        <v>0</v>
      </c>
      <c r="N12">
        <v>0.5</v>
      </c>
      <c r="O12" t="b">
        <v>0</v>
      </c>
      <c r="P12">
        <v>3</v>
      </c>
      <c r="Q12">
        <v>13</v>
      </c>
      <c r="R12">
        <v>80.422805786132812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</row>
    <row r="13" spans="1:23">
      <c r="A13" t="s">
        <v>44</v>
      </c>
      <c r="B13" t="s">
        <v>271</v>
      </c>
      <c r="C13" t="s">
        <v>270</v>
      </c>
      <c r="D13" t="s">
        <v>33</v>
      </c>
      <c r="E13" t="s">
        <v>27</v>
      </c>
      <c r="F13" t="s">
        <v>28</v>
      </c>
      <c r="G13">
        <v>20.222528457641602</v>
      </c>
      <c r="H13">
        <v>20.349563598632812</v>
      </c>
      <c r="I13">
        <v>0.17965616285800934</v>
      </c>
      <c r="J13">
        <v>150938.5</v>
      </c>
      <c r="K13">
        <v>140283.546875</v>
      </c>
      <c r="L13">
        <v>15068.37890625</v>
      </c>
      <c r="M13" t="b">
        <v>0</v>
      </c>
      <c r="N13">
        <v>0.5</v>
      </c>
      <c r="O13" t="b">
        <v>0</v>
      </c>
      <c r="P13">
        <v>3</v>
      </c>
      <c r="Q13">
        <v>13</v>
      </c>
      <c r="R13">
        <v>80.422805786132812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</row>
    <row r="14" spans="1:23">
      <c r="A14" t="s">
        <v>46</v>
      </c>
      <c r="B14" t="s">
        <v>271</v>
      </c>
      <c r="C14" t="s">
        <v>270</v>
      </c>
      <c r="D14" t="s">
        <v>33</v>
      </c>
      <c r="E14" t="s">
        <v>27</v>
      </c>
      <c r="F14" t="s">
        <v>28</v>
      </c>
      <c r="G14">
        <v>20.476600646972656</v>
      </c>
      <c r="H14">
        <v>20.349563598632812</v>
      </c>
      <c r="I14">
        <v>0.17965616285800934</v>
      </c>
      <c r="J14">
        <v>129628.59375</v>
      </c>
      <c r="K14">
        <v>140283.546875</v>
      </c>
      <c r="L14">
        <v>15068.37890625</v>
      </c>
      <c r="M14" t="b">
        <v>0</v>
      </c>
      <c r="N14">
        <v>0.5</v>
      </c>
      <c r="O14" t="b">
        <v>0</v>
      </c>
      <c r="P14">
        <v>3</v>
      </c>
      <c r="Q14">
        <v>13</v>
      </c>
      <c r="R14">
        <v>80.422805786132812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</row>
    <row r="15" spans="1:23">
      <c r="A15" t="s">
        <v>47</v>
      </c>
      <c r="B15" t="s">
        <v>24</v>
      </c>
      <c r="C15" t="s">
        <v>270</v>
      </c>
      <c r="D15" t="s">
        <v>26</v>
      </c>
      <c r="E15" t="s">
        <v>27</v>
      </c>
      <c r="F15" t="s">
        <v>28</v>
      </c>
      <c r="G15">
        <v>16.726837158203125</v>
      </c>
      <c r="H15">
        <v>16.643157958984375</v>
      </c>
      <c r="I15">
        <v>0.11834160983562469</v>
      </c>
      <c r="J15">
        <v>1000000</v>
      </c>
      <c r="K15" t="s">
        <v>24</v>
      </c>
      <c r="L15" t="s">
        <v>24</v>
      </c>
      <c r="M15" t="b">
        <v>0</v>
      </c>
      <c r="N15">
        <v>0.5</v>
      </c>
      <c r="O15" t="b">
        <v>0</v>
      </c>
      <c r="P15">
        <v>3</v>
      </c>
      <c r="Q15">
        <v>10</v>
      </c>
      <c r="R15">
        <v>80.813453674316406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</row>
    <row r="16" spans="1:23">
      <c r="A16" t="s">
        <v>48</v>
      </c>
      <c r="B16" t="s">
        <v>24</v>
      </c>
      <c r="C16" t="s">
        <v>270</v>
      </c>
      <c r="D16" t="s">
        <v>26</v>
      </c>
      <c r="E16" t="s">
        <v>27</v>
      </c>
      <c r="F16" t="s">
        <v>28</v>
      </c>
      <c r="G16">
        <v>16.559476852416992</v>
      </c>
      <c r="H16">
        <v>16.643157958984375</v>
      </c>
      <c r="I16">
        <v>0.11834160983562469</v>
      </c>
      <c r="J16">
        <v>1000000</v>
      </c>
      <c r="K16" t="s">
        <v>24</v>
      </c>
      <c r="L16" t="s">
        <v>24</v>
      </c>
      <c r="M16" t="b">
        <v>0</v>
      </c>
      <c r="N16">
        <v>0.5</v>
      </c>
      <c r="O16" t="b">
        <v>0</v>
      </c>
      <c r="P16">
        <v>3</v>
      </c>
      <c r="Q16">
        <v>10</v>
      </c>
      <c r="R16">
        <v>80.813453674316406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</row>
    <row r="17" spans="1:23">
      <c r="A17" t="s">
        <v>49</v>
      </c>
      <c r="B17" t="s">
        <v>238</v>
      </c>
      <c r="C17" t="s">
        <v>270</v>
      </c>
      <c r="D17" t="s">
        <v>33</v>
      </c>
      <c r="E17" t="s">
        <v>27</v>
      </c>
      <c r="F17" t="s">
        <v>28</v>
      </c>
      <c r="G17">
        <v>23.041879653930664</v>
      </c>
      <c r="H17">
        <v>23.182638168334961</v>
      </c>
      <c r="I17">
        <v>0.19906260073184967</v>
      </c>
      <c r="J17">
        <v>27881.736328125</v>
      </c>
      <c r="K17">
        <v>25718.30078125</v>
      </c>
      <c r="L17">
        <v>3059.561279296875</v>
      </c>
      <c r="M17" t="b">
        <v>0</v>
      </c>
      <c r="N17">
        <v>0.5</v>
      </c>
      <c r="O17" t="b">
        <v>0</v>
      </c>
      <c r="P17">
        <v>3</v>
      </c>
      <c r="Q17">
        <v>17</v>
      </c>
      <c r="R17">
        <v>80.813453674316406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</row>
    <row r="18" spans="1:23">
      <c r="A18" t="s">
        <v>51</v>
      </c>
      <c r="B18" t="s">
        <v>238</v>
      </c>
      <c r="C18" t="s">
        <v>270</v>
      </c>
      <c r="D18" t="s">
        <v>33</v>
      </c>
      <c r="E18" t="s">
        <v>27</v>
      </c>
      <c r="F18" t="s">
        <v>28</v>
      </c>
      <c r="G18">
        <v>23.323396682739258</v>
      </c>
      <c r="H18">
        <v>23.182638168334961</v>
      </c>
      <c r="I18">
        <v>0.19906260073184967</v>
      </c>
      <c r="J18">
        <v>23554.86328125</v>
      </c>
      <c r="K18">
        <v>25718.30078125</v>
      </c>
      <c r="L18">
        <v>3059.561279296875</v>
      </c>
      <c r="M18" t="b">
        <v>0</v>
      </c>
      <c r="N18">
        <v>0.5</v>
      </c>
      <c r="O18" t="b">
        <v>0</v>
      </c>
      <c r="P18">
        <v>3</v>
      </c>
      <c r="Q18">
        <v>17</v>
      </c>
      <c r="R18">
        <v>81.008773803710938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</row>
    <row r="19" spans="1:23">
      <c r="A19" t="s">
        <v>52</v>
      </c>
      <c r="B19" t="s">
        <v>239</v>
      </c>
      <c r="C19" t="s">
        <v>270</v>
      </c>
      <c r="D19" t="s">
        <v>33</v>
      </c>
      <c r="E19" t="s">
        <v>27</v>
      </c>
      <c r="F19" t="s">
        <v>28</v>
      </c>
      <c r="G19">
        <v>21.310020446777344</v>
      </c>
      <c r="H19">
        <v>21.431339263916016</v>
      </c>
      <c r="I19">
        <v>0.17156936228275299</v>
      </c>
      <c r="J19">
        <v>78682.6484375</v>
      </c>
      <c r="K19">
        <v>73360.59375</v>
      </c>
      <c r="L19">
        <v>7526.5166015625</v>
      </c>
      <c r="M19" t="b">
        <v>0</v>
      </c>
      <c r="N19">
        <v>0.5</v>
      </c>
      <c r="O19" t="b">
        <v>0</v>
      </c>
      <c r="P19">
        <v>3</v>
      </c>
      <c r="Q19">
        <v>14</v>
      </c>
      <c r="R19">
        <v>80.813453674316406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</row>
    <row r="20" spans="1:23">
      <c r="A20" t="s">
        <v>54</v>
      </c>
      <c r="B20" t="s">
        <v>239</v>
      </c>
      <c r="C20" t="s">
        <v>270</v>
      </c>
      <c r="D20" t="s">
        <v>33</v>
      </c>
      <c r="E20" t="s">
        <v>27</v>
      </c>
      <c r="F20" t="s">
        <v>28</v>
      </c>
      <c r="G20">
        <v>21.552656173706055</v>
      </c>
      <c r="H20">
        <v>21.431339263916016</v>
      </c>
      <c r="I20">
        <v>0.17156936228275299</v>
      </c>
      <c r="J20">
        <v>68038.546875</v>
      </c>
      <c r="K20">
        <v>73360.59375</v>
      </c>
      <c r="L20">
        <v>7526.5166015625</v>
      </c>
      <c r="M20" t="b">
        <v>0</v>
      </c>
      <c r="N20">
        <v>0.5</v>
      </c>
      <c r="O20" t="b">
        <v>0</v>
      </c>
      <c r="P20">
        <v>3</v>
      </c>
      <c r="Q20">
        <v>14</v>
      </c>
      <c r="R20">
        <v>80.813453674316406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</row>
    <row r="21" spans="1:23">
      <c r="A21" t="s">
        <v>55</v>
      </c>
      <c r="B21" t="s">
        <v>240</v>
      </c>
      <c r="C21" t="s">
        <v>270</v>
      </c>
      <c r="D21" t="s">
        <v>33</v>
      </c>
      <c r="E21" t="s">
        <v>27</v>
      </c>
      <c r="F21" t="s">
        <v>28</v>
      </c>
      <c r="G21">
        <v>19.711763381958008</v>
      </c>
      <c r="H21">
        <v>19.912485122680664</v>
      </c>
      <c r="I21">
        <v>0.28386339545249939</v>
      </c>
      <c r="J21">
        <v>204965.265625</v>
      </c>
      <c r="K21">
        <v>183059.625</v>
      </c>
      <c r="L21">
        <v>30979.25390625</v>
      </c>
      <c r="M21" t="b">
        <v>0</v>
      </c>
      <c r="N21">
        <v>0.5</v>
      </c>
      <c r="O21" t="b">
        <v>0</v>
      </c>
      <c r="P21">
        <v>3</v>
      </c>
      <c r="Q21">
        <v>14</v>
      </c>
      <c r="R21">
        <v>81.008773803710938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</row>
    <row r="22" spans="1:23">
      <c r="A22" t="s">
        <v>57</v>
      </c>
      <c r="B22" t="s">
        <v>240</v>
      </c>
      <c r="C22" t="s">
        <v>270</v>
      </c>
      <c r="D22" t="s">
        <v>33</v>
      </c>
      <c r="E22" t="s">
        <v>27</v>
      </c>
      <c r="F22" t="s">
        <v>28</v>
      </c>
      <c r="G22">
        <v>20.11320686340332</v>
      </c>
      <c r="H22">
        <v>19.912485122680664</v>
      </c>
      <c r="I22">
        <v>0.28386339545249939</v>
      </c>
      <c r="J22">
        <v>161153.984375</v>
      </c>
      <c r="K22">
        <v>183059.625</v>
      </c>
      <c r="L22">
        <v>30979.25390625</v>
      </c>
      <c r="M22" t="b">
        <v>0</v>
      </c>
      <c r="N22">
        <v>0.5</v>
      </c>
      <c r="O22" t="b">
        <v>0</v>
      </c>
      <c r="P22">
        <v>3</v>
      </c>
      <c r="Q22">
        <v>14</v>
      </c>
      <c r="R22">
        <v>80.813453674316406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</row>
    <row r="23" spans="1:23">
      <c r="A23" t="s">
        <v>58</v>
      </c>
      <c r="B23" t="s">
        <v>193</v>
      </c>
      <c r="C23" t="s">
        <v>270</v>
      </c>
      <c r="D23" t="s">
        <v>33</v>
      </c>
      <c r="E23" t="s">
        <v>27</v>
      </c>
      <c r="F23" t="s">
        <v>28</v>
      </c>
      <c r="G23">
        <v>26.194101333618164</v>
      </c>
      <c r="H23">
        <v>28.27381706237793</v>
      </c>
      <c r="I23">
        <v>1.8166998624801636</v>
      </c>
      <c r="J23">
        <v>4219.298828125</v>
      </c>
      <c r="K23">
        <v>1829.3154296875</v>
      </c>
      <c r="L23">
        <v>1539.4771728515625</v>
      </c>
      <c r="M23" t="b">
        <v>0</v>
      </c>
      <c r="N23">
        <v>0.5</v>
      </c>
      <c r="O23" t="b">
        <v>0</v>
      </c>
      <c r="P23">
        <v>3</v>
      </c>
      <c r="Q23">
        <v>20</v>
      </c>
      <c r="R23">
        <v>81.008773803710938</v>
      </c>
      <c r="S23" t="s">
        <v>24</v>
      </c>
      <c r="T23" t="s">
        <v>24</v>
      </c>
      <c r="U23" t="s">
        <v>24</v>
      </c>
      <c r="V23" t="s">
        <v>29</v>
      </c>
      <c r="W23" t="s">
        <v>114</v>
      </c>
    </row>
    <row r="24" spans="1:23">
      <c r="A24" t="s">
        <v>60</v>
      </c>
      <c r="B24" t="s">
        <v>193</v>
      </c>
      <c r="C24" t="s">
        <v>270</v>
      </c>
      <c r="D24" t="s">
        <v>33</v>
      </c>
      <c r="E24" t="s">
        <v>27</v>
      </c>
      <c r="F24" t="s">
        <v>28</v>
      </c>
      <c r="G24">
        <v>26.799283981323242</v>
      </c>
      <c r="H24">
        <v>28.27381706237793</v>
      </c>
      <c r="I24">
        <v>1.8166998624801636</v>
      </c>
      <c r="J24">
        <v>2936.273193359375</v>
      </c>
      <c r="K24">
        <v>1829.3154296875</v>
      </c>
      <c r="L24">
        <v>1539.4771728515625</v>
      </c>
      <c r="M24" t="b">
        <v>0</v>
      </c>
      <c r="N24">
        <v>0.5</v>
      </c>
      <c r="O24" t="b">
        <v>0</v>
      </c>
      <c r="P24">
        <v>3</v>
      </c>
      <c r="Q24">
        <v>20</v>
      </c>
      <c r="R24">
        <v>81.008773803710938</v>
      </c>
      <c r="S24" t="s">
        <v>24</v>
      </c>
      <c r="T24" t="s">
        <v>24</v>
      </c>
      <c r="U24" t="s">
        <v>24</v>
      </c>
      <c r="V24" t="s">
        <v>29</v>
      </c>
      <c r="W24" t="s">
        <v>114</v>
      </c>
    </row>
    <row r="25" spans="1:23">
      <c r="A25" t="s">
        <v>61</v>
      </c>
      <c r="B25" t="s">
        <v>272</v>
      </c>
      <c r="C25" t="s">
        <v>270</v>
      </c>
      <c r="D25" t="s">
        <v>33</v>
      </c>
      <c r="E25" t="s">
        <v>27</v>
      </c>
      <c r="F25" t="s">
        <v>28</v>
      </c>
      <c r="G25">
        <v>18.877229690551758</v>
      </c>
      <c r="H25">
        <v>18.87274169921875</v>
      </c>
      <c r="I25">
        <v>6.3456296920776367E-3</v>
      </c>
      <c r="J25">
        <v>337902.875</v>
      </c>
      <c r="K25">
        <v>338813.5625</v>
      </c>
      <c r="L25">
        <v>1287.9287109375</v>
      </c>
      <c r="M25" t="b">
        <v>0</v>
      </c>
      <c r="N25">
        <v>0.5</v>
      </c>
      <c r="O25" t="b">
        <v>0</v>
      </c>
      <c r="P25">
        <v>3</v>
      </c>
      <c r="Q25">
        <v>13</v>
      </c>
      <c r="R25">
        <v>80.618133544921875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</row>
    <row r="26" spans="1:23">
      <c r="A26" t="s">
        <v>63</v>
      </c>
      <c r="B26" t="s">
        <v>272</v>
      </c>
      <c r="C26" t="s">
        <v>270</v>
      </c>
      <c r="D26" t="s">
        <v>33</v>
      </c>
      <c r="E26" t="s">
        <v>27</v>
      </c>
      <c r="F26" t="s">
        <v>28</v>
      </c>
      <c r="G26">
        <v>18.868255615234375</v>
      </c>
      <c r="H26">
        <v>18.87274169921875</v>
      </c>
      <c r="I26">
        <v>6.3456296920776367E-3</v>
      </c>
      <c r="J26">
        <v>339724.28125</v>
      </c>
      <c r="K26">
        <v>338813.5625</v>
      </c>
      <c r="L26">
        <v>1287.9287109375</v>
      </c>
      <c r="M26" t="b">
        <v>0</v>
      </c>
      <c r="N26">
        <v>0.5</v>
      </c>
      <c r="O26" t="b">
        <v>0</v>
      </c>
      <c r="P26">
        <v>3</v>
      </c>
      <c r="Q26">
        <v>13</v>
      </c>
      <c r="R26">
        <v>80.422805786132812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</row>
    <row r="27" spans="1:23">
      <c r="A27" t="s">
        <v>64</v>
      </c>
      <c r="B27" t="s">
        <v>24</v>
      </c>
      <c r="C27" t="s">
        <v>270</v>
      </c>
      <c r="D27" t="s">
        <v>26</v>
      </c>
      <c r="E27" t="s">
        <v>27</v>
      </c>
      <c r="F27" t="s">
        <v>28</v>
      </c>
      <c r="G27">
        <v>20.827381134033203</v>
      </c>
      <c r="H27">
        <v>20.830730438232422</v>
      </c>
      <c r="I27">
        <v>4.7379801981151104E-3</v>
      </c>
      <c r="J27">
        <v>100000</v>
      </c>
      <c r="K27" t="s">
        <v>24</v>
      </c>
      <c r="L27" t="s">
        <v>24</v>
      </c>
      <c r="M27" t="b">
        <v>0</v>
      </c>
      <c r="N27">
        <v>0.5</v>
      </c>
      <c r="O27" t="b">
        <v>0</v>
      </c>
      <c r="P27">
        <v>3</v>
      </c>
      <c r="Q27">
        <v>14</v>
      </c>
      <c r="R27">
        <v>80.813453674316406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</row>
    <row r="28" spans="1:23">
      <c r="A28" t="s">
        <v>65</v>
      </c>
      <c r="B28" t="s">
        <v>24</v>
      </c>
      <c r="C28" t="s">
        <v>270</v>
      </c>
      <c r="D28" t="s">
        <v>26</v>
      </c>
      <c r="E28" t="s">
        <v>27</v>
      </c>
      <c r="F28" t="s">
        <v>28</v>
      </c>
      <c r="G28">
        <v>20.834081649780273</v>
      </c>
      <c r="H28">
        <v>20.830730438232422</v>
      </c>
      <c r="I28">
        <v>4.7379801981151104E-3</v>
      </c>
      <c r="J28">
        <v>100000</v>
      </c>
      <c r="K28" t="s">
        <v>24</v>
      </c>
      <c r="L28" t="s">
        <v>24</v>
      </c>
      <c r="M28" t="b">
        <v>0</v>
      </c>
      <c r="N28">
        <v>0.5</v>
      </c>
      <c r="O28" t="b">
        <v>0</v>
      </c>
      <c r="P28">
        <v>3</v>
      </c>
      <c r="Q28">
        <v>14</v>
      </c>
      <c r="R28">
        <v>81.008773803710938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</row>
    <row r="29" spans="1:23">
      <c r="A29" t="s">
        <v>66</v>
      </c>
      <c r="B29" t="s">
        <v>242</v>
      </c>
      <c r="C29" t="s">
        <v>270</v>
      </c>
      <c r="D29" t="s">
        <v>33</v>
      </c>
      <c r="E29" t="s">
        <v>27</v>
      </c>
      <c r="F29" t="s">
        <v>28</v>
      </c>
      <c r="G29">
        <v>23.825826644897461</v>
      </c>
      <c r="H29">
        <v>23.814804077148438</v>
      </c>
      <c r="I29">
        <v>1.5586916357278824E-2</v>
      </c>
      <c r="J29">
        <v>17432.865234375</v>
      </c>
      <c r="K29">
        <v>17548.7265625</v>
      </c>
      <c r="L29">
        <v>163.85404968261719</v>
      </c>
      <c r="M29" t="b">
        <v>0</v>
      </c>
      <c r="N29">
        <v>0.5</v>
      </c>
      <c r="O29" t="b">
        <v>0</v>
      </c>
      <c r="P29">
        <v>3</v>
      </c>
      <c r="Q29">
        <v>17</v>
      </c>
      <c r="R29">
        <v>80.813453674316406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</row>
    <row r="30" spans="1:23">
      <c r="A30" t="s">
        <v>68</v>
      </c>
      <c r="B30" t="s">
        <v>242</v>
      </c>
      <c r="C30" t="s">
        <v>270</v>
      </c>
      <c r="D30" t="s">
        <v>33</v>
      </c>
      <c r="E30" t="s">
        <v>27</v>
      </c>
      <c r="F30" t="s">
        <v>28</v>
      </c>
      <c r="G30">
        <v>23.803783416748047</v>
      </c>
      <c r="H30">
        <v>23.814804077148438</v>
      </c>
      <c r="I30">
        <v>1.5586916357278824E-2</v>
      </c>
      <c r="J30">
        <v>17664.58984375</v>
      </c>
      <c r="K30">
        <v>17548.7265625</v>
      </c>
      <c r="L30">
        <v>163.85404968261719</v>
      </c>
      <c r="M30" t="b">
        <v>0</v>
      </c>
      <c r="N30">
        <v>0.5</v>
      </c>
      <c r="O30" t="b">
        <v>0</v>
      </c>
      <c r="P30">
        <v>3</v>
      </c>
      <c r="Q30">
        <v>17</v>
      </c>
      <c r="R30">
        <v>81.008773803710938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</row>
    <row r="31" spans="1:23">
      <c r="A31" t="s">
        <v>69</v>
      </c>
      <c r="B31" t="s">
        <v>243</v>
      </c>
      <c r="C31" t="s">
        <v>270</v>
      </c>
      <c r="D31" t="s">
        <v>33</v>
      </c>
      <c r="E31" t="s">
        <v>27</v>
      </c>
      <c r="F31" t="s">
        <v>28</v>
      </c>
      <c r="G31">
        <v>21.233425140380859</v>
      </c>
      <c r="H31">
        <v>21.096933364868164</v>
      </c>
      <c r="I31">
        <v>0.193028524518013</v>
      </c>
      <c r="J31">
        <v>82376.9921875</v>
      </c>
      <c r="K31">
        <v>89694.453125</v>
      </c>
      <c r="L31">
        <v>10348.4580078125</v>
      </c>
      <c r="M31" t="b">
        <v>0</v>
      </c>
      <c r="N31">
        <v>0.5</v>
      </c>
      <c r="O31" t="b">
        <v>0</v>
      </c>
      <c r="P31">
        <v>3</v>
      </c>
      <c r="Q31">
        <v>14</v>
      </c>
      <c r="R31">
        <v>81.008773803710938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</row>
    <row r="32" spans="1:23">
      <c r="A32" t="s">
        <v>71</v>
      </c>
      <c r="B32" t="s">
        <v>243</v>
      </c>
      <c r="C32" t="s">
        <v>270</v>
      </c>
      <c r="D32" t="s">
        <v>33</v>
      </c>
      <c r="E32" t="s">
        <v>27</v>
      </c>
      <c r="F32" t="s">
        <v>28</v>
      </c>
      <c r="G32">
        <v>20.960441589355469</v>
      </c>
      <c r="H32">
        <v>21.096933364868164</v>
      </c>
      <c r="I32">
        <v>0.193028524518013</v>
      </c>
      <c r="J32">
        <v>97011.921875</v>
      </c>
      <c r="K32">
        <v>89694.453125</v>
      </c>
      <c r="L32">
        <v>10348.4580078125</v>
      </c>
      <c r="M32" t="b">
        <v>0</v>
      </c>
      <c r="N32">
        <v>0.5</v>
      </c>
      <c r="O32" t="b">
        <v>0</v>
      </c>
      <c r="P32">
        <v>3</v>
      </c>
      <c r="Q32">
        <v>14</v>
      </c>
      <c r="R32">
        <v>81.008773803710938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</row>
    <row r="33" spans="1:23">
      <c r="A33" t="s">
        <v>72</v>
      </c>
      <c r="B33" t="s">
        <v>244</v>
      </c>
      <c r="C33" t="s">
        <v>270</v>
      </c>
      <c r="D33" t="s">
        <v>33</v>
      </c>
      <c r="E33" t="s">
        <v>27</v>
      </c>
      <c r="F33" t="s">
        <v>28</v>
      </c>
      <c r="G33">
        <v>18.642770767211914</v>
      </c>
      <c r="H33">
        <v>19.121015548706055</v>
      </c>
      <c r="I33">
        <v>0.67634028196334839</v>
      </c>
      <c r="J33">
        <v>388855.78125</v>
      </c>
      <c r="K33">
        <v>304055.25</v>
      </c>
      <c r="L33">
        <v>119926.046875</v>
      </c>
      <c r="M33" t="b">
        <v>0</v>
      </c>
      <c r="N33">
        <v>0.5</v>
      </c>
      <c r="O33" t="b">
        <v>0</v>
      </c>
      <c r="P33">
        <v>3</v>
      </c>
      <c r="Q33">
        <v>14</v>
      </c>
      <c r="R33">
        <v>81.008773803710938</v>
      </c>
      <c r="S33" t="s">
        <v>24</v>
      </c>
      <c r="T33" t="s">
        <v>24</v>
      </c>
      <c r="U33" t="s">
        <v>24</v>
      </c>
      <c r="V33" t="s">
        <v>29</v>
      </c>
      <c r="W33" t="s">
        <v>114</v>
      </c>
    </row>
    <row r="34" spans="1:23">
      <c r="A34" t="s">
        <v>74</v>
      </c>
      <c r="B34" t="s">
        <v>244</v>
      </c>
      <c r="C34" t="s">
        <v>270</v>
      </c>
      <c r="D34" t="s">
        <v>33</v>
      </c>
      <c r="E34" t="s">
        <v>27</v>
      </c>
      <c r="F34" t="s">
        <v>28</v>
      </c>
      <c r="G34">
        <v>19.599260330200195</v>
      </c>
      <c r="H34">
        <v>19.121015548706055</v>
      </c>
      <c r="I34">
        <v>0.67634028196334839</v>
      </c>
      <c r="J34">
        <v>219254.734375</v>
      </c>
      <c r="K34">
        <v>304055.25</v>
      </c>
      <c r="L34">
        <v>119926.046875</v>
      </c>
      <c r="M34" t="b">
        <v>0</v>
      </c>
      <c r="N34">
        <v>0.5</v>
      </c>
      <c r="O34" t="b">
        <v>0</v>
      </c>
      <c r="P34">
        <v>3</v>
      </c>
      <c r="Q34">
        <v>14</v>
      </c>
      <c r="R34">
        <v>80.813453674316406</v>
      </c>
      <c r="S34" t="s">
        <v>24</v>
      </c>
      <c r="T34" t="s">
        <v>24</v>
      </c>
      <c r="U34" t="s">
        <v>24</v>
      </c>
      <c r="V34" t="s">
        <v>29</v>
      </c>
      <c r="W34" t="s">
        <v>114</v>
      </c>
    </row>
    <row r="35" spans="1:23">
      <c r="A35" t="s">
        <v>75</v>
      </c>
      <c r="B35" t="s">
        <v>245</v>
      </c>
      <c r="C35" t="s">
        <v>270</v>
      </c>
      <c r="D35" t="s">
        <v>33</v>
      </c>
      <c r="E35" t="s">
        <v>27</v>
      </c>
      <c r="F35" t="s">
        <v>28</v>
      </c>
      <c r="G35">
        <v>20.823055267333984</v>
      </c>
      <c r="H35">
        <v>20.649053573608398</v>
      </c>
      <c r="I35">
        <v>0.24607555568218231</v>
      </c>
      <c r="J35">
        <v>105333.7265625</v>
      </c>
      <c r="K35">
        <v>117541.3203125</v>
      </c>
      <c r="L35">
        <v>17264.14453125</v>
      </c>
      <c r="M35" t="b">
        <v>0</v>
      </c>
      <c r="N35">
        <v>0.5</v>
      </c>
      <c r="O35" t="b">
        <v>1</v>
      </c>
      <c r="P35">
        <v>3</v>
      </c>
      <c r="Q35">
        <v>15</v>
      </c>
      <c r="R35">
        <v>80.813453674316406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</row>
    <row r="36" spans="1:23">
      <c r="A36" t="s">
        <v>77</v>
      </c>
      <c r="B36" t="s">
        <v>245</v>
      </c>
      <c r="C36" t="s">
        <v>270</v>
      </c>
      <c r="D36" t="s">
        <v>33</v>
      </c>
      <c r="E36" t="s">
        <v>27</v>
      </c>
      <c r="F36" t="s">
        <v>28</v>
      </c>
      <c r="G36">
        <v>20.475051879882812</v>
      </c>
      <c r="H36">
        <v>20.649053573608398</v>
      </c>
      <c r="I36">
        <v>0.24607555568218231</v>
      </c>
      <c r="J36">
        <v>129748.9140625</v>
      </c>
      <c r="K36">
        <v>117541.3203125</v>
      </c>
      <c r="L36">
        <v>17264.14453125</v>
      </c>
      <c r="M36" t="b">
        <v>0</v>
      </c>
      <c r="N36">
        <v>0.5</v>
      </c>
      <c r="O36" t="b">
        <v>1</v>
      </c>
      <c r="P36">
        <v>3</v>
      </c>
      <c r="Q36">
        <v>12</v>
      </c>
      <c r="R36">
        <v>80.813453674316406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</row>
    <row r="37" spans="1:23">
      <c r="A37" t="s">
        <v>78</v>
      </c>
      <c r="B37" t="s">
        <v>273</v>
      </c>
      <c r="C37" t="s">
        <v>270</v>
      </c>
      <c r="D37" t="s">
        <v>33</v>
      </c>
      <c r="E37" t="s">
        <v>27</v>
      </c>
      <c r="F37" t="s">
        <v>28</v>
      </c>
      <c r="G37">
        <v>19.683130264282227</v>
      </c>
      <c r="H37">
        <v>19.851451873779297</v>
      </c>
      <c r="I37">
        <v>0.23804269731044769</v>
      </c>
      <c r="J37">
        <v>208511.21875</v>
      </c>
      <c r="K37">
        <v>189471.109375</v>
      </c>
      <c r="L37">
        <v>26926.78125</v>
      </c>
      <c r="M37" t="b">
        <v>0</v>
      </c>
      <c r="N37">
        <v>0.5</v>
      </c>
      <c r="O37" t="b">
        <v>0</v>
      </c>
      <c r="P37">
        <v>3</v>
      </c>
      <c r="Q37">
        <v>13</v>
      </c>
      <c r="R37">
        <v>80.618133544921875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</row>
    <row r="38" spans="1:23">
      <c r="A38" t="s">
        <v>80</v>
      </c>
      <c r="B38" t="s">
        <v>273</v>
      </c>
      <c r="C38" t="s">
        <v>270</v>
      </c>
      <c r="D38" t="s">
        <v>33</v>
      </c>
      <c r="E38" t="s">
        <v>27</v>
      </c>
      <c r="F38" t="s">
        <v>28</v>
      </c>
      <c r="G38">
        <v>20.019773483276367</v>
      </c>
      <c r="H38">
        <v>19.851451873779297</v>
      </c>
      <c r="I38">
        <v>0.23804269731044769</v>
      </c>
      <c r="J38">
        <v>170431</v>
      </c>
      <c r="K38">
        <v>189471.109375</v>
      </c>
      <c r="L38">
        <v>26926.78125</v>
      </c>
      <c r="M38" t="b">
        <v>0</v>
      </c>
      <c r="N38">
        <v>0.5</v>
      </c>
      <c r="O38" t="b">
        <v>0</v>
      </c>
      <c r="P38">
        <v>3</v>
      </c>
      <c r="Q38">
        <v>13</v>
      </c>
      <c r="R38">
        <v>80.422805786132812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</row>
    <row r="39" spans="1:23">
      <c r="A39" t="s">
        <v>81</v>
      </c>
      <c r="B39" t="s">
        <v>24</v>
      </c>
      <c r="C39" t="s">
        <v>270</v>
      </c>
      <c r="D39" t="s">
        <v>26</v>
      </c>
      <c r="E39" t="s">
        <v>27</v>
      </c>
      <c r="F39" t="s">
        <v>28</v>
      </c>
      <c r="G39">
        <v>24.490961074829102</v>
      </c>
      <c r="H39">
        <v>24.415437698364258</v>
      </c>
      <c r="I39">
        <v>0.10680618137121201</v>
      </c>
      <c r="J39">
        <v>10000</v>
      </c>
      <c r="K39" t="s">
        <v>24</v>
      </c>
      <c r="L39" t="s">
        <v>24</v>
      </c>
      <c r="M39" t="b">
        <v>0</v>
      </c>
      <c r="N39">
        <v>0.5</v>
      </c>
      <c r="O39" t="b">
        <v>0</v>
      </c>
      <c r="P39">
        <v>3</v>
      </c>
      <c r="Q39">
        <v>18</v>
      </c>
      <c r="R39">
        <v>81.008773803710938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</row>
    <row r="40" spans="1:23">
      <c r="A40" t="s">
        <v>82</v>
      </c>
      <c r="B40" t="s">
        <v>24</v>
      </c>
      <c r="C40" t="s">
        <v>270</v>
      </c>
      <c r="D40" t="s">
        <v>26</v>
      </c>
      <c r="E40" t="s">
        <v>27</v>
      </c>
      <c r="F40" t="s">
        <v>28</v>
      </c>
      <c r="G40">
        <v>24.339914321899414</v>
      </c>
      <c r="H40">
        <v>24.415437698364258</v>
      </c>
      <c r="I40">
        <v>0.10680618137121201</v>
      </c>
      <c r="J40">
        <v>10000</v>
      </c>
      <c r="K40" t="s">
        <v>24</v>
      </c>
      <c r="L40" t="s">
        <v>24</v>
      </c>
      <c r="M40" t="b">
        <v>0</v>
      </c>
      <c r="N40">
        <v>0.5</v>
      </c>
      <c r="O40" t="b">
        <v>0</v>
      </c>
      <c r="P40">
        <v>3</v>
      </c>
      <c r="Q40">
        <v>18</v>
      </c>
      <c r="R40">
        <v>81.008773803710938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</row>
    <row r="41" spans="1:23">
      <c r="A41" t="s">
        <v>83</v>
      </c>
      <c r="B41" t="s">
        <v>247</v>
      </c>
      <c r="C41" t="s">
        <v>270</v>
      </c>
      <c r="D41" t="s">
        <v>33</v>
      </c>
      <c r="E41" t="s">
        <v>27</v>
      </c>
      <c r="F41" t="s">
        <v>28</v>
      </c>
      <c r="G41">
        <v>22.752214431762695</v>
      </c>
      <c r="H41">
        <v>22.885810852050781</v>
      </c>
      <c r="I41">
        <v>0.18893386423587799</v>
      </c>
      <c r="J41">
        <v>33164.91796875</v>
      </c>
      <c r="K41">
        <v>30712.265625</v>
      </c>
      <c r="L41">
        <v>3468.57421875</v>
      </c>
      <c r="M41" t="b">
        <v>0</v>
      </c>
      <c r="N41">
        <v>0.5</v>
      </c>
      <c r="O41" t="b">
        <v>0</v>
      </c>
      <c r="P41">
        <v>3</v>
      </c>
      <c r="Q41">
        <v>17</v>
      </c>
      <c r="R41">
        <v>81.008773803710938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</row>
    <row r="42" spans="1:23">
      <c r="A42" t="s">
        <v>85</v>
      </c>
      <c r="B42" t="s">
        <v>247</v>
      </c>
      <c r="C42" t="s">
        <v>270</v>
      </c>
      <c r="D42" t="s">
        <v>33</v>
      </c>
      <c r="E42" t="s">
        <v>27</v>
      </c>
      <c r="F42" t="s">
        <v>28</v>
      </c>
      <c r="G42">
        <v>23.019407272338867</v>
      </c>
      <c r="H42">
        <v>22.885810852050781</v>
      </c>
      <c r="I42">
        <v>0.18893386423587799</v>
      </c>
      <c r="J42">
        <v>28259.61328125</v>
      </c>
      <c r="K42">
        <v>30712.265625</v>
      </c>
      <c r="L42">
        <v>3468.57421875</v>
      </c>
      <c r="M42" t="b">
        <v>0</v>
      </c>
      <c r="N42">
        <v>0.5</v>
      </c>
      <c r="O42" t="b">
        <v>0</v>
      </c>
      <c r="P42">
        <v>3</v>
      </c>
      <c r="Q42">
        <v>17</v>
      </c>
      <c r="R42">
        <v>81.008773803710938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</row>
    <row r="43" spans="1:23">
      <c r="A43" t="s">
        <v>86</v>
      </c>
      <c r="B43" t="s">
        <v>248</v>
      </c>
      <c r="C43" t="s">
        <v>270</v>
      </c>
      <c r="D43" t="s">
        <v>33</v>
      </c>
      <c r="E43" t="s">
        <v>27</v>
      </c>
      <c r="F43" t="s">
        <v>28</v>
      </c>
      <c r="G43">
        <v>20.52916145324707</v>
      </c>
      <c r="H43">
        <v>20.474491119384766</v>
      </c>
      <c r="I43">
        <v>7.7316872775554657E-2</v>
      </c>
      <c r="J43">
        <v>125610.6953125</v>
      </c>
      <c r="K43">
        <v>129862.1875</v>
      </c>
      <c r="L43">
        <v>6012.5234375</v>
      </c>
      <c r="M43" t="b">
        <v>0</v>
      </c>
      <c r="N43">
        <v>0.5</v>
      </c>
      <c r="O43" t="b">
        <v>0</v>
      </c>
      <c r="P43">
        <v>3</v>
      </c>
      <c r="Q43">
        <v>14</v>
      </c>
      <c r="R43">
        <v>81.204093933105469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</row>
    <row r="44" spans="1:23">
      <c r="A44" t="s">
        <v>88</v>
      </c>
      <c r="B44" t="s">
        <v>248</v>
      </c>
      <c r="C44" t="s">
        <v>270</v>
      </c>
      <c r="D44" t="s">
        <v>33</v>
      </c>
      <c r="E44" t="s">
        <v>27</v>
      </c>
      <c r="F44" t="s">
        <v>28</v>
      </c>
      <c r="G44">
        <v>20.419818878173828</v>
      </c>
      <c r="H44">
        <v>20.474491119384766</v>
      </c>
      <c r="I44">
        <v>7.7316872775554657E-2</v>
      </c>
      <c r="J44">
        <v>134113.6875</v>
      </c>
      <c r="K44">
        <v>129862.1875</v>
      </c>
      <c r="L44">
        <v>6012.5234375</v>
      </c>
      <c r="M44" t="b">
        <v>0</v>
      </c>
      <c r="N44">
        <v>0.5</v>
      </c>
      <c r="O44" t="b">
        <v>0</v>
      </c>
      <c r="P44">
        <v>3</v>
      </c>
      <c r="Q44">
        <v>14</v>
      </c>
      <c r="R44">
        <v>81.204093933105469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</row>
    <row r="45" spans="1:23">
      <c r="A45" t="s">
        <v>89</v>
      </c>
      <c r="B45" t="s">
        <v>249</v>
      </c>
      <c r="C45" t="s">
        <v>270</v>
      </c>
      <c r="D45" t="s">
        <v>33</v>
      </c>
      <c r="E45" t="s">
        <v>27</v>
      </c>
      <c r="F45" t="s">
        <v>28</v>
      </c>
      <c r="G45">
        <v>19.626937866210938</v>
      </c>
      <c r="H45">
        <v>20.037712097167969</v>
      </c>
      <c r="I45">
        <v>0.58092248439788818</v>
      </c>
      <c r="J45">
        <v>215649.484375</v>
      </c>
      <c r="K45">
        <v>173739.859375</v>
      </c>
      <c r="L45">
        <v>59269.16015625</v>
      </c>
      <c r="M45" t="b">
        <v>0</v>
      </c>
      <c r="N45">
        <v>0.5</v>
      </c>
      <c r="O45" t="b">
        <v>0</v>
      </c>
      <c r="P45">
        <v>3</v>
      </c>
      <c r="Q45">
        <v>14</v>
      </c>
      <c r="R45">
        <v>81.008773803710938</v>
      </c>
      <c r="S45" t="s">
        <v>24</v>
      </c>
      <c r="T45" t="s">
        <v>24</v>
      </c>
      <c r="U45" t="s">
        <v>24</v>
      </c>
      <c r="V45" t="s">
        <v>29</v>
      </c>
      <c r="W45" t="s">
        <v>114</v>
      </c>
    </row>
    <row r="46" spans="1:23">
      <c r="A46" t="s">
        <v>91</v>
      </c>
      <c r="B46" t="s">
        <v>249</v>
      </c>
      <c r="C46" t="s">
        <v>270</v>
      </c>
      <c r="D46" t="s">
        <v>33</v>
      </c>
      <c r="E46" t="s">
        <v>27</v>
      </c>
      <c r="F46" t="s">
        <v>28</v>
      </c>
      <c r="G46">
        <v>20.448486328125</v>
      </c>
      <c r="H46">
        <v>20.037712097167969</v>
      </c>
      <c r="I46">
        <v>0.58092248439788818</v>
      </c>
      <c r="J46">
        <v>131830.234375</v>
      </c>
      <c r="K46">
        <v>173739.859375</v>
      </c>
      <c r="L46">
        <v>59269.16015625</v>
      </c>
      <c r="M46" t="b">
        <v>0</v>
      </c>
      <c r="N46">
        <v>0.5</v>
      </c>
      <c r="O46" t="b">
        <v>0</v>
      </c>
      <c r="P46">
        <v>3</v>
      </c>
      <c r="Q46">
        <v>14</v>
      </c>
      <c r="R46">
        <v>81.008773803710938</v>
      </c>
      <c r="S46" t="s">
        <v>24</v>
      </c>
      <c r="T46" t="s">
        <v>24</v>
      </c>
      <c r="U46" t="s">
        <v>24</v>
      </c>
      <c r="V46" t="s">
        <v>29</v>
      </c>
      <c r="W46" t="s">
        <v>114</v>
      </c>
    </row>
    <row r="47" spans="1:23">
      <c r="A47" t="s">
        <v>92</v>
      </c>
      <c r="B47" t="s">
        <v>250</v>
      </c>
      <c r="C47" t="s">
        <v>270</v>
      </c>
      <c r="D47" t="s">
        <v>33</v>
      </c>
      <c r="E47" t="s">
        <v>27</v>
      </c>
      <c r="F47" t="s">
        <v>28</v>
      </c>
      <c r="G47">
        <v>20.552349090576172</v>
      </c>
      <c r="H47">
        <v>20.578716278076172</v>
      </c>
      <c r="I47">
        <v>3.7290181964635849E-2</v>
      </c>
      <c r="J47">
        <v>123877.9921875</v>
      </c>
      <c r="K47">
        <v>121951.859375</v>
      </c>
      <c r="L47">
        <v>2723.96875</v>
      </c>
      <c r="M47" t="b">
        <v>0</v>
      </c>
      <c r="N47">
        <v>0.5</v>
      </c>
      <c r="O47" t="b">
        <v>1</v>
      </c>
      <c r="P47">
        <v>3</v>
      </c>
      <c r="Q47">
        <v>14</v>
      </c>
      <c r="R47">
        <v>81.008773803710938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</row>
    <row r="48" spans="1:23">
      <c r="A48" t="s">
        <v>94</v>
      </c>
      <c r="B48" t="s">
        <v>250</v>
      </c>
      <c r="C48" t="s">
        <v>270</v>
      </c>
      <c r="D48" t="s">
        <v>33</v>
      </c>
      <c r="E48" t="s">
        <v>27</v>
      </c>
      <c r="F48" t="s">
        <v>28</v>
      </c>
      <c r="G48">
        <v>20.605085372924805</v>
      </c>
      <c r="H48">
        <v>20.578716278076172</v>
      </c>
      <c r="I48">
        <v>3.7290181964635849E-2</v>
      </c>
      <c r="J48">
        <v>120025.71875</v>
      </c>
      <c r="K48">
        <v>121951.859375</v>
      </c>
      <c r="L48">
        <v>2723.96875</v>
      </c>
      <c r="M48" t="b">
        <v>0</v>
      </c>
      <c r="N48">
        <v>0.5</v>
      </c>
      <c r="O48" t="b">
        <v>1</v>
      </c>
      <c r="P48">
        <v>3</v>
      </c>
      <c r="Q48">
        <v>14</v>
      </c>
      <c r="R48">
        <v>80.813453674316406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</row>
    <row r="49" spans="1:23">
      <c r="A49" t="s">
        <v>95</v>
      </c>
      <c r="B49" t="s">
        <v>274</v>
      </c>
      <c r="C49" t="s">
        <v>270</v>
      </c>
      <c r="D49" t="s">
        <v>33</v>
      </c>
      <c r="E49" t="s">
        <v>27</v>
      </c>
      <c r="F49" t="s">
        <v>28</v>
      </c>
      <c r="G49">
        <v>21.178897857666016</v>
      </c>
      <c r="H49">
        <v>20.057868957519531</v>
      </c>
      <c r="I49">
        <v>1.5853742361068726</v>
      </c>
      <c r="J49">
        <v>85112.1796875</v>
      </c>
      <c r="K49">
        <v>205580.90625</v>
      </c>
      <c r="L49">
        <v>170368.5</v>
      </c>
      <c r="M49" t="b">
        <v>0</v>
      </c>
      <c r="N49">
        <v>0.5</v>
      </c>
      <c r="O49" t="b">
        <v>0</v>
      </c>
      <c r="P49">
        <v>3</v>
      </c>
      <c r="Q49">
        <v>13</v>
      </c>
      <c r="R49">
        <v>80.422805786132812</v>
      </c>
      <c r="S49" t="s">
        <v>24</v>
      </c>
      <c r="T49" t="s">
        <v>24</v>
      </c>
      <c r="U49" t="s">
        <v>24</v>
      </c>
      <c r="V49" t="s">
        <v>29</v>
      </c>
      <c r="W49" t="s">
        <v>114</v>
      </c>
    </row>
    <row r="50" spans="1:23">
      <c r="A50" t="s">
        <v>97</v>
      </c>
      <c r="B50" t="s">
        <v>274</v>
      </c>
      <c r="C50" t="s">
        <v>270</v>
      </c>
      <c r="D50" t="s">
        <v>33</v>
      </c>
      <c r="E50" t="s">
        <v>27</v>
      </c>
      <c r="F50" t="s">
        <v>28</v>
      </c>
      <c r="G50">
        <v>18.936840057373047</v>
      </c>
      <c r="H50">
        <v>20.057868957519531</v>
      </c>
      <c r="I50">
        <v>1.5853742361068726</v>
      </c>
      <c r="J50">
        <v>326049.625</v>
      </c>
      <c r="K50">
        <v>205580.90625</v>
      </c>
      <c r="L50">
        <v>170368.5</v>
      </c>
      <c r="M50" t="b">
        <v>0</v>
      </c>
      <c r="N50">
        <v>0.5</v>
      </c>
      <c r="O50" t="b">
        <v>0</v>
      </c>
      <c r="P50">
        <v>3</v>
      </c>
      <c r="Q50">
        <v>13</v>
      </c>
      <c r="R50">
        <v>80.422805786132812</v>
      </c>
      <c r="S50" t="s">
        <v>24</v>
      </c>
      <c r="T50" t="s">
        <v>24</v>
      </c>
      <c r="U50" t="s">
        <v>24</v>
      </c>
      <c r="V50" t="s">
        <v>29</v>
      </c>
      <c r="W50" t="s">
        <v>114</v>
      </c>
    </row>
    <row r="51" spans="1:23">
      <c r="A51" t="s">
        <v>98</v>
      </c>
      <c r="B51" t="s">
        <v>24</v>
      </c>
      <c r="C51" t="s">
        <v>270</v>
      </c>
      <c r="D51" t="s">
        <v>26</v>
      </c>
      <c r="E51" t="s">
        <v>27</v>
      </c>
      <c r="F51" t="s">
        <v>28</v>
      </c>
      <c r="G51">
        <v>28.222507476806641</v>
      </c>
      <c r="H51">
        <v>28.086128234863281</v>
      </c>
      <c r="I51">
        <v>0.19286938011646271</v>
      </c>
      <c r="J51">
        <v>1000</v>
      </c>
      <c r="K51" t="s">
        <v>24</v>
      </c>
      <c r="L51" t="s">
        <v>24</v>
      </c>
      <c r="M51" t="b">
        <v>0</v>
      </c>
      <c r="N51">
        <v>0.5</v>
      </c>
      <c r="O51" t="b">
        <v>0</v>
      </c>
      <c r="P51">
        <v>3</v>
      </c>
      <c r="Q51">
        <v>22</v>
      </c>
      <c r="R51">
        <v>81.008773803710938</v>
      </c>
      <c r="S51" t="s">
        <v>24</v>
      </c>
      <c r="T51" t="s">
        <v>24</v>
      </c>
      <c r="U51" t="s">
        <v>24</v>
      </c>
      <c r="V51" t="s">
        <v>29</v>
      </c>
      <c r="W51" t="s">
        <v>29</v>
      </c>
    </row>
    <row r="52" spans="1:23">
      <c r="A52" t="s">
        <v>99</v>
      </c>
      <c r="B52" t="s">
        <v>24</v>
      </c>
      <c r="C52" t="s">
        <v>270</v>
      </c>
      <c r="D52" t="s">
        <v>26</v>
      </c>
      <c r="E52" t="s">
        <v>27</v>
      </c>
      <c r="F52" t="s">
        <v>28</v>
      </c>
      <c r="G52">
        <v>27.949748992919922</v>
      </c>
      <c r="H52">
        <v>28.086128234863281</v>
      </c>
      <c r="I52">
        <v>0.19286938011646271</v>
      </c>
      <c r="J52">
        <v>1000</v>
      </c>
      <c r="K52" t="s">
        <v>24</v>
      </c>
      <c r="L52" t="s">
        <v>24</v>
      </c>
      <c r="M52" t="b">
        <v>0</v>
      </c>
      <c r="N52">
        <v>0.5</v>
      </c>
      <c r="O52" t="b">
        <v>0</v>
      </c>
      <c r="P52">
        <v>3</v>
      </c>
      <c r="Q52">
        <v>22</v>
      </c>
      <c r="R52">
        <v>81.008773803710938</v>
      </c>
      <c r="S52" t="s">
        <v>24</v>
      </c>
      <c r="T52" t="s">
        <v>24</v>
      </c>
      <c r="U52" t="s">
        <v>24</v>
      </c>
      <c r="V52" t="s">
        <v>29</v>
      </c>
      <c r="W52" t="s">
        <v>29</v>
      </c>
    </row>
    <row r="53" spans="1:23">
      <c r="A53" t="s">
        <v>100</v>
      </c>
      <c r="B53" t="s">
        <v>252</v>
      </c>
      <c r="C53" t="s">
        <v>270</v>
      </c>
      <c r="D53" t="s">
        <v>33</v>
      </c>
      <c r="E53" t="s">
        <v>27</v>
      </c>
      <c r="F53" t="s">
        <v>28</v>
      </c>
      <c r="G53">
        <v>20.416677474975586</v>
      </c>
      <c r="H53">
        <v>20.252639770507812</v>
      </c>
      <c r="I53">
        <v>0.23198568820953369</v>
      </c>
      <c r="J53">
        <v>134366.296875</v>
      </c>
      <c r="K53">
        <v>148956.671875</v>
      </c>
      <c r="L53">
        <v>20633.90625</v>
      </c>
      <c r="M53" t="b">
        <v>0</v>
      </c>
      <c r="N53">
        <v>0.5</v>
      </c>
      <c r="O53" t="b">
        <v>0</v>
      </c>
      <c r="P53">
        <v>3</v>
      </c>
      <c r="Q53">
        <v>14</v>
      </c>
      <c r="R53">
        <v>80.813453674316406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</row>
    <row r="54" spans="1:23">
      <c r="A54" t="s">
        <v>102</v>
      </c>
      <c r="B54" t="s">
        <v>252</v>
      </c>
      <c r="C54" t="s">
        <v>270</v>
      </c>
      <c r="D54" t="s">
        <v>33</v>
      </c>
      <c r="E54" t="s">
        <v>27</v>
      </c>
      <c r="F54" t="s">
        <v>28</v>
      </c>
      <c r="G54">
        <v>20.088600158691406</v>
      </c>
      <c r="H54">
        <v>20.252639770507812</v>
      </c>
      <c r="I54">
        <v>0.23198568820953369</v>
      </c>
      <c r="J54">
        <v>163547.046875</v>
      </c>
      <c r="K54">
        <v>148956.671875</v>
      </c>
      <c r="L54">
        <v>20633.90625</v>
      </c>
      <c r="M54" t="b">
        <v>0</v>
      </c>
      <c r="N54">
        <v>0.5</v>
      </c>
      <c r="O54" t="b">
        <v>0</v>
      </c>
      <c r="P54">
        <v>3</v>
      </c>
      <c r="Q54">
        <v>14</v>
      </c>
      <c r="R54">
        <v>81.008773803710938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</row>
    <row r="55" spans="1:23">
      <c r="A55" t="s">
        <v>103</v>
      </c>
      <c r="B55" t="s">
        <v>193</v>
      </c>
      <c r="C55" t="s">
        <v>270</v>
      </c>
      <c r="D55" t="s">
        <v>33</v>
      </c>
      <c r="E55" t="s">
        <v>27</v>
      </c>
      <c r="F55" t="s">
        <v>28</v>
      </c>
      <c r="G55">
        <v>30.488922119140625</v>
      </c>
      <c r="H55">
        <v>28.27381706237793</v>
      </c>
      <c r="I55">
        <v>1.8166998624801636</v>
      </c>
      <c r="J55">
        <v>322.03500366210938</v>
      </c>
      <c r="K55">
        <v>1829.3154296875</v>
      </c>
      <c r="L55">
        <v>1539.4771728515625</v>
      </c>
      <c r="M55" t="b">
        <v>0</v>
      </c>
      <c r="N55">
        <v>0.5</v>
      </c>
      <c r="O55" t="b">
        <v>1</v>
      </c>
      <c r="P55">
        <v>3</v>
      </c>
      <c r="Q55">
        <v>24</v>
      </c>
      <c r="R55">
        <v>81.204093933105469</v>
      </c>
      <c r="S55" t="s">
        <v>24</v>
      </c>
      <c r="T55" t="s">
        <v>24</v>
      </c>
      <c r="U55" t="s">
        <v>24</v>
      </c>
      <c r="V55" t="s">
        <v>29</v>
      </c>
      <c r="W55" t="s">
        <v>114</v>
      </c>
    </row>
    <row r="56" spans="1:23">
      <c r="A56" t="s">
        <v>105</v>
      </c>
      <c r="B56" t="s">
        <v>193</v>
      </c>
      <c r="C56" t="s">
        <v>270</v>
      </c>
      <c r="D56" t="s">
        <v>33</v>
      </c>
      <c r="E56" t="s">
        <v>27</v>
      </c>
      <c r="F56" t="s">
        <v>28</v>
      </c>
      <c r="G56">
        <v>30.381681442260742</v>
      </c>
      <c r="H56">
        <v>28.27381706237793</v>
      </c>
      <c r="I56">
        <v>1.8166998624801636</v>
      </c>
      <c r="J56">
        <v>343.40194702148438</v>
      </c>
      <c r="K56">
        <v>1829.3154296875</v>
      </c>
      <c r="L56">
        <v>1539.4771728515625</v>
      </c>
      <c r="M56" t="b">
        <v>0</v>
      </c>
      <c r="N56">
        <v>0.5</v>
      </c>
      <c r="O56" t="b">
        <v>1</v>
      </c>
      <c r="P56">
        <v>3</v>
      </c>
      <c r="Q56">
        <v>23</v>
      </c>
      <c r="R56">
        <v>81.3994140625</v>
      </c>
      <c r="S56" t="s">
        <v>24</v>
      </c>
      <c r="T56" t="s">
        <v>24</v>
      </c>
      <c r="U56" t="s">
        <v>24</v>
      </c>
      <c r="V56" t="s">
        <v>29</v>
      </c>
      <c r="W56" t="s">
        <v>114</v>
      </c>
    </row>
    <row r="57" spans="1:23">
      <c r="A57" t="s">
        <v>106</v>
      </c>
      <c r="B57" t="s">
        <v>253</v>
      </c>
      <c r="C57" t="s">
        <v>270</v>
      </c>
      <c r="D57" t="s">
        <v>33</v>
      </c>
      <c r="E57" t="s">
        <v>27</v>
      </c>
      <c r="F57" t="s">
        <v>28</v>
      </c>
      <c r="G57">
        <v>18.869989395141602</v>
      </c>
      <c r="H57">
        <v>19.049154281616211</v>
      </c>
      <c r="I57">
        <v>0.25337740778923035</v>
      </c>
      <c r="J57">
        <v>339371.625</v>
      </c>
      <c r="K57">
        <v>306591.875</v>
      </c>
      <c r="L57">
        <v>46357.546875</v>
      </c>
      <c r="M57" t="b">
        <v>0</v>
      </c>
      <c r="N57">
        <v>0.5</v>
      </c>
      <c r="O57" t="b">
        <v>0</v>
      </c>
      <c r="P57">
        <v>3</v>
      </c>
      <c r="Q57">
        <v>14</v>
      </c>
      <c r="R57">
        <v>81.008773803710938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</row>
    <row r="58" spans="1:23">
      <c r="A58" t="s">
        <v>108</v>
      </c>
      <c r="B58" t="s">
        <v>253</v>
      </c>
      <c r="C58" t="s">
        <v>270</v>
      </c>
      <c r="D58" t="s">
        <v>33</v>
      </c>
      <c r="E58" t="s">
        <v>27</v>
      </c>
      <c r="F58" t="s">
        <v>28</v>
      </c>
      <c r="G58">
        <v>19.22831916809082</v>
      </c>
      <c r="H58">
        <v>19.049154281616211</v>
      </c>
      <c r="I58">
        <v>0.25337740778923035</v>
      </c>
      <c r="J58">
        <v>273812.15625</v>
      </c>
      <c r="K58">
        <v>306591.875</v>
      </c>
      <c r="L58">
        <v>46357.546875</v>
      </c>
      <c r="M58" t="b">
        <v>0</v>
      </c>
      <c r="N58">
        <v>0.5</v>
      </c>
      <c r="O58" t="b">
        <v>0</v>
      </c>
      <c r="P58">
        <v>3</v>
      </c>
      <c r="Q58">
        <v>14</v>
      </c>
      <c r="R58">
        <v>81.008773803710938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</row>
    <row r="59" spans="1:23">
      <c r="A59" t="s">
        <v>109</v>
      </c>
      <c r="B59" t="s">
        <v>275</v>
      </c>
      <c r="C59" t="s">
        <v>270</v>
      </c>
      <c r="D59" t="s">
        <v>33</v>
      </c>
      <c r="E59" t="s">
        <v>27</v>
      </c>
      <c r="F59" t="s">
        <v>28</v>
      </c>
      <c r="G59">
        <v>19.355710983276367</v>
      </c>
      <c r="H59">
        <v>19.230861663818359</v>
      </c>
      <c r="I59">
        <v>0.17656494677066803</v>
      </c>
      <c r="J59">
        <v>253694.21875</v>
      </c>
      <c r="K59">
        <v>274160.59375</v>
      </c>
      <c r="L59">
        <v>28943.82421875</v>
      </c>
      <c r="M59" t="b">
        <v>0</v>
      </c>
      <c r="N59">
        <v>0.5</v>
      </c>
      <c r="O59" t="b">
        <v>0</v>
      </c>
      <c r="P59">
        <v>3</v>
      </c>
      <c r="Q59">
        <v>13</v>
      </c>
      <c r="R59">
        <v>81.008773803710938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</row>
    <row r="60" spans="1:23">
      <c r="A60" t="s">
        <v>111</v>
      </c>
      <c r="B60" t="s">
        <v>275</v>
      </c>
      <c r="C60" t="s">
        <v>270</v>
      </c>
      <c r="D60" t="s">
        <v>33</v>
      </c>
      <c r="E60" t="s">
        <v>27</v>
      </c>
      <c r="F60" t="s">
        <v>28</v>
      </c>
      <c r="G60">
        <v>19.106010437011719</v>
      </c>
      <c r="H60">
        <v>19.230861663818359</v>
      </c>
      <c r="I60">
        <v>0.17656494677066803</v>
      </c>
      <c r="J60">
        <v>294626.96875</v>
      </c>
      <c r="K60">
        <v>274160.59375</v>
      </c>
      <c r="L60">
        <v>28943.82421875</v>
      </c>
      <c r="M60" t="b">
        <v>0</v>
      </c>
      <c r="N60">
        <v>0.5</v>
      </c>
      <c r="O60" t="b">
        <v>0</v>
      </c>
      <c r="P60">
        <v>3</v>
      </c>
      <c r="Q60">
        <v>13</v>
      </c>
      <c r="R60">
        <v>80.813453674316406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</row>
    <row r="61" spans="1:23">
      <c r="A61" t="s">
        <v>112</v>
      </c>
      <c r="B61" t="s">
        <v>276</v>
      </c>
      <c r="C61" t="s">
        <v>270</v>
      </c>
      <c r="D61" t="s">
        <v>33</v>
      </c>
      <c r="E61" t="s">
        <v>27</v>
      </c>
      <c r="F61" t="s">
        <v>28</v>
      </c>
      <c r="G61">
        <v>19.453805923461914</v>
      </c>
      <c r="H61">
        <v>19.709325790405273</v>
      </c>
      <c r="I61">
        <v>0.36135965585708618</v>
      </c>
      <c r="J61">
        <v>239216.03125</v>
      </c>
      <c r="K61">
        <v>207674.078125</v>
      </c>
      <c r="L61">
        <v>44607.05859375</v>
      </c>
      <c r="M61" t="b">
        <v>0</v>
      </c>
      <c r="N61">
        <v>0.5</v>
      </c>
      <c r="O61" t="b">
        <v>0</v>
      </c>
      <c r="P61">
        <v>3</v>
      </c>
      <c r="Q61">
        <v>13</v>
      </c>
      <c r="R61">
        <v>80.618133544921875</v>
      </c>
      <c r="S61" t="s">
        <v>24</v>
      </c>
      <c r="T61" t="s">
        <v>24</v>
      </c>
      <c r="U61" t="s">
        <v>24</v>
      </c>
      <c r="V61" t="s">
        <v>29</v>
      </c>
      <c r="W61" t="s">
        <v>29</v>
      </c>
    </row>
    <row r="62" spans="1:23">
      <c r="A62" t="s">
        <v>115</v>
      </c>
      <c r="B62" t="s">
        <v>276</v>
      </c>
      <c r="C62" t="s">
        <v>270</v>
      </c>
      <c r="D62" t="s">
        <v>33</v>
      </c>
      <c r="E62" t="s">
        <v>27</v>
      </c>
      <c r="F62" t="s">
        <v>28</v>
      </c>
      <c r="G62">
        <v>19.964845657348633</v>
      </c>
      <c r="H62">
        <v>19.709325790405273</v>
      </c>
      <c r="I62">
        <v>0.36135965585708618</v>
      </c>
      <c r="J62">
        <v>176132.125</v>
      </c>
      <c r="K62">
        <v>207674.078125</v>
      </c>
      <c r="L62">
        <v>44607.05859375</v>
      </c>
      <c r="M62" t="b">
        <v>0</v>
      </c>
      <c r="N62">
        <v>0.5</v>
      </c>
      <c r="O62" t="b">
        <v>0</v>
      </c>
      <c r="P62">
        <v>3</v>
      </c>
      <c r="Q62">
        <v>13</v>
      </c>
      <c r="R62">
        <v>80.422805786132812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</row>
    <row r="63" spans="1:23">
      <c r="A63" t="s">
        <v>116</v>
      </c>
      <c r="B63" t="s">
        <v>24</v>
      </c>
      <c r="C63" t="s">
        <v>270</v>
      </c>
      <c r="D63" t="s">
        <v>26</v>
      </c>
      <c r="E63" t="s">
        <v>27</v>
      </c>
      <c r="F63" t="s">
        <v>28</v>
      </c>
      <c r="G63">
        <v>33.002758026123047</v>
      </c>
      <c r="H63">
        <v>33.169364929199219</v>
      </c>
      <c r="I63">
        <v>0.23562043905258179</v>
      </c>
      <c r="J63">
        <v>100</v>
      </c>
      <c r="K63" t="s">
        <v>24</v>
      </c>
      <c r="L63" t="s">
        <v>24</v>
      </c>
      <c r="M63" t="b">
        <v>0</v>
      </c>
      <c r="N63">
        <v>0.5</v>
      </c>
      <c r="O63" t="b">
        <v>1</v>
      </c>
      <c r="P63">
        <v>3</v>
      </c>
      <c r="Q63">
        <v>27</v>
      </c>
      <c r="R63">
        <v>80.813453674316406</v>
      </c>
      <c r="S63" t="s">
        <v>24</v>
      </c>
      <c r="T63" t="s">
        <v>24</v>
      </c>
      <c r="U63" t="s">
        <v>24</v>
      </c>
      <c r="V63" t="s">
        <v>29</v>
      </c>
      <c r="W63" t="s">
        <v>29</v>
      </c>
    </row>
    <row r="64" spans="1:23">
      <c r="A64" t="s">
        <v>117</v>
      </c>
      <c r="B64" t="s">
        <v>24</v>
      </c>
      <c r="C64" t="s">
        <v>270</v>
      </c>
      <c r="D64" t="s">
        <v>26</v>
      </c>
      <c r="E64" t="s">
        <v>27</v>
      </c>
      <c r="F64" t="s">
        <v>28</v>
      </c>
      <c r="G64">
        <v>33.335975646972656</v>
      </c>
      <c r="H64">
        <v>33.169364929199219</v>
      </c>
      <c r="I64">
        <v>0.23562043905258179</v>
      </c>
      <c r="J64">
        <v>100</v>
      </c>
      <c r="K64" t="s">
        <v>24</v>
      </c>
      <c r="L64" t="s">
        <v>24</v>
      </c>
      <c r="M64" t="b">
        <v>0</v>
      </c>
      <c r="N64">
        <v>0.5</v>
      </c>
      <c r="O64" t="b">
        <v>1</v>
      </c>
      <c r="P64">
        <v>3</v>
      </c>
      <c r="Q64">
        <v>27</v>
      </c>
      <c r="R64">
        <v>80.813453674316406</v>
      </c>
      <c r="S64" t="s">
        <v>24</v>
      </c>
      <c r="T64" t="s">
        <v>24</v>
      </c>
      <c r="U64" t="s">
        <v>24</v>
      </c>
      <c r="V64" t="s">
        <v>29</v>
      </c>
      <c r="W64" t="s">
        <v>29</v>
      </c>
    </row>
    <row r="65" spans="1:23">
      <c r="A65" t="s">
        <v>118</v>
      </c>
      <c r="B65" t="s">
        <v>256</v>
      </c>
      <c r="C65" t="s">
        <v>270</v>
      </c>
      <c r="D65" t="s">
        <v>33</v>
      </c>
      <c r="E65" t="s">
        <v>27</v>
      </c>
      <c r="F65" t="s">
        <v>28</v>
      </c>
      <c r="G65">
        <v>20.830272674560547</v>
      </c>
      <c r="H65">
        <v>20.859336853027344</v>
      </c>
      <c r="I65">
        <v>4.1101608425378799E-2</v>
      </c>
      <c r="J65">
        <v>104879.296875</v>
      </c>
      <c r="K65">
        <v>103084.7734375</v>
      </c>
      <c r="L65">
        <v>2537.83935546875</v>
      </c>
      <c r="M65" t="b">
        <v>0</v>
      </c>
      <c r="N65">
        <v>0.5</v>
      </c>
      <c r="O65" t="b">
        <v>0</v>
      </c>
      <c r="P65">
        <v>3</v>
      </c>
      <c r="Q65">
        <v>14</v>
      </c>
      <c r="R65">
        <v>80.813453674316406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</row>
    <row r="66" spans="1:23">
      <c r="A66" t="s">
        <v>120</v>
      </c>
      <c r="B66" t="s">
        <v>256</v>
      </c>
      <c r="C66" t="s">
        <v>270</v>
      </c>
      <c r="D66" t="s">
        <v>33</v>
      </c>
      <c r="E66" t="s">
        <v>27</v>
      </c>
      <c r="F66" t="s">
        <v>28</v>
      </c>
      <c r="G66">
        <v>20.888399124145508</v>
      </c>
      <c r="H66">
        <v>20.859336853027344</v>
      </c>
      <c r="I66">
        <v>4.1101608425378799E-2</v>
      </c>
      <c r="J66">
        <v>101290.25</v>
      </c>
      <c r="K66">
        <v>103084.7734375</v>
      </c>
      <c r="L66">
        <v>2537.83935546875</v>
      </c>
      <c r="M66" t="b">
        <v>0</v>
      </c>
      <c r="N66">
        <v>0.5</v>
      </c>
      <c r="O66" t="b">
        <v>0</v>
      </c>
      <c r="P66">
        <v>3</v>
      </c>
      <c r="Q66">
        <v>14</v>
      </c>
      <c r="R66">
        <v>81.008773803710938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</row>
    <row r="67" spans="1:23">
      <c r="A67" t="s">
        <v>121</v>
      </c>
      <c r="B67" t="s">
        <v>257</v>
      </c>
      <c r="C67" t="s">
        <v>270</v>
      </c>
      <c r="D67" t="s">
        <v>33</v>
      </c>
      <c r="E67" t="s">
        <v>27</v>
      </c>
      <c r="F67" t="s">
        <v>28</v>
      </c>
      <c r="G67">
        <v>21.161159515380859</v>
      </c>
      <c r="H67">
        <v>21.327537536621094</v>
      </c>
      <c r="I67">
        <v>0.23529540002346039</v>
      </c>
      <c r="J67">
        <v>86021.3984375</v>
      </c>
      <c r="K67">
        <v>78248.3125</v>
      </c>
      <c r="L67">
        <v>10992.8037109375</v>
      </c>
      <c r="M67" t="b">
        <v>0</v>
      </c>
      <c r="N67">
        <v>0.5</v>
      </c>
      <c r="O67" t="b">
        <v>0</v>
      </c>
      <c r="P67">
        <v>3</v>
      </c>
      <c r="Q67">
        <v>14</v>
      </c>
      <c r="R67">
        <v>81.008773803710938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</row>
    <row r="68" spans="1:23">
      <c r="A68" t="s">
        <v>123</v>
      </c>
      <c r="B68" t="s">
        <v>257</v>
      </c>
      <c r="C68" t="s">
        <v>270</v>
      </c>
      <c r="D68" t="s">
        <v>33</v>
      </c>
      <c r="E68" t="s">
        <v>27</v>
      </c>
      <c r="F68" t="s">
        <v>28</v>
      </c>
      <c r="G68">
        <v>21.493917465209961</v>
      </c>
      <c r="H68">
        <v>21.327537536621094</v>
      </c>
      <c r="I68">
        <v>0.23529540002346039</v>
      </c>
      <c r="J68">
        <v>70475.2265625</v>
      </c>
      <c r="K68">
        <v>78248.3125</v>
      </c>
      <c r="L68">
        <v>10992.8037109375</v>
      </c>
      <c r="M68" t="b">
        <v>0</v>
      </c>
      <c r="N68">
        <v>0.5</v>
      </c>
      <c r="O68" t="b">
        <v>0</v>
      </c>
      <c r="P68">
        <v>3</v>
      </c>
      <c r="Q68">
        <v>14</v>
      </c>
      <c r="R68">
        <v>81.008773803710938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</row>
    <row r="69" spans="1:23">
      <c r="A69" t="s">
        <v>124</v>
      </c>
      <c r="B69" t="s">
        <v>258</v>
      </c>
      <c r="C69" t="s">
        <v>270</v>
      </c>
      <c r="D69" t="s">
        <v>33</v>
      </c>
      <c r="E69" t="s">
        <v>27</v>
      </c>
      <c r="F69" t="s">
        <v>28</v>
      </c>
      <c r="G69">
        <v>19.321201324462891</v>
      </c>
      <c r="H69">
        <v>19.588289260864258</v>
      </c>
      <c r="I69">
        <v>0.37771937251091003</v>
      </c>
      <c r="J69">
        <v>258993.328125</v>
      </c>
      <c r="K69">
        <v>223531.296875</v>
      </c>
      <c r="L69">
        <v>50150.88671875</v>
      </c>
      <c r="M69" t="b">
        <v>0</v>
      </c>
      <c r="N69">
        <v>0.5</v>
      </c>
      <c r="O69" t="b">
        <v>0</v>
      </c>
      <c r="P69">
        <v>3</v>
      </c>
      <c r="Q69">
        <v>14</v>
      </c>
      <c r="R69">
        <v>81.204093933105469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</row>
    <row r="70" spans="1:23">
      <c r="A70" t="s">
        <v>126</v>
      </c>
      <c r="B70" t="s">
        <v>258</v>
      </c>
      <c r="C70" t="s">
        <v>270</v>
      </c>
      <c r="D70" t="s">
        <v>33</v>
      </c>
      <c r="E70" t="s">
        <v>27</v>
      </c>
      <c r="F70" t="s">
        <v>28</v>
      </c>
      <c r="G70">
        <v>19.855377197265625</v>
      </c>
      <c r="H70">
        <v>19.588289260864258</v>
      </c>
      <c r="I70">
        <v>0.37771937251091003</v>
      </c>
      <c r="J70">
        <v>188069.265625</v>
      </c>
      <c r="K70">
        <v>223531.296875</v>
      </c>
      <c r="L70">
        <v>50150.88671875</v>
      </c>
      <c r="M70" t="b">
        <v>0</v>
      </c>
      <c r="N70">
        <v>0.5</v>
      </c>
      <c r="O70" t="b">
        <v>0</v>
      </c>
      <c r="P70">
        <v>3</v>
      </c>
      <c r="Q70">
        <v>14</v>
      </c>
      <c r="R70">
        <v>81.008773803710938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</row>
    <row r="71" spans="1:23">
      <c r="A71" t="s">
        <v>127</v>
      </c>
      <c r="B71" t="s">
        <v>277</v>
      </c>
      <c r="C71" t="s">
        <v>270</v>
      </c>
      <c r="D71" t="s">
        <v>33</v>
      </c>
      <c r="E71" t="s">
        <v>27</v>
      </c>
      <c r="F71" t="s">
        <v>28</v>
      </c>
      <c r="G71">
        <v>20.328012466430664</v>
      </c>
      <c r="H71">
        <v>20.436885833740234</v>
      </c>
      <c r="I71">
        <v>0.15397019684314728</v>
      </c>
      <c r="J71">
        <v>141695.9375</v>
      </c>
      <c r="K71">
        <v>133031.953125</v>
      </c>
      <c r="L71">
        <v>12252.71875</v>
      </c>
      <c r="M71" t="b">
        <v>0</v>
      </c>
      <c r="N71">
        <v>0.5</v>
      </c>
      <c r="O71" t="b">
        <v>0</v>
      </c>
      <c r="P71">
        <v>3</v>
      </c>
      <c r="Q71">
        <v>13</v>
      </c>
      <c r="R71">
        <v>81.008773803710938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</row>
    <row r="72" spans="1:23">
      <c r="A72" t="s">
        <v>129</v>
      </c>
      <c r="B72" t="s">
        <v>277</v>
      </c>
      <c r="C72" t="s">
        <v>270</v>
      </c>
      <c r="D72" t="s">
        <v>33</v>
      </c>
      <c r="E72" t="s">
        <v>27</v>
      </c>
      <c r="F72" t="s">
        <v>28</v>
      </c>
      <c r="G72">
        <v>20.545759201049805</v>
      </c>
      <c r="H72">
        <v>20.436885833740234</v>
      </c>
      <c r="I72">
        <v>0.15397019684314728</v>
      </c>
      <c r="J72">
        <v>124367.9765625</v>
      </c>
      <c r="K72">
        <v>133031.953125</v>
      </c>
      <c r="L72">
        <v>12252.71875</v>
      </c>
      <c r="M72" t="b">
        <v>0</v>
      </c>
      <c r="N72">
        <v>0.5</v>
      </c>
      <c r="O72" t="b">
        <v>0</v>
      </c>
      <c r="P72">
        <v>3</v>
      </c>
      <c r="Q72">
        <v>13</v>
      </c>
      <c r="R72">
        <v>80.813453674316406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</row>
    <row r="73" spans="1:23">
      <c r="A73" t="s">
        <v>130</v>
      </c>
      <c r="B73" t="s">
        <v>278</v>
      </c>
      <c r="C73" t="s">
        <v>270</v>
      </c>
      <c r="D73" t="s">
        <v>33</v>
      </c>
      <c r="E73" t="s">
        <v>27</v>
      </c>
      <c r="F73" t="s">
        <v>28</v>
      </c>
      <c r="G73">
        <v>20.157880783081055</v>
      </c>
      <c r="H73">
        <v>20.364940643310547</v>
      </c>
      <c r="I73">
        <v>0.29282552003860474</v>
      </c>
      <c r="J73">
        <v>156898.46875</v>
      </c>
      <c r="K73">
        <v>139663.4375</v>
      </c>
      <c r="L73">
        <v>24374.025390625</v>
      </c>
      <c r="M73" t="b">
        <v>0</v>
      </c>
      <c r="N73">
        <v>0.5</v>
      </c>
      <c r="O73" t="b">
        <v>0</v>
      </c>
      <c r="P73">
        <v>3</v>
      </c>
      <c r="Q73">
        <v>13</v>
      </c>
      <c r="R73">
        <v>80.618133544921875</v>
      </c>
      <c r="S73" t="s">
        <v>24</v>
      </c>
      <c r="T73" t="s">
        <v>24</v>
      </c>
      <c r="U73" t="s">
        <v>24</v>
      </c>
      <c r="V73" t="s">
        <v>29</v>
      </c>
      <c r="W73" t="s">
        <v>29</v>
      </c>
    </row>
    <row r="74" spans="1:23">
      <c r="A74" t="s">
        <v>132</v>
      </c>
      <c r="B74" t="s">
        <v>278</v>
      </c>
      <c r="C74" t="s">
        <v>270</v>
      </c>
      <c r="D74" t="s">
        <v>33</v>
      </c>
      <c r="E74" t="s">
        <v>27</v>
      </c>
      <c r="F74" t="s">
        <v>28</v>
      </c>
      <c r="G74">
        <v>20.571998596191406</v>
      </c>
      <c r="H74">
        <v>20.364940643310547</v>
      </c>
      <c r="I74">
        <v>0.29282552003860474</v>
      </c>
      <c r="J74">
        <v>122428.390625</v>
      </c>
      <c r="K74">
        <v>139663.4375</v>
      </c>
      <c r="L74">
        <v>24374.025390625</v>
      </c>
      <c r="M74" t="b">
        <v>0</v>
      </c>
      <c r="N74">
        <v>0.5</v>
      </c>
      <c r="O74" t="b">
        <v>0</v>
      </c>
      <c r="P74">
        <v>3</v>
      </c>
      <c r="Q74">
        <v>13</v>
      </c>
      <c r="R74">
        <v>80.618133544921875</v>
      </c>
      <c r="S74" t="s">
        <v>24</v>
      </c>
      <c r="T74" t="s">
        <v>24</v>
      </c>
      <c r="U74" t="s">
        <v>24</v>
      </c>
      <c r="V74" t="s">
        <v>29</v>
      </c>
      <c r="W74" t="s">
        <v>29</v>
      </c>
    </row>
    <row r="75" spans="1:23">
      <c r="A75" t="s">
        <v>133</v>
      </c>
      <c r="B75" t="s">
        <v>24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</row>
    <row r="76" spans="1:23">
      <c r="A76" t="s">
        <v>134</v>
      </c>
      <c r="B76" t="s">
        <v>24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</row>
    <row r="77" spans="1:23">
      <c r="A77" t="s">
        <v>135</v>
      </c>
      <c r="B77" t="s">
        <v>261</v>
      </c>
      <c r="C77" t="s">
        <v>270</v>
      </c>
      <c r="D77" t="s">
        <v>33</v>
      </c>
      <c r="E77" t="s">
        <v>27</v>
      </c>
      <c r="F77" t="s">
        <v>28</v>
      </c>
      <c r="G77">
        <v>19.1246337890625</v>
      </c>
      <c r="H77">
        <v>19.180835723876953</v>
      </c>
      <c r="I77">
        <v>7.9482890665531158E-2</v>
      </c>
      <c r="J77">
        <v>291358.34375</v>
      </c>
      <c r="K77">
        <v>281871.9375</v>
      </c>
      <c r="L77">
        <v>13415.8046875</v>
      </c>
      <c r="M77" t="b">
        <v>0</v>
      </c>
      <c r="N77">
        <v>0.5</v>
      </c>
      <c r="O77" t="b">
        <v>0</v>
      </c>
      <c r="P77">
        <v>3</v>
      </c>
      <c r="Q77">
        <v>14</v>
      </c>
      <c r="R77">
        <v>80.813453674316406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</row>
    <row r="78" spans="1:23">
      <c r="A78" t="s">
        <v>137</v>
      </c>
      <c r="B78" t="s">
        <v>261</v>
      </c>
      <c r="C78" t="s">
        <v>270</v>
      </c>
      <c r="D78" t="s">
        <v>33</v>
      </c>
      <c r="E78" t="s">
        <v>27</v>
      </c>
      <c r="F78" t="s">
        <v>28</v>
      </c>
      <c r="G78">
        <v>19.237039566040039</v>
      </c>
      <c r="H78">
        <v>19.180835723876953</v>
      </c>
      <c r="I78">
        <v>7.9482890665531158E-2</v>
      </c>
      <c r="J78">
        <v>272385.53125</v>
      </c>
      <c r="K78">
        <v>281871.9375</v>
      </c>
      <c r="L78">
        <v>13415.8046875</v>
      </c>
      <c r="M78" t="b">
        <v>0</v>
      </c>
      <c r="N78">
        <v>0.5</v>
      </c>
      <c r="O78" t="b">
        <v>0</v>
      </c>
      <c r="P78">
        <v>3</v>
      </c>
      <c r="Q78">
        <v>14</v>
      </c>
      <c r="R78">
        <v>80.813453674316406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</row>
    <row r="79" spans="1:23">
      <c r="A79" t="s">
        <v>138</v>
      </c>
      <c r="B79" t="s">
        <v>262</v>
      </c>
      <c r="C79" t="s">
        <v>270</v>
      </c>
      <c r="D79" t="s">
        <v>33</v>
      </c>
      <c r="E79" t="s">
        <v>27</v>
      </c>
      <c r="F79" t="s">
        <v>28</v>
      </c>
      <c r="G79">
        <v>20.993602752685547</v>
      </c>
      <c r="H79">
        <v>21.070159912109375</v>
      </c>
      <c r="I79">
        <v>0.10826952010393143</v>
      </c>
      <c r="J79">
        <v>95103.8125</v>
      </c>
      <c r="K79">
        <v>90936.28125</v>
      </c>
      <c r="L79">
        <v>5893.779296875</v>
      </c>
      <c r="M79" t="b">
        <v>0</v>
      </c>
      <c r="N79">
        <v>0.5</v>
      </c>
      <c r="O79" t="b">
        <v>0</v>
      </c>
      <c r="P79">
        <v>3</v>
      </c>
      <c r="Q79">
        <v>14</v>
      </c>
      <c r="R79">
        <v>80.813453674316406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</row>
    <row r="80" spans="1:23">
      <c r="A80" t="s">
        <v>140</v>
      </c>
      <c r="B80" t="s">
        <v>262</v>
      </c>
      <c r="C80" t="s">
        <v>270</v>
      </c>
      <c r="D80" t="s">
        <v>33</v>
      </c>
      <c r="E80" t="s">
        <v>27</v>
      </c>
      <c r="F80" t="s">
        <v>28</v>
      </c>
      <c r="G80">
        <v>21.146718978881836</v>
      </c>
      <c r="H80">
        <v>21.070159912109375</v>
      </c>
      <c r="I80">
        <v>0.10826952010393143</v>
      </c>
      <c r="J80">
        <v>86768.75</v>
      </c>
      <c r="K80">
        <v>90936.28125</v>
      </c>
      <c r="L80">
        <v>5893.779296875</v>
      </c>
      <c r="M80" t="b">
        <v>0</v>
      </c>
      <c r="N80">
        <v>0.5</v>
      </c>
      <c r="O80" t="b">
        <v>0</v>
      </c>
      <c r="P80">
        <v>3</v>
      </c>
      <c r="Q80">
        <v>14</v>
      </c>
      <c r="R80">
        <v>81.008773803710938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</row>
    <row r="81" spans="1:23">
      <c r="A81" t="s">
        <v>141</v>
      </c>
      <c r="B81" t="s">
        <v>263</v>
      </c>
      <c r="C81" t="s">
        <v>270</v>
      </c>
      <c r="D81" t="s">
        <v>33</v>
      </c>
      <c r="E81" t="s">
        <v>27</v>
      </c>
      <c r="F81" t="s">
        <v>28</v>
      </c>
      <c r="G81">
        <v>18.936061859130859</v>
      </c>
      <c r="H81">
        <v>18.92753791809082</v>
      </c>
      <c r="I81">
        <v>1.205467339605093E-2</v>
      </c>
      <c r="J81">
        <v>326201.65625</v>
      </c>
      <c r="K81">
        <v>327875.8125</v>
      </c>
      <c r="L81">
        <v>2367.636474609375</v>
      </c>
      <c r="M81" t="b">
        <v>0</v>
      </c>
      <c r="N81">
        <v>0.5</v>
      </c>
      <c r="O81" t="b">
        <v>0</v>
      </c>
      <c r="P81">
        <v>3</v>
      </c>
      <c r="Q81">
        <v>14</v>
      </c>
      <c r="R81">
        <v>80.813453674316406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</row>
    <row r="82" spans="1:23">
      <c r="A82" t="s">
        <v>143</v>
      </c>
      <c r="B82" t="s">
        <v>263</v>
      </c>
      <c r="C82" t="s">
        <v>270</v>
      </c>
      <c r="D82" t="s">
        <v>33</v>
      </c>
      <c r="E82" t="s">
        <v>27</v>
      </c>
      <c r="F82" t="s">
        <v>28</v>
      </c>
      <c r="G82">
        <v>18.919013977050781</v>
      </c>
      <c r="H82">
        <v>18.92753791809082</v>
      </c>
      <c r="I82">
        <v>1.205467339605093E-2</v>
      </c>
      <c r="J82">
        <v>329550</v>
      </c>
      <c r="K82">
        <v>327875.8125</v>
      </c>
      <c r="L82">
        <v>2367.636474609375</v>
      </c>
      <c r="M82" t="b">
        <v>0</v>
      </c>
      <c r="N82">
        <v>0.5</v>
      </c>
      <c r="O82" t="b">
        <v>0</v>
      </c>
      <c r="P82">
        <v>3</v>
      </c>
      <c r="Q82">
        <v>14</v>
      </c>
      <c r="R82">
        <v>80.813453674316406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</row>
    <row r="83" spans="1:23">
      <c r="A83" t="s">
        <v>144</v>
      </c>
      <c r="B83" t="s">
        <v>279</v>
      </c>
      <c r="C83" t="s">
        <v>270</v>
      </c>
      <c r="D83" t="s">
        <v>33</v>
      </c>
      <c r="E83" t="s">
        <v>27</v>
      </c>
      <c r="F83" t="s">
        <v>28</v>
      </c>
      <c r="G83">
        <v>28.723064422607422</v>
      </c>
      <c r="H83">
        <v>28.472923278808594</v>
      </c>
      <c r="I83">
        <v>0.35375165939331055</v>
      </c>
      <c r="J83">
        <v>927.4857177734375</v>
      </c>
      <c r="K83">
        <v>1089.5345458984375</v>
      </c>
      <c r="L83">
        <v>229.17164611816406</v>
      </c>
      <c r="M83" t="b">
        <v>0</v>
      </c>
      <c r="N83">
        <v>0.5</v>
      </c>
      <c r="O83" t="b">
        <v>1</v>
      </c>
      <c r="P83">
        <v>3</v>
      </c>
      <c r="Q83">
        <v>21</v>
      </c>
      <c r="R83">
        <v>80.813453674316406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</row>
    <row r="84" spans="1:23">
      <c r="A84" t="s">
        <v>146</v>
      </c>
      <c r="B84" t="s">
        <v>279</v>
      </c>
      <c r="C84" t="s">
        <v>270</v>
      </c>
      <c r="D84" t="s">
        <v>33</v>
      </c>
      <c r="E84" t="s">
        <v>27</v>
      </c>
      <c r="F84" t="s">
        <v>28</v>
      </c>
      <c r="G84">
        <v>28.222784042358398</v>
      </c>
      <c r="H84">
        <v>28.472923278808594</v>
      </c>
      <c r="I84">
        <v>0.35375165939331055</v>
      </c>
      <c r="J84">
        <v>1251.5833740234375</v>
      </c>
      <c r="K84">
        <v>1089.5345458984375</v>
      </c>
      <c r="L84">
        <v>229.17164611816406</v>
      </c>
      <c r="M84" t="b">
        <v>0</v>
      </c>
      <c r="N84">
        <v>0.5</v>
      </c>
      <c r="O84" t="b">
        <v>1</v>
      </c>
      <c r="P84">
        <v>3</v>
      </c>
      <c r="Q84">
        <v>21</v>
      </c>
      <c r="R84">
        <v>80.618133544921875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</row>
    <row r="85" spans="1:23">
      <c r="A85" t="s">
        <v>147</v>
      </c>
      <c r="B85" t="s">
        <v>193</v>
      </c>
      <c r="C85" t="s">
        <v>270</v>
      </c>
      <c r="D85" t="s">
        <v>33</v>
      </c>
      <c r="E85" t="s">
        <v>27</v>
      </c>
      <c r="F85" t="s">
        <v>28</v>
      </c>
      <c r="G85">
        <v>27.466798782348633</v>
      </c>
      <c r="H85">
        <v>28.27381706237793</v>
      </c>
      <c r="I85">
        <v>1.8166998624801636</v>
      </c>
      <c r="J85">
        <v>1968.504150390625</v>
      </c>
      <c r="K85">
        <v>1829.3154296875</v>
      </c>
      <c r="L85">
        <v>1539.4771728515625</v>
      </c>
      <c r="M85" t="b">
        <v>0</v>
      </c>
      <c r="N85">
        <v>0.5</v>
      </c>
      <c r="O85" t="b">
        <v>1</v>
      </c>
      <c r="P85">
        <v>3</v>
      </c>
      <c r="Q85">
        <v>22</v>
      </c>
      <c r="R85">
        <v>80.422805786132812</v>
      </c>
      <c r="S85" t="s">
        <v>24</v>
      </c>
      <c r="T85" t="s">
        <v>24</v>
      </c>
      <c r="U85" t="s">
        <v>24</v>
      </c>
      <c r="V85" t="s">
        <v>29</v>
      </c>
      <c r="W85" t="s">
        <v>114</v>
      </c>
    </row>
    <row r="86" spans="1:23">
      <c r="A86" t="s">
        <v>149</v>
      </c>
      <c r="B86" t="s">
        <v>193</v>
      </c>
      <c r="C86" t="s">
        <v>270</v>
      </c>
      <c r="D86" t="s">
        <v>33</v>
      </c>
      <c r="E86" t="s">
        <v>27</v>
      </c>
      <c r="F86" t="s">
        <v>28</v>
      </c>
      <c r="G86">
        <v>28.312099456787109</v>
      </c>
      <c r="H86">
        <v>28.27381706237793</v>
      </c>
      <c r="I86">
        <v>1.8166998624801636</v>
      </c>
      <c r="J86">
        <v>1186.3792724609375</v>
      </c>
      <c r="K86">
        <v>1829.3154296875</v>
      </c>
      <c r="L86">
        <v>1539.4771728515625</v>
      </c>
      <c r="M86" t="b">
        <v>0</v>
      </c>
      <c r="N86">
        <v>0.5</v>
      </c>
      <c r="O86" t="b">
        <v>1</v>
      </c>
      <c r="P86">
        <v>3</v>
      </c>
      <c r="Q86">
        <v>22</v>
      </c>
      <c r="R86">
        <v>80.618133544921875</v>
      </c>
      <c r="S86" t="s">
        <v>24</v>
      </c>
      <c r="T86" t="s">
        <v>24</v>
      </c>
      <c r="U86" t="s">
        <v>24</v>
      </c>
      <c r="V86" t="s">
        <v>29</v>
      </c>
      <c r="W86" t="s">
        <v>114</v>
      </c>
    </row>
    <row r="87" spans="1:23">
      <c r="A87" t="s">
        <v>150</v>
      </c>
      <c r="B87" t="s">
        <v>24</v>
      </c>
      <c r="C87" t="s">
        <v>270</v>
      </c>
      <c r="D87" t="s">
        <v>151</v>
      </c>
      <c r="E87" t="s">
        <v>27</v>
      </c>
      <c r="F87" t="s">
        <v>28</v>
      </c>
      <c r="G87">
        <v>43.964836120605469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b">
        <v>0</v>
      </c>
      <c r="N87">
        <v>0.5</v>
      </c>
      <c r="O87" t="b">
        <v>1</v>
      </c>
      <c r="P87">
        <v>3</v>
      </c>
      <c r="Q87">
        <v>38</v>
      </c>
      <c r="R87">
        <v>77.688308715820312</v>
      </c>
      <c r="S87" t="s">
        <v>24</v>
      </c>
      <c r="T87" t="s">
        <v>24</v>
      </c>
      <c r="U87" t="s">
        <v>24</v>
      </c>
      <c r="V87" t="s">
        <v>29</v>
      </c>
      <c r="W87" t="s">
        <v>29</v>
      </c>
    </row>
    <row r="88" spans="1:23">
      <c r="A88" t="s">
        <v>152</v>
      </c>
      <c r="B88" t="s">
        <v>24</v>
      </c>
      <c r="C88" t="s">
        <v>270</v>
      </c>
      <c r="D88" t="s">
        <v>151</v>
      </c>
      <c r="E88" t="s">
        <v>27</v>
      </c>
      <c r="F88" t="s">
        <v>28</v>
      </c>
      <c r="G88">
        <v>34.011802673339844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b">
        <v>0</v>
      </c>
      <c r="N88">
        <v>0.5</v>
      </c>
      <c r="O88" t="b">
        <v>1</v>
      </c>
      <c r="P88">
        <v>3</v>
      </c>
      <c r="Q88">
        <v>25</v>
      </c>
      <c r="R88">
        <v>80.422805786132812</v>
      </c>
      <c r="S88" t="s">
        <v>24</v>
      </c>
      <c r="T88" t="s">
        <v>24</v>
      </c>
      <c r="U88" t="s">
        <v>24</v>
      </c>
      <c r="V88" t="s">
        <v>114</v>
      </c>
      <c r="W88" t="s">
        <v>29</v>
      </c>
    </row>
    <row r="89" spans="1:23">
      <c r="A89" t="s">
        <v>153</v>
      </c>
      <c r="B89" t="s">
        <v>265</v>
      </c>
      <c r="C89" t="s">
        <v>270</v>
      </c>
      <c r="D89" t="s">
        <v>33</v>
      </c>
      <c r="E89" t="s">
        <v>27</v>
      </c>
      <c r="F89" t="s">
        <v>28</v>
      </c>
      <c r="G89">
        <v>20.507040023803711</v>
      </c>
      <c r="H89">
        <v>20.460300445556641</v>
      </c>
      <c r="I89">
        <v>6.6099748015403748E-2</v>
      </c>
      <c r="J89">
        <v>127286.3203125</v>
      </c>
      <c r="K89">
        <v>130951.859375</v>
      </c>
      <c r="L89">
        <v>5183.849609375</v>
      </c>
      <c r="M89" t="b">
        <v>0</v>
      </c>
      <c r="N89">
        <v>0.5</v>
      </c>
      <c r="O89" t="b">
        <v>0</v>
      </c>
      <c r="P89">
        <v>3</v>
      </c>
      <c r="Q89">
        <v>14</v>
      </c>
      <c r="R89">
        <v>80.618133544921875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</row>
    <row r="90" spans="1:23">
      <c r="A90" t="s">
        <v>155</v>
      </c>
      <c r="B90" t="s">
        <v>265</v>
      </c>
      <c r="C90" t="s">
        <v>270</v>
      </c>
      <c r="D90" t="s">
        <v>33</v>
      </c>
      <c r="E90" t="s">
        <v>27</v>
      </c>
      <c r="F90" t="s">
        <v>28</v>
      </c>
      <c r="G90">
        <v>20.41356086730957</v>
      </c>
      <c r="H90">
        <v>20.460300445556641</v>
      </c>
      <c r="I90">
        <v>6.6099748015403748E-2</v>
      </c>
      <c r="J90">
        <v>134617.390625</v>
      </c>
      <c r="K90">
        <v>130951.859375</v>
      </c>
      <c r="L90">
        <v>5183.849609375</v>
      </c>
      <c r="M90" t="b">
        <v>0</v>
      </c>
      <c r="N90">
        <v>0.5</v>
      </c>
      <c r="O90" t="b">
        <v>0</v>
      </c>
      <c r="P90">
        <v>3</v>
      </c>
      <c r="Q90">
        <v>14</v>
      </c>
      <c r="R90">
        <v>80.813453674316406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</row>
    <row r="91" spans="1:23">
      <c r="A91" t="s">
        <v>156</v>
      </c>
      <c r="B91" t="s">
        <v>266</v>
      </c>
      <c r="C91" t="s">
        <v>270</v>
      </c>
      <c r="D91" t="s">
        <v>33</v>
      </c>
      <c r="E91" t="s">
        <v>27</v>
      </c>
      <c r="F91" t="s">
        <v>28</v>
      </c>
      <c r="G91">
        <v>19.628593444824219</v>
      </c>
      <c r="H91">
        <v>19.446964263916016</v>
      </c>
      <c r="I91">
        <v>0.25686246156692505</v>
      </c>
      <c r="J91">
        <v>215435.71875</v>
      </c>
      <c r="K91">
        <v>241621.59375</v>
      </c>
      <c r="L91">
        <v>37032.41796875</v>
      </c>
      <c r="M91" t="b">
        <v>0</v>
      </c>
      <c r="N91">
        <v>0.5</v>
      </c>
      <c r="O91" t="b">
        <v>0</v>
      </c>
      <c r="P91">
        <v>3</v>
      </c>
      <c r="Q91">
        <v>14</v>
      </c>
      <c r="R91">
        <v>80.813453674316406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</row>
    <row r="92" spans="1:23">
      <c r="A92" t="s">
        <v>158</v>
      </c>
      <c r="B92" t="s">
        <v>266</v>
      </c>
      <c r="C92" t="s">
        <v>270</v>
      </c>
      <c r="D92" t="s">
        <v>33</v>
      </c>
      <c r="E92" t="s">
        <v>27</v>
      </c>
      <c r="F92" t="s">
        <v>28</v>
      </c>
      <c r="G92">
        <v>19.265335083007812</v>
      </c>
      <c r="H92">
        <v>19.446964263916016</v>
      </c>
      <c r="I92">
        <v>0.25686246156692505</v>
      </c>
      <c r="J92">
        <v>267807.46875</v>
      </c>
      <c r="K92">
        <v>241621.59375</v>
      </c>
      <c r="L92">
        <v>37032.41796875</v>
      </c>
      <c r="M92" t="b">
        <v>0</v>
      </c>
      <c r="N92">
        <v>0.5</v>
      </c>
      <c r="O92" t="b">
        <v>0</v>
      </c>
      <c r="P92">
        <v>3</v>
      </c>
      <c r="Q92">
        <v>14</v>
      </c>
      <c r="R92">
        <v>80.813453674316406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</row>
    <row r="93" spans="1:23">
      <c r="A93" t="s">
        <v>159</v>
      </c>
      <c r="B93" t="s">
        <v>267</v>
      </c>
      <c r="C93" t="s">
        <v>270</v>
      </c>
      <c r="D93" t="s">
        <v>33</v>
      </c>
      <c r="E93" t="s">
        <v>27</v>
      </c>
      <c r="F93" t="s">
        <v>28</v>
      </c>
      <c r="G93">
        <v>19.145811080932617</v>
      </c>
      <c r="H93">
        <v>19.118858337402344</v>
      </c>
      <c r="I93">
        <v>3.8116935640573502E-2</v>
      </c>
      <c r="J93">
        <v>287685.5</v>
      </c>
      <c r="K93">
        <v>292406.1875</v>
      </c>
      <c r="L93">
        <v>6676.08251953125</v>
      </c>
      <c r="M93" t="b">
        <v>0</v>
      </c>
      <c r="N93">
        <v>0.5</v>
      </c>
      <c r="O93" t="b">
        <v>0</v>
      </c>
      <c r="P93">
        <v>3</v>
      </c>
      <c r="Q93">
        <v>14</v>
      </c>
      <c r="R93">
        <v>80.813453674316406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</row>
    <row r="94" spans="1:23">
      <c r="A94" t="s">
        <v>161</v>
      </c>
      <c r="B94" t="s">
        <v>267</v>
      </c>
      <c r="C94" t="s">
        <v>270</v>
      </c>
      <c r="D94" t="s">
        <v>33</v>
      </c>
      <c r="E94" t="s">
        <v>27</v>
      </c>
      <c r="F94" t="s">
        <v>28</v>
      </c>
      <c r="G94">
        <v>19.09190559387207</v>
      </c>
      <c r="H94">
        <v>19.118858337402344</v>
      </c>
      <c r="I94">
        <v>3.8116935640573502E-2</v>
      </c>
      <c r="J94">
        <v>297126.90625</v>
      </c>
      <c r="K94">
        <v>292406.1875</v>
      </c>
      <c r="L94">
        <v>6676.08251953125</v>
      </c>
      <c r="M94" t="b">
        <v>0</v>
      </c>
      <c r="N94">
        <v>0.5</v>
      </c>
      <c r="O94" t="b">
        <v>0</v>
      </c>
      <c r="P94">
        <v>3</v>
      </c>
      <c r="Q94">
        <v>14</v>
      </c>
      <c r="R94">
        <v>80.618133544921875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</row>
    <row r="95" spans="1:23">
      <c r="A95" t="s">
        <v>162</v>
      </c>
      <c r="B95" t="s">
        <v>268</v>
      </c>
      <c r="C95" t="s">
        <v>270</v>
      </c>
      <c r="D95" t="s">
        <v>33</v>
      </c>
      <c r="E95" t="s">
        <v>27</v>
      </c>
      <c r="F95" t="s">
        <v>28</v>
      </c>
      <c r="G95">
        <v>26.912750244140625</v>
      </c>
      <c r="H95">
        <v>26.945404052734375</v>
      </c>
      <c r="I95">
        <v>4.6179458498954773E-2</v>
      </c>
      <c r="J95">
        <v>2743.324462890625</v>
      </c>
      <c r="K95">
        <v>2690.69873046875</v>
      </c>
      <c r="L95">
        <v>74.4241943359375</v>
      </c>
      <c r="M95" t="b">
        <v>0</v>
      </c>
      <c r="N95">
        <v>0.5</v>
      </c>
      <c r="O95" t="b">
        <v>0</v>
      </c>
      <c r="P95">
        <v>3</v>
      </c>
      <c r="Q95">
        <v>20</v>
      </c>
      <c r="R95">
        <v>80.618133544921875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</row>
    <row r="96" spans="1:23">
      <c r="A96" t="s">
        <v>164</v>
      </c>
      <c r="B96" t="s">
        <v>268</v>
      </c>
      <c r="C96" t="s">
        <v>270</v>
      </c>
      <c r="D96" t="s">
        <v>33</v>
      </c>
      <c r="E96" t="s">
        <v>27</v>
      </c>
      <c r="F96" t="s">
        <v>28</v>
      </c>
      <c r="G96">
        <v>26.978057861328125</v>
      </c>
      <c r="H96">
        <v>26.945404052734375</v>
      </c>
      <c r="I96">
        <v>4.6179458498954773E-2</v>
      </c>
      <c r="J96">
        <v>2638.07275390625</v>
      </c>
      <c r="K96">
        <v>2690.69873046875</v>
      </c>
      <c r="L96">
        <v>74.4241943359375</v>
      </c>
      <c r="M96" t="b">
        <v>0</v>
      </c>
      <c r="N96">
        <v>0.5</v>
      </c>
      <c r="O96" t="b">
        <v>0</v>
      </c>
      <c r="P96">
        <v>3</v>
      </c>
      <c r="Q96">
        <v>20</v>
      </c>
      <c r="R96">
        <v>80.618133544921875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</row>
    <row r="97" spans="1:23">
      <c r="A97" t="s">
        <v>165</v>
      </c>
      <c r="B97" t="s">
        <v>24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</row>
    <row r="98" spans="1:23">
      <c r="A98" t="s">
        <v>167</v>
      </c>
      <c r="B98" t="s">
        <v>24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8"/>
  <sheetViews>
    <sheetView topLeftCell="A61" workbookViewId="0">
      <selection activeCell="A3" sqref="A3:K98"/>
    </sheetView>
  </sheetViews>
  <sheetFormatPr baseColWidth="10" defaultRowHeight="15"/>
  <sheetData>
    <row r="1" spans="1:24">
      <c r="A1" t="s">
        <v>222</v>
      </c>
      <c r="B1" t="s">
        <v>231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169</v>
      </c>
      <c r="W2" t="s">
        <v>182</v>
      </c>
      <c r="X2" t="s">
        <v>181</v>
      </c>
    </row>
    <row r="3" spans="1:24">
      <c r="A3" t="s">
        <v>23</v>
      </c>
      <c r="B3" t="s">
        <v>24</v>
      </c>
      <c r="C3" t="s">
        <v>232</v>
      </c>
      <c r="D3" t="s">
        <v>26</v>
      </c>
      <c r="E3" t="s">
        <v>27</v>
      </c>
      <c r="F3" t="s">
        <v>28</v>
      </c>
      <c r="G3">
        <v>13.927281379699707</v>
      </c>
      <c r="H3">
        <v>13.914779663085938</v>
      </c>
      <c r="I3">
        <v>1.7680097371339798E-2</v>
      </c>
      <c r="J3">
        <v>10000000</v>
      </c>
      <c r="K3" t="s">
        <v>24</v>
      </c>
      <c r="L3" t="s">
        <v>24</v>
      </c>
      <c r="M3" t="b">
        <v>0</v>
      </c>
      <c r="N3">
        <v>1</v>
      </c>
      <c r="O3" t="b">
        <v>1</v>
      </c>
      <c r="P3">
        <v>3</v>
      </c>
      <c r="Q3">
        <v>8</v>
      </c>
      <c r="R3">
        <v>80.687278747558594</v>
      </c>
      <c r="S3" t="s">
        <v>24</v>
      </c>
      <c r="T3" t="s">
        <v>24</v>
      </c>
      <c r="U3" t="s">
        <v>24</v>
      </c>
      <c r="V3" t="s">
        <v>29</v>
      </c>
      <c r="W3" t="s">
        <v>29</v>
      </c>
      <c r="X3" t="s">
        <v>29</v>
      </c>
    </row>
    <row r="4" spans="1:24">
      <c r="A4" t="s">
        <v>30</v>
      </c>
      <c r="B4" t="s">
        <v>24</v>
      </c>
      <c r="C4" t="s">
        <v>232</v>
      </c>
      <c r="D4" t="s">
        <v>26</v>
      </c>
      <c r="E4" t="s">
        <v>27</v>
      </c>
      <c r="F4" t="s">
        <v>28</v>
      </c>
      <c r="G4">
        <v>13.902277946472168</v>
      </c>
      <c r="H4">
        <v>13.914779663085938</v>
      </c>
      <c r="I4">
        <v>1.7680097371339798E-2</v>
      </c>
      <c r="J4">
        <v>10000000</v>
      </c>
      <c r="K4" t="s">
        <v>24</v>
      </c>
      <c r="L4" t="s">
        <v>24</v>
      </c>
      <c r="M4" t="b">
        <v>0</v>
      </c>
      <c r="N4">
        <v>1</v>
      </c>
      <c r="O4" t="b">
        <v>1</v>
      </c>
      <c r="P4">
        <v>3</v>
      </c>
      <c r="Q4">
        <v>8</v>
      </c>
      <c r="R4">
        <v>80.687278747558594</v>
      </c>
      <c r="S4" t="s">
        <v>24</v>
      </c>
      <c r="T4" t="s">
        <v>24</v>
      </c>
      <c r="U4" t="s">
        <v>24</v>
      </c>
      <c r="V4" t="s">
        <v>29</v>
      </c>
      <c r="W4" t="s">
        <v>29</v>
      </c>
      <c r="X4" t="s">
        <v>29</v>
      </c>
    </row>
    <row r="5" spans="1:24">
      <c r="A5" t="s">
        <v>31</v>
      </c>
      <c r="B5" t="s">
        <v>233</v>
      </c>
      <c r="C5" t="s">
        <v>232</v>
      </c>
      <c r="D5" t="s">
        <v>33</v>
      </c>
      <c r="E5" t="s">
        <v>27</v>
      </c>
      <c r="F5" t="s">
        <v>28</v>
      </c>
      <c r="G5">
        <v>20.376846313476562</v>
      </c>
      <c r="H5">
        <v>20.326532363891602</v>
      </c>
      <c r="I5">
        <v>7.1154668927192688E-2</v>
      </c>
      <c r="J5">
        <v>150339.859375</v>
      </c>
      <c r="K5">
        <v>155217.859375</v>
      </c>
      <c r="L5">
        <v>6898.53369140625</v>
      </c>
      <c r="M5" t="b">
        <v>0</v>
      </c>
      <c r="N5">
        <v>1</v>
      </c>
      <c r="O5" t="b">
        <v>0</v>
      </c>
      <c r="P5">
        <v>3</v>
      </c>
      <c r="Q5">
        <v>13</v>
      </c>
      <c r="R5">
        <v>80.687278747558594</v>
      </c>
      <c r="S5" t="s">
        <v>24</v>
      </c>
      <c r="T5" t="s">
        <v>24</v>
      </c>
      <c r="U5" t="s">
        <v>24</v>
      </c>
      <c r="V5" t="s">
        <v>29</v>
      </c>
      <c r="W5" t="s">
        <v>29</v>
      </c>
      <c r="X5" t="s">
        <v>29</v>
      </c>
    </row>
    <row r="6" spans="1:24">
      <c r="A6" t="s">
        <v>34</v>
      </c>
      <c r="B6" t="s">
        <v>233</v>
      </c>
      <c r="C6" t="s">
        <v>232</v>
      </c>
      <c r="D6" t="s">
        <v>33</v>
      </c>
      <c r="E6" t="s">
        <v>27</v>
      </c>
      <c r="F6" t="s">
        <v>28</v>
      </c>
      <c r="G6">
        <v>20.276218414306641</v>
      </c>
      <c r="H6">
        <v>20.326532363891602</v>
      </c>
      <c r="I6">
        <v>7.1154668927192688E-2</v>
      </c>
      <c r="J6">
        <v>160095.859375</v>
      </c>
      <c r="K6">
        <v>155217.859375</v>
      </c>
      <c r="L6">
        <v>6898.53369140625</v>
      </c>
      <c r="M6" t="b">
        <v>0</v>
      </c>
      <c r="N6">
        <v>1</v>
      </c>
      <c r="O6" t="b">
        <v>0</v>
      </c>
      <c r="P6">
        <v>3</v>
      </c>
      <c r="Q6">
        <v>13</v>
      </c>
      <c r="R6">
        <v>80.687278747558594</v>
      </c>
      <c r="S6" t="s">
        <v>24</v>
      </c>
      <c r="T6" t="s">
        <v>24</v>
      </c>
      <c r="U6" t="s">
        <v>24</v>
      </c>
      <c r="V6" t="s">
        <v>29</v>
      </c>
      <c r="W6" t="s">
        <v>29</v>
      </c>
      <c r="X6" t="s">
        <v>29</v>
      </c>
    </row>
    <row r="7" spans="1:24">
      <c r="A7" t="s">
        <v>35</v>
      </c>
      <c r="B7" t="s">
        <v>234</v>
      </c>
      <c r="C7" t="s">
        <v>232</v>
      </c>
      <c r="D7" t="s">
        <v>33</v>
      </c>
      <c r="E7" t="s">
        <v>27</v>
      </c>
      <c r="F7" t="s">
        <v>28</v>
      </c>
      <c r="G7">
        <v>19.441873550415039</v>
      </c>
      <c r="H7">
        <v>19.464851379394531</v>
      </c>
      <c r="I7">
        <v>3.2496906816959381E-2</v>
      </c>
      <c r="J7">
        <v>269640</v>
      </c>
      <c r="K7">
        <v>265823.6875</v>
      </c>
      <c r="L7">
        <v>5397.091796875</v>
      </c>
      <c r="M7" t="b">
        <v>0</v>
      </c>
      <c r="N7">
        <v>1</v>
      </c>
      <c r="O7" t="b">
        <v>0</v>
      </c>
      <c r="P7">
        <v>3</v>
      </c>
      <c r="Q7">
        <v>13</v>
      </c>
      <c r="R7">
        <v>80.493057250976562</v>
      </c>
      <c r="S7" t="s">
        <v>24</v>
      </c>
      <c r="T7" t="s">
        <v>24</v>
      </c>
      <c r="U7" t="s">
        <v>24</v>
      </c>
      <c r="V7" t="s">
        <v>29</v>
      </c>
      <c r="W7" t="s">
        <v>29</v>
      </c>
      <c r="X7" t="s">
        <v>29</v>
      </c>
    </row>
    <row r="8" spans="1:24">
      <c r="A8" t="s">
        <v>37</v>
      </c>
      <c r="B8" t="s">
        <v>234</v>
      </c>
      <c r="C8" t="s">
        <v>232</v>
      </c>
      <c r="D8" t="s">
        <v>33</v>
      </c>
      <c r="E8" t="s">
        <v>27</v>
      </c>
      <c r="F8" t="s">
        <v>28</v>
      </c>
      <c r="G8">
        <v>19.487831115722656</v>
      </c>
      <c r="H8">
        <v>19.464851379394531</v>
      </c>
      <c r="I8">
        <v>3.2496906816959381E-2</v>
      </c>
      <c r="J8">
        <v>262007.359375</v>
      </c>
      <c r="K8">
        <v>265823.6875</v>
      </c>
      <c r="L8">
        <v>5397.091796875</v>
      </c>
      <c r="M8" t="b">
        <v>0</v>
      </c>
      <c r="N8">
        <v>1</v>
      </c>
      <c r="O8" t="b">
        <v>0</v>
      </c>
      <c r="P8">
        <v>3</v>
      </c>
      <c r="Q8">
        <v>13</v>
      </c>
      <c r="R8">
        <v>80.687278747558594</v>
      </c>
      <c r="S8" t="s">
        <v>24</v>
      </c>
      <c r="T8" t="s">
        <v>24</v>
      </c>
      <c r="U8" t="s">
        <v>24</v>
      </c>
      <c r="V8" t="s">
        <v>29</v>
      </c>
      <c r="W8" t="s">
        <v>29</v>
      </c>
      <c r="X8" t="s">
        <v>29</v>
      </c>
    </row>
    <row r="9" spans="1:24">
      <c r="A9" t="s">
        <v>38</v>
      </c>
      <c r="B9" t="s">
        <v>235</v>
      </c>
      <c r="C9" t="s">
        <v>232</v>
      </c>
      <c r="D9" t="s">
        <v>33</v>
      </c>
      <c r="E9" t="s">
        <v>27</v>
      </c>
      <c r="F9" t="s">
        <v>28</v>
      </c>
      <c r="G9">
        <v>20.695667266845703</v>
      </c>
      <c r="H9">
        <v>20.792552947998047</v>
      </c>
      <c r="I9">
        <v>0.13701839745044708</v>
      </c>
      <c r="J9">
        <v>123185.6953125</v>
      </c>
      <c r="K9">
        <v>116162.203125</v>
      </c>
      <c r="L9">
        <v>9932.7236328125</v>
      </c>
      <c r="M9" t="b">
        <v>0</v>
      </c>
      <c r="N9">
        <v>1</v>
      </c>
      <c r="O9" t="b">
        <v>0</v>
      </c>
      <c r="P9">
        <v>3</v>
      </c>
      <c r="Q9">
        <v>13</v>
      </c>
      <c r="R9">
        <v>80.493057250976562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  <c r="X9" t="s">
        <v>29</v>
      </c>
    </row>
    <row r="10" spans="1:24">
      <c r="A10" t="s">
        <v>40</v>
      </c>
      <c r="B10" t="s">
        <v>235</v>
      </c>
      <c r="C10" t="s">
        <v>232</v>
      </c>
      <c r="D10" t="s">
        <v>33</v>
      </c>
      <c r="E10" t="s">
        <v>27</v>
      </c>
      <c r="F10" t="s">
        <v>28</v>
      </c>
      <c r="G10">
        <v>20.889440536499023</v>
      </c>
      <c r="H10">
        <v>20.792552947998047</v>
      </c>
      <c r="I10">
        <v>0.13701839745044708</v>
      </c>
      <c r="J10">
        <v>109138.703125</v>
      </c>
      <c r="K10">
        <v>116162.203125</v>
      </c>
      <c r="L10">
        <v>9932.7236328125</v>
      </c>
      <c r="M10" t="b">
        <v>0</v>
      </c>
      <c r="N10">
        <v>1</v>
      </c>
      <c r="O10" t="b">
        <v>0</v>
      </c>
      <c r="P10">
        <v>3</v>
      </c>
      <c r="Q10">
        <v>13</v>
      </c>
      <c r="R10">
        <v>80.493057250976562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  <c r="X10" t="s">
        <v>29</v>
      </c>
    </row>
    <row r="11" spans="1:24">
      <c r="A11" t="s">
        <v>41</v>
      </c>
      <c r="B11" t="s">
        <v>236</v>
      </c>
      <c r="C11" t="s">
        <v>232</v>
      </c>
      <c r="D11" t="s">
        <v>33</v>
      </c>
      <c r="E11" t="s">
        <v>27</v>
      </c>
      <c r="F11" t="s">
        <v>28</v>
      </c>
      <c r="G11">
        <v>19.644306182861328</v>
      </c>
      <c r="H11">
        <v>19.7257080078125</v>
      </c>
      <c r="I11">
        <v>0.11511821299791336</v>
      </c>
      <c r="J11">
        <v>237603.640625</v>
      </c>
      <c r="K11">
        <v>226113.234375</v>
      </c>
      <c r="L11">
        <v>16249.888671875</v>
      </c>
      <c r="M11" t="b">
        <v>0</v>
      </c>
      <c r="N11">
        <v>1</v>
      </c>
      <c r="O11" t="b">
        <v>0</v>
      </c>
      <c r="P11">
        <v>3</v>
      </c>
      <c r="Q11">
        <v>13</v>
      </c>
      <c r="R11">
        <v>80.298843383789062</v>
      </c>
      <c r="S11" t="s">
        <v>24</v>
      </c>
      <c r="T11" t="s">
        <v>24</v>
      </c>
      <c r="U11" t="s">
        <v>24</v>
      </c>
      <c r="V11" t="s">
        <v>29</v>
      </c>
      <c r="W11" t="s">
        <v>29</v>
      </c>
      <c r="X11" t="s">
        <v>29</v>
      </c>
    </row>
    <row r="12" spans="1:24">
      <c r="A12" t="s">
        <v>43</v>
      </c>
      <c r="B12" t="s">
        <v>236</v>
      </c>
      <c r="C12" t="s">
        <v>232</v>
      </c>
      <c r="D12" t="s">
        <v>33</v>
      </c>
      <c r="E12" t="s">
        <v>27</v>
      </c>
      <c r="F12" t="s">
        <v>28</v>
      </c>
      <c r="G12">
        <v>19.807107925415039</v>
      </c>
      <c r="H12">
        <v>19.7257080078125</v>
      </c>
      <c r="I12">
        <v>0.11511821299791336</v>
      </c>
      <c r="J12">
        <v>214622.828125</v>
      </c>
      <c r="K12">
        <v>226113.234375</v>
      </c>
      <c r="L12">
        <v>16249.888671875</v>
      </c>
      <c r="M12" t="b">
        <v>0</v>
      </c>
      <c r="N12">
        <v>1</v>
      </c>
      <c r="O12" t="b">
        <v>0</v>
      </c>
      <c r="P12">
        <v>3</v>
      </c>
      <c r="Q12">
        <v>13</v>
      </c>
      <c r="R12">
        <v>80.298843383789062</v>
      </c>
      <c r="S12" t="s">
        <v>24</v>
      </c>
      <c r="T12" t="s">
        <v>24</v>
      </c>
      <c r="U12" t="s">
        <v>24</v>
      </c>
      <c r="V12" t="s">
        <v>29</v>
      </c>
      <c r="W12" t="s">
        <v>29</v>
      </c>
      <c r="X12" t="s">
        <v>29</v>
      </c>
    </row>
    <row r="13" spans="1:24">
      <c r="A13" t="s">
        <v>44</v>
      </c>
      <c r="B13" t="s">
        <v>237</v>
      </c>
      <c r="C13" t="s">
        <v>232</v>
      </c>
      <c r="D13" t="s">
        <v>33</v>
      </c>
      <c r="E13" t="s">
        <v>27</v>
      </c>
      <c r="F13" t="s">
        <v>28</v>
      </c>
      <c r="G13">
        <v>22.333139419555664</v>
      </c>
      <c r="H13">
        <v>22.286865234375</v>
      </c>
      <c r="I13">
        <v>6.5442927181720734E-2</v>
      </c>
      <c r="J13">
        <v>44281.55859375</v>
      </c>
      <c r="K13">
        <v>45599.640625</v>
      </c>
      <c r="L13">
        <v>1864.0494384765625</v>
      </c>
      <c r="M13" t="b">
        <v>0</v>
      </c>
      <c r="N13">
        <v>1</v>
      </c>
      <c r="O13" t="b">
        <v>0</v>
      </c>
      <c r="P13">
        <v>3</v>
      </c>
      <c r="Q13">
        <v>13</v>
      </c>
      <c r="R13">
        <v>80.298843383789062</v>
      </c>
      <c r="S13" t="s">
        <v>24</v>
      </c>
      <c r="T13" t="s">
        <v>24</v>
      </c>
      <c r="U13" t="s">
        <v>24</v>
      </c>
      <c r="V13" t="s">
        <v>29</v>
      </c>
      <c r="W13" t="s">
        <v>29</v>
      </c>
      <c r="X13" t="s">
        <v>29</v>
      </c>
    </row>
    <row r="14" spans="1:24">
      <c r="A14" t="s">
        <v>46</v>
      </c>
      <c r="B14" t="s">
        <v>237</v>
      </c>
      <c r="C14" t="s">
        <v>232</v>
      </c>
      <c r="D14" t="s">
        <v>33</v>
      </c>
      <c r="E14" t="s">
        <v>27</v>
      </c>
      <c r="F14" t="s">
        <v>28</v>
      </c>
      <c r="G14">
        <v>22.240589141845703</v>
      </c>
      <c r="H14">
        <v>22.286865234375</v>
      </c>
      <c r="I14">
        <v>6.5442927181720734E-2</v>
      </c>
      <c r="J14">
        <v>46917.72265625</v>
      </c>
      <c r="K14">
        <v>45599.640625</v>
      </c>
      <c r="L14">
        <v>1864.0494384765625</v>
      </c>
      <c r="M14" t="b">
        <v>0</v>
      </c>
      <c r="N14">
        <v>1</v>
      </c>
      <c r="O14" t="b">
        <v>0</v>
      </c>
      <c r="P14">
        <v>3</v>
      </c>
      <c r="Q14">
        <v>13</v>
      </c>
      <c r="R14">
        <v>80.298843383789062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  <c r="X14" t="s">
        <v>29</v>
      </c>
    </row>
    <row r="15" spans="1:24">
      <c r="A15" t="s">
        <v>47</v>
      </c>
      <c r="B15" t="s">
        <v>24</v>
      </c>
      <c r="C15" t="s">
        <v>232</v>
      </c>
      <c r="D15" t="s">
        <v>26</v>
      </c>
      <c r="E15" t="s">
        <v>27</v>
      </c>
      <c r="F15" t="s">
        <v>28</v>
      </c>
      <c r="G15">
        <v>16.983005523681641</v>
      </c>
      <c r="H15">
        <v>17.05284309387207</v>
      </c>
      <c r="I15">
        <v>9.8765239119529724E-2</v>
      </c>
      <c r="J15">
        <v>1000000</v>
      </c>
      <c r="K15" t="s">
        <v>24</v>
      </c>
      <c r="L15" t="s">
        <v>24</v>
      </c>
      <c r="M15" t="b">
        <v>0</v>
      </c>
      <c r="N15">
        <v>1</v>
      </c>
      <c r="O15" t="b">
        <v>1</v>
      </c>
      <c r="P15">
        <v>3</v>
      </c>
      <c r="Q15">
        <v>11</v>
      </c>
      <c r="R15">
        <v>80.493057250976562</v>
      </c>
      <c r="S15" t="s">
        <v>24</v>
      </c>
      <c r="T15" t="s">
        <v>24</v>
      </c>
      <c r="U15" t="s">
        <v>24</v>
      </c>
      <c r="V15" t="s">
        <v>29</v>
      </c>
      <c r="W15" t="s">
        <v>29</v>
      </c>
      <c r="X15" t="s">
        <v>29</v>
      </c>
    </row>
    <row r="16" spans="1:24">
      <c r="A16" t="s">
        <v>48</v>
      </c>
      <c r="B16" t="s">
        <v>24</v>
      </c>
      <c r="C16" t="s">
        <v>232</v>
      </c>
      <c r="D16" t="s">
        <v>26</v>
      </c>
      <c r="E16" t="s">
        <v>27</v>
      </c>
      <c r="F16" t="s">
        <v>28</v>
      </c>
      <c r="G16">
        <v>17.1226806640625</v>
      </c>
      <c r="H16">
        <v>17.05284309387207</v>
      </c>
      <c r="I16">
        <v>9.8765239119529724E-2</v>
      </c>
      <c r="J16">
        <v>1000000</v>
      </c>
      <c r="K16" t="s">
        <v>24</v>
      </c>
      <c r="L16" t="s">
        <v>24</v>
      </c>
      <c r="M16" t="b">
        <v>0</v>
      </c>
      <c r="N16">
        <v>1</v>
      </c>
      <c r="O16" t="b">
        <v>1</v>
      </c>
      <c r="P16">
        <v>3</v>
      </c>
      <c r="Q16">
        <v>11</v>
      </c>
      <c r="R16">
        <v>80.687278747558594</v>
      </c>
      <c r="S16" t="s">
        <v>24</v>
      </c>
      <c r="T16" t="s">
        <v>24</v>
      </c>
      <c r="U16" t="s">
        <v>24</v>
      </c>
      <c r="V16" t="s">
        <v>29</v>
      </c>
      <c r="W16" t="s">
        <v>29</v>
      </c>
      <c r="X16" t="s">
        <v>29</v>
      </c>
    </row>
    <row r="17" spans="1:24">
      <c r="A17" t="s">
        <v>49</v>
      </c>
      <c r="B17" t="s">
        <v>238</v>
      </c>
      <c r="C17" t="s">
        <v>232</v>
      </c>
      <c r="D17" t="s">
        <v>33</v>
      </c>
      <c r="E17" t="s">
        <v>27</v>
      </c>
      <c r="F17" t="s">
        <v>28</v>
      </c>
      <c r="G17">
        <v>22.16877555847168</v>
      </c>
      <c r="H17">
        <v>22.306720733642578</v>
      </c>
      <c r="I17">
        <v>0.19508393108844757</v>
      </c>
      <c r="J17">
        <v>49070.890625</v>
      </c>
      <c r="K17">
        <v>45185.8984375</v>
      </c>
      <c r="L17">
        <v>5494.21142578125</v>
      </c>
      <c r="M17" t="b">
        <v>0</v>
      </c>
      <c r="N17">
        <v>1</v>
      </c>
      <c r="O17" t="b">
        <v>0</v>
      </c>
      <c r="P17">
        <v>3</v>
      </c>
      <c r="Q17">
        <v>16</v>
      </c>
      <c r="R17">
        <v>80.687278747558594</v>
      </c>
      <c r="S17" t="s">
        <v>24</v>
      </c>
      <c r="T17" t="s">
        <v>24</v>
      </c>
      <c r="U17" t="s">
        <v>24</v>
      </c>
      <c r="V17" t="s">
        <v>29</v>
      </c>
      <c r="W17" t="s">
        <v>29</v>
      </c>
      <c r="X17" t="s">
        <v>29</v>
      </c>
    </row>
    <row r="18" spans="1:24">
      <c r="A18" t="s">
        <v>51</v>
      </c>
      <c r="B18" t="s">
        <v>238</v>
      </c>
      <c r="C18" t="s">
        <v>232</v>
      </c>
      <c r="D18" t="s">
        <v>33</v>
      </c>
      <c r="E18" t="s">
        <v>27</v>
      </c>
      <c r="F18" t="s">
        <v>28</v>
      </c>
      <c r="G18">
        <v>22.444665908813477</v>
      </c>
      <c r="H18">
        <v>22.306720733642578</v>
      </c>
      <c r="I18">
        <v>0.19508393108844757</v>
      </c>
      <c r="J18">
        <v>41300.90234375</v>
      </c>
      <c r="K18">
        <v>45185.8984375</v>
      </c>
      <c r="L18">
        <v>5494.21142578125</v>
      </c>
      <c r="M18" t="b">
        <v>0</v>
      </c>
      <c r="N18">
        <v>1</v>
      </c>
      <c r="O18" t="b">
        <v>0</v>
      </c>
      <c r="P18">
        <v>3</v>
      </c>
      <c r="Q18">
        <v>16</v>
      </c>
      <c r="R18">
        <v>80.687278747558594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  <c r="X18" t="s">
        <v>29</v>
      </c>
    </row>
    <row r="19" spans="1:24">
      <c r="A19" t="s">
        <v>52</v>
      </c>
      <c r="B19" t="s">
        <v>239</v>
      </c>
      <c r="C19" t="s">
        <v>232</v>
      </c>
      <c r="D19" t="s">
        <v>33</v>
      </c>
      <c r="E19" t="s">
        <v>27</v>
      </c>
      <c r="F19" t="s">
        <v>28</v>
      </c>
      <c r="G19">
        <v>19.20964241027832</v>
      </c>
      <c r="H19">
        <v>19.130256652832031</v>
      </c>
      <c r="I19">
        <v>0.11226976662874222</v>
      </c>
      <c r="J19">
        <v>311746.5</v>
      </c>
      <c r="K19">
        <v>328002.875</v>
      </c>
      <c r="L19">
        <v>22990.0078125</v>
      </c>
      <c r="M19" t="b">
        <v>0</v>
      </c>
      <c r="N19">
        <v>1</v>
      </c>
      <c r="O19" t="b">
        <v>1</v>
      </c>
      <c r="P19">
        <v>3</v>
      </c>
      <c r="Q19">
        <v>11</v>
      </c>
      <c r="R19">
        <v>80.881500244140625</v>
      </c>
      <c r="S19" t="s">
        <v>24</v>
      </c>
      <c r="T19" t="s">
        <v>24</v>
      </c>
      <c r="U19" t="s">
        <v>24</v>
      </c>
      <c r="V19" t="s">
        <v>29</v>
      </c>
      <c r="W19" t="s">
        <v>29</v>
      </c>
      <c r="X19" t="s">
        <v>29</v>
      </c>
    </row>
    <row r="20" spans="1:24">
      <c r="A20" t="s">
        <v>54</v>
      </c>
      <c r="B20" t="s">
        <v>239</v>
      </c>
      <c r="C20" t="s">
        <v>232</v>
      </c>
      <c r="D20" t="s">
        <v>33</v>
      </c>
      <c r="E20" t="s">
        <v>27</v>
      </c>
      <c r="F20" t="s">
        <v>28</v>
      </c>
      <c r="G20">
        <v>19.050868988037109</v>
      </c>
      <c r="H20">
        <v>19.130256652832031</v>
      </c>
      <c r="I20">
        <v>0.11226976662874222</v>
      </c>
      <c r="J20">
        <v>344259.28125</v>
      </c>
      <c r="K20">
        <v>328002.875</v>
      </c>
      <c r="L20">
        <v>22990.0078125</v>
      </c>
      <c r="M20" t="b">
        <v>0</v>
      </c>
      <c r="N20">
        <v>1</v>
      </c>
      <c r="O20" t="b">
        <v>1</v>
      </c>
      <c r="P20">
        <v>3</v>
      </c>
      <c r="Q20">
        <v>11</v>
      </c>
      <c r="R20">
        <v>80.881500244140625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  <c r="X20" t="s">
        <v>29</v>
      </c>
    </row>
    <row r="21" spans="1:24">
      <c r="A21" t="s">
        <v>55</v>
      </c>
      <c r="B21" t="s">
        <v>240</v>
      </c>
      <c r="C21" t="s">
        <v>232</v>
      </c>
      <c r="D21" t="s">
        <v>33</v>
      </c>
      <c r="E21" t="s">
        <v>27</v>
      </c>
      <c r="F21" t="s">
        <v>28</v>
      </c>
      <c r="G21">
        <v>21.669744491577148</v>
      </c>
      <c r="H21">
        <v>21.648700714111328</v>
      </c>
      <c r="I21">
        <v>2.9761744663119316E-2</v>
      </c>
      <c r="J21">
        <v>67025.3203125</v>
      </c>
      <c r="K21">
        <v>67918.3359375</v>
      </c>
      <c r="L21">
        <v>1262.914794921875</v>
      </c>
      <c r="M21" t="b">
        <v>0</v>
      </c>
      <c r="N21">
        <v>1</v>
      </c>
      <c r="O21" t="b">
        <v>0</v>
      </c>
      <c r="P21">
        <v>3</v>
      </c>
      <c r="Q21">
        <v>12</v>
      </c>
      <c r="R21">
        <v>80.687278747558594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  <c r="X21" t="s">
        <v>29</v>
      </c>
    </row>
    <row r="22" spans="1:24">
      <c r="A22" t="s">
        <v>57</v>
      </c>
      <c r="B22" t="s">
        <v>240</v>
      </c>
      <c r="C22" t="s">
        <v>232</v>
      </c>
      <c r="D22" t="s">
        <v>33</v>
      </c>
      <c r="E22" t="s">
        <v>27</v>
      </c>
      <c r="F22" t="s">
        <v>28</v>
      </c>
      <c r="G22">
        <v>21.627655029296875</v>
      </c>
      <c r="H22">
        <v>21.648700714111328</v>
      </c>
      <c r="I22">
        <v>2.9761744663119316E-2</v>
      </c>
      <c r="J22">
        <v>68811.3515625</v>
      </c>
      <c r="K22">
        <v>67918.3359375</v>
      </c>
      <c r="L22">
        <v>1262.914794921875</v>
      </c>
      <c r="M22" t="b">
        <v>0</v>
      </c>
      <c r="N22">
        <v>1</v>
      </c>
      <c r="O22" t="b">
        <v>0</v>
      </c>
      <c r="P22">
        <v>3</v>
      </c>
      <c r="Q22">
        <v>13</v>
      </c>
      <c r="R22">
        <v>80.687278747558594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  <c r="X22" t="s">
        <v>29</v>
      </c>
    </row>
    <row r="23" spans="1:24">
      <c r="A23" t="s">
        <v>58</v>
      </c>
      <c r="B23" t="s">
        <v>193</v>
      </c>
      <c r="C23" t="s">
        <v>232</v>
      </c>
      <c r="D23" t="s">
        <v>33</v>
      </c>
      <c r="E23" t="s">
        <v>27</v>
      </c>
      <c r="F23" t="s">
        <v>28</v>
      </c>
      <c r="G23">
        <v>32.153816223144531</v>
      </c>
      <c r="H23">
        <v>30.9715576171875</v>
      </c>
      <c r="I23">
        <v>1.1708433628082275</v>
      </c>
      <c r="J23">
        <v>95.791358947753906</v>
      </c>
      <c r="K23">
        <v>241.7938232421875</v>
      </c>
      <c r="L23">
        <v>155.28828430175781</v>
      </c>
      <c r="M23" t="b">
        <v>0</v>
      </c>
      <c r="N23">
        <v>1</v>
      </c>
      <c r="O23" t="b">
        <v>1</v>
      </c>
      <c r="P23">
        <v>3</v>
      </c>
      <c r="Q23">
        <v>23</v>
      </c>
      <c r="R23">
        <v>80.298843383789062</v>
      </c>
      <c r="S23" t="s">
        <v>24</v>
      </c>
      <c r="T23" t="s">
        <v>24</v>
      </c>
      <c r="U23" t="s">
        <v>24</v>
      </c>
      <c r="V23" t="s">
        <v>114</v>
      </c>
      <c r="W23" t="s">
        <v>29</v>
      </c>
      <c r="X23" t="s">
        <v>29</v>
      </c>
    </row>
    <row r="24" spans="1:24">
      <c r="A24" t="s">
        <v>60</v>
      </c>
      <c r="B24" t="s">
        <v>193</v>
      </c>
      <c r="C24" t="s">
        <v>232</v>
      </c>
      <c r="D24" t="s">
        <v>33</v>
      </c>
      <c r="E24" t="s">
        <v>27</v>
      </c>
      <c r="F24" t="s">
        <v>28</v>
      </c>
      <c r="G24">
        <v>31.801935195922852</v>
      </c>
      <c r="H24">
        <v>30.9715576171875</v>
      </c>
      <c r="I24">
        <v>1.1708433628082275</v>
      </c>
      <c r="J24">
        <v>119.34693145751953</v>
      </c>
      <c r="K24">
        <v>241.7938232421875</v>
      </c>
      <c r="L24">
        <v>155.28828430175781</v>
      </c>
      <c r="M24" t="b">
        <v>0</v>
      </c>
      <c r="N24">
        <v>1</v>
      </c>
      <c r="O24" t="b">
        <v>1</v>
      </c>
      <c r="P24">
        <v>3</v>
      </c>
      <c r="Q24">
        <v>24</v>
      </c>
      <c r="R24">
        <v>80.298843383789062</v>
      </c>
      <c r="S24" t="s">
        <v>24</v>
      </c>
      <c r="T24" t="s">
        <v>24</v>
      </c>
      <c r="U24" t="s">
        <v>24</v>
      </c>
      <c r="V24" t="s">
        <v>114</v>
      </c>
      <c r="W24" t="s">
        <v>29</v>
      </c>
      <c r="X24" t="s">
        <v>29</v>
      </c>
    </row>
    <row r="25" spans="1:24">
      <c r="A25" t="s">
        <v>61</v>
      </c>
      <c r="B25" t="s">
        <v>241</v>
      </c>
      <c r="C25" t="s">
        <v>232</v>
      </c>
      <c r="D25" t="s">
        <v>33</v>
      </c>
      <c r="E25" t="s">
        <v>27</v>
      </c>
      <c r="F25" t="s">
        <v>28</v>
      </c>
      <c r="G25">
        <v>22.046796798706055</v>
      </c>
      <c r="H25">
        <v>22.006050109863281</v>
      </c>
      <c r="I25">
        <v>5.762317031621933E-2</v>
      </c>
      <c r="J25">
        <v>52957.02734375</v>
      </c>
      <c r="K25">
        <v>54340.16015625</v>
      </c>
      <c r="L25">
        <v>1956.045166015625</v>
      </c>
      <c r="M25" t="b">
        <v>0</v>
      </c>
      <c r="N25">
        <v>1</v>
      </c>
      <c r="O25" t="b">
        <v>0</v>
      </c>
      <c r="P25">
        <v>3</v>
      </c>
      <c r="Q25">
        <v>14</v>
      </c>
      <c r="R25">
        <v>80.493057250976562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  <c r="X25" t="s">
        <v>29</v>
      </c>
    </row>
    <row r="26" spans="1:24">
      <c r="A26" t="s">
        <v>63</v>
      </c>
      <c r="B26" t="s">
        <v>241</v>
      </c>
      <c r="C26" t="s">
        <v>232</v>
      </c>
      <c r="D26" t="s">
        <v>33</v>
      </c>
      <c r="E26" t="s">
        <v>27</v>
      </c>
      <c r="F26" t="s">
        <v>28</v>
      </c>
      <c r="G26">
        <v>21.965305328369141</v>
      </c>
      <c r="H26">
        <v>22.006050109863281</v>
      </c>
      <c r="I26">
        <v>5.762317031621933E-2</v>
      </c>
      <c r="J26">
        <v>55723.29296875</v>
      </c>
      <c r="K26">
        <v>54340.16015625</v>
      </c>
      <c r="L26">
        <v>1956.045166015625</v>
      </c>
      <c r="M26" t="b">
        <v>0</v>
      </c>
      <c r="N26">
        <v>1</v>
      </c>
      <c r="O26" t="b">
        <v>0</v>
      </c>
      <c r="P26">
        <v>3</v>
      </c>
      <c r="Q26">
        <v>14</v>
      </c>
      <c r="R26">
        <v>80.298843383789062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  <c r="X26" t="s">
        <v>29</v>
      </c>
    </row>
    <row r="27" spans="1:24">
      <c r="A27" t="s">
        <v>64</v>
      </c>
      <c r="B27" t="s">
        <v>24</v>
      </c>
      <c r="C27" t="s">
        <v>232</v>
      </c>
      <c r="D27" t="s">
        <v>26</v>
      </c>
      <c r="E27" t="s">
        <v>27</v>
      </c>
      <c r="F27" t="s">
        <v>28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b">
        <v>0</v>
      </c>
      <c r="N27">
        <v>1</v>
      </c>
      <c r="O27" t="b">
        <v>1</v>
      </c>
      <c r="P27">
        <v>3</v>
      </c>
      <c r="Q27">
        <v>16</v>
      </c>
      <c r="R27" t="s">
        <v>24</v>
      </c>
      <c r="S27" t="s">
        <v>24</v>
      </c>
      <c r="T27" t="s">
        <v>24</v>
      </c>
      <c r="U27" t="s">
        <v>24</v>
      </c>
      <c r="V27" t="s">
        <v>29</v>
      </c>
      <c r="W27" t="s">
        <v>29</v>
      </c>
      <c r="X27" t="s">
        <v>29</v>
      </c>
    </row>
    <row r="28" spans="1:24">
      <c r="A28" t="s">
        <v>65</v>
      </c>
      <c r="B28" t="s">
        <v>24</v>
      </c>
      <c r="C28" t="s">
        <v>232</v>
      </c>
      <c r="D28" t="s">
        <v>26</v>
      </c>
      <c r="E28" t="s">
        <v>27</v>
      </c>
      <c r="F28" t="s">
        <v>28</v>
      </c>
      <c r="G28">
        <v>21.359256744384766</v>
      </c>
      <c r="H28">
        <v>21.359256744384766</v>
      </c>
      <c r="I28" t="s">
        <v>24</v>
      </c>
      <c r="J28">
        <v>100000</v>
      </c>
      <c r="K28" t="s">
        <v>24</v>
      </c>
      <c r="L28" t="s">
        <v>24</v>
      </c>
      <c r="M28" t="b">
        <v>0</v>
      </c>
      <c r="N28">
        <v>1</v>
      </c>
      <c r="O28" t="b">
        <v>0</v>
      </c>
      <c r="P28">
        <v>3</v>
      </c>
      <c r="Q28">
        <v>16</v>
      </c>
      <c r="R28">
        <v>80.687278747558594</v>
      </c>
      <c r="S28" t="s">
        <v>24</v>
      </c>
      <c r="T28" t="s">
        <v>24</v>
      </c>
      <c r="U28" t="s">
        <v>24</v>
      </c>
      <c r="V28" t="s">
        <v>29</v>
      </c>
      <c r="W28" t="s">
        <v>29</v>
      </c>
      <c r="X28" t="s">
        <v>29</v>
      </c>
    </row>
    <row r="29" spans="1:24">
      <c r="A29" t="s">
        <v>66</v>
      </c>
      <c r="B29" t="s">
        <v>242</v>
      </c>
      <c r="C29" t="s">
        <v>232</v>
      </c>
      <c r="D29" t="s">
        <v>33</v>
      </c>
      <c r="E29" t="s">
        <v>27</v>
      </c>
      <c r="F29" t="s">
        <v>28</v>
      </c>
      <c r="G29">
        <v>20.347465515136719</v>
      </c>
      <c r="H29">
        <v>20.197528839111328</v>
      </c>
      <c r="I29">
        <v>0.21204383671283722</v>
      </c>
      <c r="J29">
        <v>153125.25</v>
      </c>
      <c r="K29">
        <v>168902.578125</v>
      </c>
      <c r="L29">
        <v>22312.51171875</v>
      </c>
      <c r="M29" t="b">
        <v>0</v>
      </c>
      <c r="N29">
        <v>1</v>
      </c>
      <c r="O29" t="b">
        <v>0</v>
      </c>
      <c r="P29">
        <v>3</v>
      </c>
      <c r="Q29">
        <v>13</v>
      </c>
      <c r="R29">
        <v>80.687278747558594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  <c r="X29" t="s">
        <v>29</v>
      </c>
    </row>
    <row r="30" spans="1:24">
      <c r="A30" t="s">
        <v>68</v>
      </c>
      <c r="B30" t="s">
        <v>242</v>
      </c>
      <c r="C30" t="s">
        <v>232</v>
      </c>
      <c r="D30" t="s">
        <v>33</v>
      </c>
      <c r="E30" t="s">
        <v>27</v>
      </c>
      <c r="F30" t="s">
        <v>28</v>
      </c>
      <c r="G30">
        <v>20.047590255737305</v>
      </c>
      <c r="H30">
        <v>20.197528839111328</v>
      </c>
      <c r="I30">
        <v>0.21204383671283722</v>
      </c>
      <c r="J30">
        <v>184679.90625</v>
      </c>
      <c r="K30">
        <v>168902.578125</v>
      </c>
      <c r="L30">
        <v>22312.51171875</v>
      </c>
      <c r="M30" t="b">
        <v>0</v>
      </c>
      <c r="N30">
        <v>1</v>
      </c>
      <c r="O30" t="b">
        <v>0</v>
      </c>
      <c r="P30">
        <v>3</v>
      </c>
      <c r="Q30">
        <v>14</v>
      </c>
      <c r="R30">
        <v>80.881500244140625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  <c r="X30" t="s">
        <v>29</v>
      </c>
    </row>
    <row r="31" spans="1:24">
      <c r="A31" t="s">
        <v>69</v>
      </c>
      <c r="B31" t="s">
        <v>243</v>
      </c>
      <c r="C31" t="s">
        <v>232</v>
      </c>
      <c r="D31" t="s">
        <v>33</v>
      </c>
      <c r="E31" t="s">
        <v>27</v>
      </c>
      <c r="F31" t="s">
        <v>28</v>
      </c>
      <c r="G31">
        <v>19.488094329833984</v>
      </c>
      <c r="H31">
        <v>19.41203498840332</v>
      </c>
      <c r="I31">
        <v>0.10756415128707886</v>
      </c>
      <c r="J31">
        <v>261964.28125</v>
      </c>
      <c r="K31">
        <v>275024.53125</v>
      </c>
      <c r="L31">
        <v>18469.982421875</v>
      </c>
      <c r="M31" t="b">
        <v>0</v>
      </c>
      <c r="N31">
        <v>1</v>
      </c>
      <c r="O31" t="b">
        <v>0</v>
      </c>
      <c r="P31">
        <v>3</v>
      </c>
      <c r="Q31">
        <v>9</v>
      </c>
      <c r="R31">
        <v>80.881500244140625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  <c r="X31" t="s">
        <v>29</v>
      </c>
    </row>
    <row r="32" spans="1:24">
      <c r="A32" t="s">
        <v>71</v>
      </c>
      <c r="B32" t="s">
        <v>243</v>
      </c>
      <c r="C32" t="s">
        <v>232</v>
      </c>
      <c r="D32" t="s">
        <v>33</v>
      </c>
      <c r="E32" t="s">
        <v>27</v>
      </c>
      <c r="F32" t="s">
        <v>28</v>
      </c>
      <c r="G32">
        <v>19.335975646972656</v>
      </c>
      <c r="H32">
        <v>19.41203498840332</v>
      </c>
      <c r="I32">
        <v>0.10756415128707886</v>
      </c>
      <c r="J32">
        <v>288084.78125</v>
      </c>
      <c r="K32">
        <v>275024.53125</v>
      </c>
      <c r="L32">
        <v>18469.982421875</v>
      </c>
      <c r="M32" t="b">
        <v>0</v>
      </c>
      <c r="N32">
        <v>1</v>
      </c>
      <c r="O32" t="b">
        <v>0</v>
      </c>
      <c r="P32">
        <v>3</v>
      </c>
      <c r="Q32">
        <v>8</v>
      </c>
      <c r="R32">
        <v>80.881500244140625</v>
      </c>
      <c r="S32" t="s">
        <v>24</v>
      </c>
      <c r="T32" t="s">
        <v>24</v>
      </c>
      <c r="U32" t="s">
        <v>24</v>
      </c>
      <c r="V32" t="s">
        <v>29</v>
      </c>
      <c r="W32" t="s">
        <v>29</v>
      </c>
      <c r="X32" t="s">
        <v>29</v>
      </c>
    </row>
    <row r="33" spans="1:24">
      <c r="A33" t="s">
        <v>72</v>
      </c>
      <c r="B33" t="s">
        <v>244</v>
      </c>
      <c r="C33" t="s">
        <v>232</v>
      </c>
      <c r="D33" t="s">
        <v>33</v>
      </c>
      <c r="E33" t="s">
        <v>27</v>
      </c>
      <c r="F33" t="s">
        <v>28</v>
      </c>
      <c r="G33">
        <v>22.059953689575195</v>
      </c>
      <c r="H33">
        <v>21.824783325195312</v>
      </c>
      <c r="I33">
        <v>0.33257976174354553</v>
      </c>
      <c r="J33">
        <v>52523.46875</v>
      </c>
      <c r="K33">
        <v>61494.96875</v>
      </c>
      <c r="L33">
        <v>12687.6171875</v>
      </c>
      <c r="M33" t="b">
        <v>0</v>
      </c>
      <c r="N33">
        <v>1</v>
      </c>
      <c r="O33" t="b">
        <v>0</v>
      </c>
      <c r="P33">
        <v>3</v>
      </c>
      <c r="Q33">
        <v>14</v>
      </c>
      <c r="R33">
        <v>81.075714111328125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  <c r="X33" t="s">
        <v>29</v>
      </c>
    </row>
    <row r="34" spans="1:24">
      <c r="A34" t="s">
        <v>74</v>
      </c>
      <c r="B34" t="s">
        <v>244</v>
      </c>
      <c r="C34" t="s">
        <v>232</v>
      </c>
      <c r="D34" t="s">
        <v>33</v>
      </c>
      <c r="E34" t="s">
        <v>27</v>
      </c>
      <c r="F34" t="s">
        <v>28</v>
      </c>
      <c r="G34">
        <v>21.589614868164062</v>
      </c>
      <c r="H34">
        <v>21.824783325195312</v>
      </c>
      <c r="I34">
        <v>0.33257976174354553</v>
      </c>
      <c r="J34">
        <v>70466.46875</v>
      </c>
      <c r="K34">
        <v>61494.96875</v>
      </c>
      <c r="L34">
        <v>12687.6171875</v>
      </c>
      <c r="M34" t="b">
        <v>0</v>
      </c>
      <c r="N34">
        <v>1</v>
      </c>
      <c r="O34" t="b">
        <v>0</v>
      </c>
      <c r="P34">
        <v>3</v>
      </c>
      <c r="Q34">
        <v>12</v>
      </c>
      <c r="R34">
        <v>80.881500244140625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  <c r="X34" t="s">
        <v>29</v>
      </c>
    </row>
    <row r="35" spans="1:24">
      <c r="A35" t="s">
        <v>75</v>
      </c>
      <c r="B35" t="s">
        <v>245</v>
      </c>
      <c r="C35" t="s">
        <v>232</v>
      </c>
      <c r="D35" t="s">
        <v>33</v>
      </c>
      <c r="E35" t="s">
        <v>27</v>
      </c>
      <c r="F35" t="s">
        <v>28</v>
      </c>
      <c r="G35">
        <v>23.95073127746582</v>
      </c>
      <c r="H35">
        <v>23.897632598876953</v>
      </c>
      <c r="I35">
        <v>7.5092874467372894E-2</v>
      </c>
      <c r="J35">
        <v>16116.8486328125</v>
      </c>
      <c r="K35">
        <v>16669.697265625</v>
      </c>
      <c r="L35">
        <v>781.84674072265625</v>
      </c>
      <c r="M35" t="b">
        <v>0</v>
      </c>
      <c r="N35">
        <v>1</v>
      </c>
      <c r="O35" t="b">
        <v>0</v>
      </c>
      <c r="P35">
        <v>3</v>
      </c>
      <c r="Q35">
        <v>14</v>
      </c>
      <c r="R35">
        <v>80.881500244140625</v>
      </c>
      <c r="S35" t="s">
        <v>24</v>
      </c>
      <c r="T35" t="s">
        <v>24</v>
      </c>
      <c r="U35" t="s">
        <v>24</v>
      </c>
      <c r="V35" t="s">
        <v>29</v>
      </c>
      <c r="W35" t="s">
        <v>29</v>
      </c>
      <c r="X35" t="s">
        <v>29</v>
      </c>
    </row>
    <row r="36" spans="1:24">
      <c r="A36" t="s">
        <v>77</v>
      </c>
      <c r="B36" t="s">
        <v>245</v>
      </c>
      <c r="C36" t="s">
        <v>232</v>
      </c>
      <c r="D36" t="s">
        <v>33</v>
      </c>
      <c r="E36" t="s">
        <v>27</v>
      </c>
      <c r="F36" t="s">
        <v>28</v>
      </c>
      <c r="G36">
        <v>23.844533920288086</v>
      </c>
      <c r="H36">
        <v>23.897632598876953</v>
      </c>
      <c r="I36">
        <v>7.5092874467372894E-2</v>
      </c>
      <c r="J36">
        <v>17222.546875</v>
      </c>
      <c r="K36">
        <v>16669.697265625</v>
      </c>
      <c r="L36">
        <v>781.84674072265625</v>
      </c>
      <c r="M36" t="b">
        <v>0</v>
      </c>
      <c r="N36">
        <v>1</v>
      </c>
      <c r="O36" t="b">
        <v>0</v>
      </c>
      <c r="P36">
        <v>3</v>
      </c>
      <c r="Q36">
        <v>17</v>
      </c>
      <c r="R36">
        <v>80.687278747558594</v>
      </c>
      <c r="S36" t="s">
        <v>24</v>
      </c>
      <c r="T36" t="s">
        <v>24</v>
      </c>
      <c r="U36" t="s">
        <v>24</v>
      </c>
      <c r="V36" t="s">
        <v>29</v>
      </c>
      <c r="W36" t="s">
        <v>29</v>
      </c>
      <c r="X36" t="s">
        <v>29</v>
      </c>
    </row>
    <row r="37" spans="1:24">
      <c r="A37" t="s">
        <v>78</v>
      </c>
      <c r="B37" t="s">
        <v>246</v>
      </c>
      <c r="C37" t="s">
        <v>232</v>
      </c>
      <c r="D37" t="s">
        <v>33</v>
      </c>
      <c r="E37" t="s">
        <v>27</v>
      </c>
      <c r="F37" t="s">
        <v>28</v>
      </c>
      <c r="G37">
        <v>22.212955474853516</v>
      </c>
      <c r="H37">
        <v>22.338773727416992</v>
      </c>
      <c r="I37">
        <v>0.17793387174606323</v>
      </c>
      <c r="J37">
        <v>47734.83984375</v>
      </c>
      <c r="K37">
        <v>44262.36328125</v>
      </c>
      <c r="L37">
        <v>4910.8232421875</v>
      </c>
      <c r="M37" t="b">
        <v>0</v>
      </c>
      <c r="N37">
        <v>1</v>
      </c>
      <c r="O37" t="b">
        <v>0</v>
      </c>
      <c r="P37">
        <v>3</v>
      </c>
      <c r="Q37">
        <v>13</v>
      </c>
      <c r="R37">
        <v>80.493057250976562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  <c r="X37" t="s">
        <v>29</v>
      </c>
    </row>
    <row r="38" spans="1:24">
      <c r="A38" t="s">
        <v>80</v>
      </c>
      <c r="B38" t="s">
        <v>246</v>
      </c>
      <c r="C38" t="s">
        <v>232</v>
      </c>
      <c r="D38" t="s">
        <v>33</v>
      </c>
      <c r="E38" t="s">
        <v>27</v>
      </c>
      <c r="F38" t="s">
        <v>28</v>
      </c>
      <c r="G38">
        <v>22.464591979980469</v>
      </c>
      <c r="H38">
        <v>22.338773727416992</v>
      </c>
      <c r="I38">
        <v>0.17793387174606323</v>
      </c>
      <c r="J38">
        <v>40789.88671875</v>
      </c>
      <c r="K38">
        <v>44262.36328125</v>
      </c>
      <c r="L38">
        <v>4910.8232421875</v>
      </c>
      <c r="M38" t="b">
        <v>0</v>
      </c>
      <c r="N38">
        <v>1</v>
      </c>
      <c r="O38" t="b">
        <v>0</v>
      </c>
      <c r="P38">
        <v>3</v>
      </c>
      <c r="Q38">
        <v>15</v>
      </c>
      <c r="R38">
        <v>80.298843383789062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  <c r="X38" t="s">
        <v>29</v>
      </c>
    </row>
    <row r="39" spans="1:24">
      <c r="A39" t="s">
        <v>81</v>
      </c>
      <c r="B39" t="s">
        <v>24</v>
      </c>
      <c r="C39" t="s">
        <v>232</v>
      </c>
      <c r="D39" t="s">
        <v>26</v>
      </c>
      <c r="E39" t="s">
        <v>27</v>
      </c>
      <c r="F39" t="s">
        <v>28</v>
      </c>
      <c r="G39">
        <v>24.338640213012695</v>
      </c>
      <c r="H39">
        <v>24.396669387817383</v>
      </c>
      <c r="I39">
        <v>8.2065649330615997E-2</v>
      </c>
      <c r="J39">
        <v>10000</v>
      </c>
      <c r="K39" t="s">
        <v>24</v>
      </c>
      <c r="L39" t="s">
        <v>24</v>
      </c>
      <c r="M39" t="b">
        <v>0</v>
      </c>
      <c r="N39">
        <v>1</v>
      </c>
      <c r="O39" t="b">
        <v>0</v>
      </c>
      <c r="P39">
        <v>3</v>
      </c>
      <c r="Q39">
        <v>17</v>
      </c>
      <c r="R39">
        <v>80.687278747558594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  <c r="X39" t="s">
        <v>29</v>
      </c>
    </row>
    <row r="40" spans="1:24">
      <c r="A40" t="s">
        <v>82</v>
      </c>
      <c r="B40" t="s">
        <v>24</v>
      </c>
      <c r="C40" t="s">
        <v>232</v>
      </c>
      <c r="D40" t="s">
        <v>26</v>
      </c>
      <c r="E40" t="s">
        <v>27</v>
      </c>
      <c r="F40" t="s">
        <v>28</v>
      </c>
      <c r="G40">
        <v>24.45469856262207</v>
      </c>
      <c r="H40">
        <v>24.396669387817383</v>
      </c>
      <c r="I40">
        <v>8.2065649330615997E-2</v>
      </c>
      <c r="J40">
        <v>10000</v>
      </c>
      <c r="K40" t="s">
        <v>24</v>
      </c>
      <c r="L40" t="s">
        <v>24</v>
      </c>
      <c r="M40" t="b">
        <v>0</v>
      </c>
      <c r="N40">
        <v>1</v>
      </c>
      <c r="O40" t="b">
        <v>0</v>
      </c>
      <c r="P40">
        <v>3</v>
      </c>
      <c r="Q40">
        <v>17</v>
      </c>
      <c r="R40">
        <v>80.687278747558594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  <c r="X40" t="s">
        <v>29</v>
      </c>
    </row>
    <row r="41" spans="1:24">
      <c r="A41" t="s">
        <v>83</v>
      </c>
      <c r="B41" t="s">
        <v>247</v>
      </c>
      <c r="C41" t="s">
        <v>232</v>
      </c>
      <c r="D41" t="s">
        <v>33</v>
      </c>
      <c r="E41" t="s">
        <v>27</v>
      </c>
      <c r="F41" t="s">
        <v>28</v>
      </c>
      <c r="G41">
        <v>21.161314010620117</v>
      </c>
      <c r="H41">
        <v>21.052160263061523</v>
      </c>
      <c r="I41">
        <v>0.15436671674251556</v>
      </c>
      <c r="J41">
        <v>92088.28125</v>
      </c>
      <c r="K41">
        <v>98817.328125</v>
      </c>
      <c r="L41">
        <v>9516.314453125</v>
      </c>
      <c r="M41" t="b">
        <v>0</v>
      </c>
      <c r="N41">
        <v>1</v>
      </c>
      <c r="O41" t="b">
        <v>1</v>
      </c>
      <c r="P41">
        <v>3</v>
      </c>
      <c r="Q41">
        <v>13</v>
      </c>
      <c r="R41">
        <v>80.687278747558594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  <c r="X41" t="s">
        <v>29</v>
      </c>
    </row>
    <row r="42" spans="1:24">
      <c r="A42" t="s">
        <v>85</v>
      </c>
      <c r="B42" t="s">
        <v>247</v>
      </c>
      <c r="C42" t="s">
        <v>232</v>
      </c>
      <c r="D42" t="s">
        <v>33</v>
      </c>
      <c r="E42" t="s">
        <v>27</v>
      </c>
      <c r="F42" t="s">
        <v>28</v>
      </c>
      <c r="G42">
        <v>20.94300651550293</v>
      </c>
      <c r="H42">
        <v>21.052160263061523</v>
      </c>
      <c r="I42">
        <v>0.15436671674251556</v>
      </c>
      <c r="J42">
        <v>105546.3828125</v>
      </c>
      <c r="K42">
        <v>98817.328125</v>
      </c>
      <c r="L42">
        <v>9516.314453125</v>
      </c>
      <c r="M42" t="b">
        <v>0</v>
      </c>
      <c r="N42">
        <v>1</v>
      </c>
      <c r="O42" t="b">
        <v>1</v>
      </c>
      <c r="P42">
        <v>3</v>
      </c>
      <c r="Q42">
        <v>11</v>
      </c>
      <c r="R42">
        <v>80.881500244140625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  <c r="X42" t="s">
        <v>29</v>
      </c>
    </row>
    <row r="43" spans="1:24">
      <c r="A43" t="s">
        <v>86</v>
      </c>
      <c r="B43" t="s">
        <v>248</v>
      </c>
      <c r="C43" t="s">
        <v>232</v>
      </c>
      <c r="D43" t="s">
        <v>33</v>
      </c>
      <c r="E43" t="s">
        <v>27</v>
      </c>
      <c r="F43" t="s">
        <v>28</v>
      </c>
      <c r="G43">
        <v>18.977989196777344</v>
      </c>
      <c r="H43">
        <v>18.966983795166016</v>
      </c>
      <c r="I43">
        <v>1.5563988126814365E-2</v>
      </c>
      <c r="J43">
        <v>360298.125</v>
      </c>
      <c r="K43">
        <v>362792.8125</v>
      </c>
      <c r="L43">
        <v>3527.998779296875</v>
      </c>
      <c r="M43" t="b">
        <v>0</v>
      </c>
      <c r="N43">
        <v>1</v>
      </c>
      <c r="O43" t="b">
        <v>1</v>
      </c>
      <c r="P43">
        <v>3</v>
      </c>
      <c r="Q43">
        <v>10</v>
      </c>
      <c r="R43">
        <v>80.881500244140625</v>
      </c>
      <c r="S43" t="s">
        <v>24</v>
      </c>
      <c r="T43" t="s">
        <v>24</v>
      </c>
      <c r="U43" t="s">
        <v>24</v>
      </c>
      <c r="V43" t="s">
        <v>29</v>
      </c>
      <c r="W43" t="s">
        <v>29</v>
      </c>
      <c r="X43" t="s">
        <v>29</v>
      </c>
    </row>
    <row r="44" spans="1:24">
      <c r="A44" t="s">
        <v>88</v>
      </c>
      <c r="B44" t="s">
        <v>248</v>
      </c>
      <c r="C44" t="s">
        <v>232</v>
      </c>
      <c r="D44" t="s">
        <v>33</v>
      </c>
      <c r="E44" t="s">
        <v>27</v>
      </c>
      <c r="F44" t="s">
        <v>28</v>
      </c>
      <c r="G44">
        <v>18.955978393554688</v>
      </c>
      <c r="H44">
        <v>18.966983795166016</v>
      </c>
      <c r="I44">
        <v>1.5563988126814365E-2</v>
      </c>
      <c r="J44">
        <v>365287.46875</v>
      </c>
      <c r="K44">
        <v>362792.8125</v>
      </c>
      <c r="L44">
        <v>3527.998779296875</v>
      </c>
      <c r="M44" t="b">
        <v>0</v>
      </c>
      <c r="N44">
        <v>1</v>
      </c>
      <c r="O44" t="b">
        <v>1</v>
      </c>
      <c r="P44">
        <v>3</v>
      </c>
      <c r="Q44">
        <v>10</v>
      </c>
      <c r="R44">
        <v>80.881500244140625</v>
      </c>
      <c r="S44" t="s">
        <v>24</v>
      </c>
      <c r="T44" t="s">
        <v>24</v>
      </c>
      <c r="U44" t="s">
        <v>24</v>
      </c>
      <c r="V44" t="s">
        <v>29</v>
      </c>
      <c r="W44" t="s">
        <v>29</v>
      </c>
      <c r="X44" t="s">
        <v>29</v>
      </c>
    </row>
    <row r="45" spans="1:24">
      <c r="A45" t="s">
        <v>89</v>
      </c>
      <c r="B45" t="s">
        <v>249</v>
      </c>
      <c r="C45" t="s">
        <v>232</v>
      </c>
      <c r="D45" t="s">
        <v>33</v>
      </c>
      <c r="E45" t="s">
        <v>27</v>
      </c>
      <c r="F45" t="s">
        <v>28</v>
      </c>
      <c r="G45">
        <v>19.581718444824219</v>
      </c>
      <c r="H45">
        <v>19.711740493774414</v>
      </c>
      <c r="I45">
        <v>0.18387894332408905</v>
      </c>
      <c r="J45">
        <v>247079.453125</v>
      </c>
      <c r="K45">
        <v>228552.515625</v>
      </c>
      <c r="L45">
        <v>26201.046875</v>
      </c>
      <c r="M45" t="b">
        <v>0</v>
      </c>
      <c r="N45">
        <v>1</v>
      </c>
      <c r="O45" t="b">
        <v>1</v>
      </c>
      <c r="P45">
        <v>3</v>
      </c>
      <c r="Q45">
        <v>10</v>
      </c>
      <c r="R45">
        <v>80.881500244140625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  <c r="X45" t="s">
        <v>29</v>
      </c>
    </row>
    <row r="46" spans="1:24">
      <c r="A46" t="s">
        <v>91</v>
      </c>
      <c r="B46" t="s">
        <v>249</v>
      </c>
      <c r="C46" t="s">
        <v>232</v>
      </c>
      <c r="D46" t="s">
        <v>33</v>
      </c>
      <c r="E46" t="s">
        <v>27</v>
      </c>
      <c r="F46" t="s">
        <v>28</v>
      </c>
      <c r="G46">
        <v>19.841762542724609</v>
      </c>
      <c r="H46">
        <v>19.711740493774414</v>
      </c>
      <c r="I46">
        <v>0.18387894332408905</v>
      </c>
      <c r="J46">
        <v>210025.578125</v>
      </c>
      <c r="K46">
        <v>228552.515625</v>
      </c>
      <c r="L46">
        <v>26201.046875</v>
      </c>
      <c r="M46" t="b">
        <v>0</v>
      </c>
      <c r="N46">
        <v>1</v>
      </c>
      <c r="O46" t="b">
        <v>1</v>
      </c>
      <c r="P46">
        <v>3</v>
      </c>
      <c r="Q46">
        <v>12</v>
      </c>
      <c r="R46">
        <v>80.881500244140625</v>
      </c>
      <c r="S46" t="s">
        <v>24</v>
      </c>
      <c r="T46" t="s">
        <v>24</v>
      </c>
      <c r="U46" t="s">
        <v>24</v>
      </c>
      <c r="V46" t="s">
        <v>29</v>
      </c>
      <c r="W46" t="s">
        <v>29</v>
      </c>
      <c r="X46" t="s">
        <v>29</v>
      </c>
    </row>
    <row r="47" spans="1:24">
      <c r="A47" t="s">
        <v>92</v>
      </c>
      <c r="B47" t="s">
        <v>250</v>
      </c>
      <c r="C47" t="s">
        <v>232</v>
      </c>
      <c r="D47" t="s">
        <v>33</v>
      </c>
      <c r="E47" t="s">
        <v>27</v>
      </c>
      <c r="F47" t="s">
        <v>28</v>
      </c>
      <c r="G47">
        <v>23.101062774658203</v>
      </c>
      <c r="H47">
        <v>23.376567840576172</v>
      </c>
      <c r="I47">
        <v>0.38962164521217346</v>
      </c>
      <c r="J47">
        <v>27405.802734375</v>
      </c>
      <c r="K47">
        <v>23414.55859375</v>
      </c>
      <c r="L47">
        <v>5644.47314453125</v>
      </c>
      <c r="M47" t="b">
        <v>0</v>
      </c>
      <c r="N47">
        <v>1</v>
      </c>
      <c r="O47" t="b">
        <v>1</v>
      </c>
      <c r="P47">
        <v>3</v>
      </c>
      <c r="Q47">
        <v>15</v>
      </c>
      <c r="R47">
        <v>80.881500244140625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  <c r="X47" t="s">
        <v>29</v>
      </c>
    </row>
    <row r="48" spans="1:24">
      <c r="A48" t="s">
        <v>94</v>
      </c>
      <c r="B48" t="s">
        <v>250</v>
      </c>
      <c r="C48" t="s">
        <v>232</v>
      </c>
      <c r="D48" t="s">
        <v>33</v>
      </c>
      <c r="E48" t="s">
        <v>27</v>
      </c>
      <c r="F48" t="s">
        <v>28</v>
      </c>
      <c r="G48">
        <v>23.652070999145508</v>
      </c>
      <c r="H48">
        <v>23.376567840576172</v>
      </c>
      <c r="I48">
        <v>0.38962164521217346</v>
      </c>
      <c r="J48">
        <v>19423.3125</v>
      </c>
      <c r="K48">
        <v>23414.55859375</v>
      </c>
      <c r="L48">
        <v>5644.47314453125</v>
      </c>
      <c r="M48" t="b">
        <v>0</v>
      </c>
      <c r="N48">
        <v>1</v>
      </c>
      <c r="O48" t="b">
        <v>1</v>
      </c>
      <c r="P48">
        <v>3</v>
      </c>
      <c r="Q48">
        <v>17</v>
      </c>
      <c r="R48">
        <v>80.881500244140625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  <c r="X48" t="s">
        <v>29</v>
      </c>
    </row>
    <row r="49" spans="1:24">
      <c r="A49" t="s">
        <v>95</v>
      </c>
      <c r="B49" t="s">
        <v>251</v>
      </c>
      <c r="C49" t="s">
        <v>232</v>
      </c>
      <c r="D49" t="s">
        <v>33</v>
      </c>
      <c r="E49" t="s">
        <v>27</v>
      </c>
      <c r="F49" t="s">
        <v>28</v>
      </c>
      <c r="G49">
        <v>21.554775238037109</v>
      </c>
      <c r="H49">
        <v>21.711936950683594</v>
      </c>
      <c r="I49">
        <v>0.22226157784461975</v>
      </c>
      <c r="J49">
        <v>72017.234375</v>
      </c>
      <c r="K49">
        <v>65596.40625</v>
      </c>
      <c r="L49">
        <v>9080.4248046875</v>
      </c>
      <c r="M49" t="b">
        <v>0</v>
      </c>
      <c r="N49">
        <v>1</v>
      </c>
      <c r="O49" t="b">
        <v>1</v>
      </c>
      <c r="P49">
        <v>3</v>
      </c>
      <c r="Q49">
        <v>14</v>
      </c>
      <c r="R49">
        <v>80.493057250976562</v>
      </c>
      <c r="S49" t="s">
        <v>24</v>
      </c>
      <c r="T49" t="s">
        <v>24</v>
      </c>
      <c r="U49" t="s">
        <v>24</v>
      </c>
      <c r="V49" t="s">
        <v>29</v>
      </c>
      <c r="W49" t="s">
        <v>29</v>
      </c>
      <c r="X49" t="s">
        <v>29</v>
      </c>
    </row>
    <row r="50" spans="1:24">
      <c r="A50" t="s">
        <v>97</v>
      </c>
      <c r="B50" t="s">
        <v>251</v>
      </c>
      <c r="C50" t="s">
        <v>232</v>
      </c>
      <c r="D50" t="s">
        <v>33</v>
      </c>
      <c r="E50" t="s">
        <v>27</v>
      </c>
      <c r="F50" t="s">
        <v>28</v>
      </c>
      <c r="G50">
        <v>21.869100570678711</v>
      </c>
      <c r="H50">
        <v>21.711936950683594</v>
      </c>
      <c r="I50">
        <v>0.22226157784461975</v>
      </c>
      <c r="J50">
        <v>59175.57421875</v>
      </c>
      <c r="K50">
        <v>65596.40625</v>
      </c>
      <c r="L50">
        <v>9080.4248046875</v>
      </c>
      <c r="M50" t="b">
        <v>0</v>
      </c>
      <c r="N50">
        <v>1</v>
      </c>
      <c r="O50" t="b">
        <v>1</v>
      </c>
      <c r="P50">
        <v>3</v>
      </c>
      <c r="Q50">
        <v>15</v>
      </c>
      <c r="R50">
        <v>80.493057250976562</v>
      </c>
      <c r="S50" t="s">
        <v>24</v>
      </c>
      <c r="T50" t="s">
        <v>24</v>
      </c>
      <c r="U50" t="s">
        <v>24</v>
      </c>
      <c r="V50" t="s">
        <v>29</v>
      </c>
      <c r="W50" t="s">
        <v>29</v>
      </c>
      <c r="X50" t="s">
        <v>29</v>
      </c>
    </row>
    <row r="51" spans="1:24">
      <c r="A51" t="s">
        <v>98</v>
      </c>
      <c r="B51" t="s">
        <v>24</v>
      </c>
      <c r="C51" t="s">
        <v>232</v>
      </c>
      <c r="D51" t="s">
        <v>26</v>
      </c>
      <c r="E51" t="s">
        <v>27</v>
      </c>
      <c r="F51" t="s">
        <v>28</v>
      </c>
      <c r="G51">
        <v>28.562837600708008</v>
      </c>
      <c r="H51">
        <v>28.423233032226562</v>
      </c>
      <c r="I51">
        <v>0.19743067026138306</v>
      </c>
      <c r="J51">
        <v>1000</v>
      </c>
      <c r="K51" t="s">
        <v>24</v>
      </c>
      <c r="L51" t="s">
        <v>24</v>
      </c>
      <c r="M51" t="b">
        <v>0</v>
      </c>
      <c r="N51">
        <v>1</v>
      </c>
      <c r="O51" t="b">
        <v>0</v>
      </c>
      <c r="P51">
        <v>3</v>
      </c>
      <c r="Q51">
        <v>21</v>
      </c>
      <c r="R51">
        <v>80.687278747558594</v>
      </c>
      <c r="S51" t="s">
        <v>24</v>
      </c>
      <c r="T51" t="s">
        <v>24</v>
      </c>
      <c r="U51" t="s">
        <v>24</v>
      </c>
      <c r="V51" t="s">
        <v>29</v>
      </c>
      <c r="W51" t="s">
        <v>29</v>
      </c>
      <c r="X51" t="s">
        <v>29</v>
      </c>
    </row>
    <row r="52" spans="1:24">
      <c r="A52" t="s">
        <v>99</v>
      </c>
      <c r="B52" t="s">
        <v>24</v>
      </c>
      <c r="C52" t="s">
        <v>232</v>
      </c>
      <c r="D52" t="s">
        <v>26</v>
      </c>
      <c r="E52" t="s">
        <v>27</v>
      </c>
      <c r="F52" t="s">
        <v>28</v>
      </c>
      <c r="G52">
        <v>28.283628463745117</v>
      </c>
      <c r="H52">
        <v>28.423233032226562</v>
      </c>
      <c r="I52">
        <v>0.19743067026138306</v>
      </c>
      <c r="J52">
        <v>1000</v>
      </c>
      <c r="K52" t="s">
        <v>24</v>
      </c>
      <c r="L52" t="s">
        <v>24</v>
      </c>
      <c r="M52" t="b">
        <v>0</v>
      </c>
      <c r="N52">
        <v>1</v>
      </c>
      <c r="O52" t="b">
        <v>0</v>
      </c>
      <c r="P52">
        <v>3</v>
      </c>
      <c r="Q52">
        <v>21</v>
      </c>
      <c r="R52">
        <v>80.687278747558594</v>
      </c>
      <c r="S52" t="s">
        <v>24</v>
      </c>
      <c r="T52" t="s">
        <v>24</v>
      </c>
      <c r="U52" t="s">
        <v>24</v>
      </c>
      <c r="V52" t="s">
        <v>29</v>
      </c>
      <c r="W52" t="s">
        <v>29</v>
      </c>
      <c r="X52" t="s">
        <v>29</v>
      </c>
    </row>
    <row r="53" spans="1:24">
      <c r="A53" t="s">
        <v>100</v>
      </c>
      <c r="B53" t="s">
        <v>252</v>
      </c>
      <c r="C53" t="s">
        <v>232</v>
      </c>
      <c r="D53" t="s">
        <v>33</v>
      </c>
      <c r="E53" t="s">
        <v>27</v>
      </c>
      <c r="F53" t="s">
        <v>28</v>
      </c>
      <c r="G53">
        <v>19.673166275024414</v>
      </c>
      <c r="H53">
        <v>19.72418212890625</v>
      </c>
      <c r="I53">
        <v>7.2145961225032806E-2</v>
      </c>
      <c r="J53">
        <v>233357.484375</v>
      </c>
      <c r="K53">
        <v>226151.328125</v>
      </c>
      <c r="L53">
        <v>10191.0439453125</v>
      </c>
      <c r="M53" t="b">
        <v>0</v>
      </c>
      <c r="N53">
        <v>1</v>
      </c>
      <c r="O53" t="b">
        <v>1</v>
      </c>
      <c r="P53">
        <v>3</v>
      </c>
      <c r="Q53">
        <v>11</v>
      </c>
      <c r="R53">
        <v>80.493057250976562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  <c r="X53" t="s">
        <v>29</v>
      </c>
    </row>
    <row r="54" spans="1:24">
      <c r="A54" t="s">
        <v>102</v>
      </c>
      <c r="B54" t="s">
        <v>252</v>
      </c>
      <c r="C54" t="s">
        <v>232</v>
      </c>
      <c r="D54" t="s">
        <v>33</v>
      </c>
      <c r="E54" t="s">
        <v>27</v>
      </c>
      <c r="F54" t="s">
        <v>28</v>
      </c>
      <c r="G54">
        <v>19.775196075439453</v>
      </c>
      <c r="H54">
        <v>19.72418212890625</v>
      </c>
      <c r="I54">
        <v>7.2145961225032806E-2</v>
      </c>
      <c r="J54">
        <v>218945.171875</v>
      </c>
      <c r="K54">
        <v>226151.328125</v>
      </c>
      <c r="L54">
        <v>10191.0439453125</v>
      </c>
      <c r="M54" t="b">
        <v>0</v>
      </c>
      <c r="N54">
        <v>1</v>
      </c>
      <c r="O54" t="b">
        <v>1</v>
      </c>
      <c r="P54">
        <v>3</v>
      </c>
      <c r="Q54">
        <v>12</v>
      </c>
      <c r="R54">
        <v>80.881500244140625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  <c r="X54" t="s">
        <v>29</v>
      </c>
    </row>
    <row r="55" spans="1:24">
      <c r="A55" t="s">
        <v>103</v>
      </c>
      <c r="B55" t="s">
        <v>193</v>
      </c>
      <c r="C55" t="s">
        <v>232</v>
      </c>
      <c r="D55" t="s">
        <v>33</v>
      </c>
      <c r="E55" t="s">
        <v>27</v>
      </c>
      <c r="F55" t="s">
        <v>28</v>
      </c>
      <c r="G55">
        <v>29.962444305419922</v>
      </c>
      <c r="H55">
        <v>30.9715576171875</v>
      </c>
      <c r="I55">
        <v>1.1708433628082275</v>
      </c>
      <c r="J55">
        <v>376.6756591796875</v>
      </c>
      <c r="K55">
        <v>241.7938232421875</v>
      </c>
      <c r="L55">
        <v>155.28828430175781</v>
      </c>
      <c r="M55" t="b">
        <v>0</v>
      </c>
      <c r="N55">
        <v>1</v>
      </c>
      <c r="O55" t="b">
        <v>1</v>
      </c>
      <c r="P55">
        <v>3</v>
      </c>
      <c r="Q55">
        <v>22</v>
      </c>
      <c r="R55">
        <v>81.269935607910156</v>
      </c>
      <c r="S55" t="s">
        <v>24</v>
      </c>
      <c r="T55" t="s">
        <v>24</v>
      </c>
      <c r="U55" t="s">
        <v>24</v>
      </c>
      <c r="V55" t="s">
        <v>114</v>
      </c>
      <c r="W55" t="s">
        <v>29</v>
      </c>
      <c r="X55" t="s">
        <v>29</v>
      </c>
    </row>
    <row r="56" spans="1:24">
      <c r="A56" t="s">
        <v>105</v>
      </c>
      <c r="B56" t="s">
        <v>193</v>
      </c>
      <c r="C56" t="s">
        <v>232</v>
      </c>
      <c r="D56" t="s">
        <v>33</v>
      </c>
      <c r="E56" t="s">
        <v>27</v>
      </c>
      <c r="F56" t="s">
        <v>28</v>
      </c>
      <c r="G56">
        <v>29.968038558959961</v>
      </c>
      <c r="H56">
        <v>30.9715576171875</v>
      </c>
      <c r="I56">
        <v>1.1708433628082275</v>
      </c>
      <c r="J56">
        <v>375.361328125</v>
      </c>
      <c r="K56">
        <v>241.7938232421875</v>
      </c>
      <c r="L56">
        <v>155.28828430175781</v>
      </c>
      <c r="M56" t="b">
        <v>0</v>
      </c>
      <c r="N56">
        <v>1</v>
      </c>
      <c r="O56" t="b">
        <v>1</v>
      </c>
      <c r="P56">
        <v>3</v>
      </c>
      <c r="Q56">
        <v>21</v>
      </c>
      <c r="R56">
        <v>81.269935607910156</v>
      </c>
      <c r="S56" t="s">
        <v>24</v>
      </c>
      <c r="T56" t="s">
        <v>24</v>
      </c>
      <c r="U56" t="s">
        <v>24</v>
      </c>
      <c r="V56" t="s">
        <v>114</v>
      </c>
      <c r="W56" t="s">
        <v>29</v>
      </c>
      <c r="X56" t="s">
        <v>29</v>
      </c>
    </row>
    <row r="57" spans="1:24">
      <c r="A57" t="s">
        <v>106</v>
      </c>
      <c r="B57" t="s">
        <v>253</v>
      </c>
      <c r="C57" t="s">
        <v>232</v>
      </c>
      <c r="D57" t="s">
        <v>33</v>
      </c>
      <c r="E57" t="s">
        <v>27</v>
      </c>
      <c r="F57" t="s">
        <v>28</v>
      </c>
      <c r="G57">
        <v>19.484050750732422</v>
      </c>
      <c r="H57">
        <v>19.618316650390625</v>
      </c>
      <c r="I57">
        <v>0.18988065421581268</v>
      </c>
      <c r="J57">
        <v>262626.96875</v>
      </c>
      <c r="K57">
        <v>242343.828125</v>
      </c>
      <c r="L57">
        <v>28684.693359375</v>
      </c>
      <c r="M57" t="b">
        <v>0</v>
      </c>
      <c r="N57">
        <v>1</v>
      </c>
      <c r="O57" t="b">
        <v>1</v>
      </c>
      <c r="P57">
        <v>3</v>
      </c>
      <c r="Q57">
        <v>10</v>
      </c>
      <c r="R57">
        <v>80.881500244140625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  <c r="X57" t="s">
        <v>29</v>
      </c>
    </row>
    <row r="58" spans="1:24">
      <c r="A58" t="s">
        <v>108</v>
      </c>
      <c r="B58" t="s">
        <v>253</v>
      </c>
      <c r="C58" t="s">
        <v>232</v>
      </c>
      <c r="D58" t="s">
        <v>33</v>
      </c>
      <c r="E58" t="s">
        <v>27</v>
      </c>
      <c r="F58" t="s">
        <v>28</v>
      </c>
      <c r="G58">
        <v>19.752582550048828</v>
      </c>
      <c r="H58">
        <v>19.618316650390625</v>
      </c>
      <c r="I58">
        <v>0.18988065421581268</v>
      </c>
      <c r="J58">
        <v>222060.6875</v>
      </c>
      <c r="K58">
        <v>242343.828125</v>
      </c>
      <c r="L58">
        <v>28684.693359375</v>
      </c>
      <c r="M58" t="b">
        <v>0</v>
      </c>
      <c r="N58">
        <v>1</v>
      </c>
      <c r="O58" t="b">
        <v>1</v>
      </c>
      <c r="P58">
        <v>3</v>
      </c>
      <c r="Q58">
        <v>12</v>
      </c>
      <c r="R58">
        <v>80.881500244140625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  <c r="X58" t="s">
        <v>29</v>
      </c>
    </row>
    <row r="59" spans="1:24">
      <c r="A59" t="s">
        <v>109</v>
      </c>
      <c r="B59" t="s">
        <v>254</v>
      </c>
      <c r="C59" t="s">
        <v>232</v>
      </c>
      <c r="D59" t="s">
        <v>33</v>
      </c>
      <c r="E59" t="s">
        <v>27</v>
      </c>
      <c r="F59" t="s">
        <v>28</v>
      </c>
      <c r="G59">
        <v>20.932531356811523</v>
      </c>
      <c r="H59">
        <v>20.892227172851562</v>
      </c>
      <c r="I59">
        <v>5.7000070810317993E-2</v>
      </c>
      <c r="J59">
        <v>106239.4609375</v>
      </c>
      <c r="K59">
        <v>108983.4609375</v>
      </c>
      <c r="L59">
        <v>3880.60205078125</v>
      </c>
      <c r="M59" t="b">
        <v>0</v>
      </c>
      <c r="N59">
        <v>1</v>
      </c>
      <c r="O59" t="b">
        <v>1</v>
      </c>
      <c r="P59">
        <v>3</v>
      </c>
      <c r="Q59">
        <v>12</v>
      </c>
      <c r="R59">
        <v>80.881500244140625</v>
      </c>
      <c r="S59" t="s">
        <v>24</v>
      </c>
      <c r="T59" t="s">
        <v>24</v>
      </c>
      <c r="U59" t="s">
        <v>24</v>
      </c>
      <c r="V59" t="s">
        <v>29</v>
      </c>
      <c r="W59" t="s">
        <v>29</v>
      </c>
      <c r="X59" t="s">
        <v>29</v>
      </c>
    </row>
    <row r="60" spans="1:24">
      <c r="A60" t="s">
        <v>111</v>
      </c>
      <c r="B60" t="s">
        <v>254</v>
      </c>
      <c r="C60" t="s">
        <v>232</v>
      </c>
      <c r="D60" t="s">
        <v>33</v>
      </c>
      <c r="E60" t="s">
        <v>27</v>
      </c>
      <c r="F60" t="s">
        <v>28</v>
      </c>
      <c r="G60">
        <v>20.851921081542969</v>
      </c>
      <c r="H60">
        <v>20.892227172851562</v>
      </c>
      <c r="I60">
        <v>5.7000070810317993E-2</v>
      </c>
      <c r="J60">
        <v>111727.4609375</v>
      </c>
      <c r="K60">
        <v>108983.4609375</v>
      </c>
      <c r="L60">
        <v>3880.60205078125</v>
      </c>
      <c r="M60" t="b">
        <v>0</v>
      </c>
      <c r="N60">
        <v>1</v>
      </c>
      <c r="O60" t="b">
        <v>1</v>
      </c>
      <c r="P60">
        <v>3</v>
      </c>
      <c r="Q60">
        <v>12</v>
      </c>
      <c r="R60">
        <v>80.687278747558594</v>
      </c>
      <c r="S60" t="s">
        <v>24</v>
      </c>
      <c r="T60" t="s">
        <v>24</v>
      </c>
      <c r="U60" t="s">
        <v>24</v>
      </c>
      <c r="V60" t="s">
        <v>29</v>
      </c>
      <c r="W60" t="s">
        <v>29</v>
      </c>
      <c r="X60" t="s">
        <v>29</v>
      </c>
    </row>
    <row r="61" spans="1:24">
      <c r="A61" t="s">
        <v>112</v>
      </c>
      <c r="B61" t="s">
        <v>255</v>
      </c>
      <c r="C61" t="s">
        <v>232</v>
      </c>
      <c r="D61" t="s">
        <v>33</v>
      </c>
      <c r="E61" t="s">
        <v>27</v>
      </c>
      <c r="F61" t="s">
        <v>28</v>
      </c>
      <c r="G61">
        <v>20.593982696533203</v>
      </c>
      <c r="H61">
        <v>21.019069671630859</v>
      </c>
      <c r="I61">
        <v>0.60116511583328247</v>
      </c>
      <c r="J61">
        <v>131266.21875</v>
      </c>
      <c r="K61">
        <v>104218.5</v>
      </c>
      <c r="L61">
        <v>38251.25</v>
      </c>
      <c r="M61" t="b">
        <v>0</v>
      </c>
      <c r="N61">
        <v>1</v>
      </c>
      <c r="O61" t="b">
        <v>1</v>
      </c>
      <c r="P61">
        <v>3</v>
      </c>
      <c r="Q61">
        <v>12</v>
      </c>
      <c r="R61">
        <v>80.298843383789062</v>
      </c>
      <c r="S61" t="s">
        <v>24</v>
      </c>
      <c r="T61" t="s">
        <v>24</v>
      </c>
      <c r="U61" t="s">
        <v>24</v>
      </c>
      <c r="V61" t="s">
        <v>114</v>
      </c>
      <c r="W61" t="s">
        <v>114</v>
      </c>
      <c r="X61" t="s">
        <v>29</v>
      </c>
    </row>
    <row r="62" spans="1:24">
      <c r="A62" t="s">
        <v>115</v>
      </c>
      <c r="B62" t="s">
        <v>255</v>
      </c>
      <c r="C62" t="s">
        <v>232</v>
      </c>
      <c r="D62" t="s">
        <v>33</v>
      </c>
      <c r="E62" t="s">
        <v>27</v>
      </c>
      <c r="F62" t="s">
        <v>28</v>
      </c>
      <c r="G62">
        <v>21.444158554077148</v>
      </c>
      <c r="H62">
        <v>21.019069671630859</v>
      </c>
      <c r="I62">
        <v>0.60116511583328247</v>
      </c>
      <c r="J62">
        <v>77170.78125</v>
      </c>
      <c r="K62">
        <v>104218.5</v>
      </c>
      <c r="L62">
        <v>38251.25</v>
      </c>
      <c r="M62" t="b">
        <v>0</v>
      </c>
      <c r="N62">
        <v>1</v>
      </c>
      <c r="O62" t="b">
        <v>1</v>
      </c>
      <c r="P62">
        <v>3</v>
      </c>
      <c r="Q62">
        <v>12</v>
      </c>
      <c r="R62">
        <v>80.298843383789062</v>
      </c>
      <c r="S62" t="s">
        <v>24</v>
      </c>
      <c r="T62" t="s">
        <v>24</v>
      </c>
      <c r="U62" t="s">
        <v>24</v>
      </c>
      <c r="V62" t="s">
        <v>114</v>
      </c>
      <c r="W62" t="s">
        <v>29</v>
      </c>
      <c r="X62" t="s">
        <v>29</v>
      </c>
    </row>
    <row r="63" spans="1:24">
      <c r="A63" t="s">
        <v>116</v>
      </c>
      <c r="B63" t="s">
        <v>24</v>
      </c>
      <c r="C63" t="s">
        <v>232</v>
      </c>
      <c r="D63" t="s">
        <v>26</v>
      </c>
      <c r="E63" t="s">
        <v>27</v>
      </c>
      <c r="F63" t="s">
        <v>28</v>
      </c>
      <c r="G63">
        <v>31.884408950805664</v>
      </c>
      <c r="H63">
        <v>32.248859405517578</v>
      </c>
      <c r="I63">
        <v>0.51541215181350708</v>
      </c>
      <c r="J63">
        <v>100</v>
      </c>
      <c r="K63" t="s">
        <v>24</v>
      </c>
      <c r="L63" t="s">
        <v>24</v>
      </c>
      <c r="M63" t="b">
        <v>0</v>
      </c>
      <c r="N63">
        <v>1</v>
      </c>
      <c r="O63" t="b">
        <v>1</v>
      </c>
      <c r="P63">
        <v>3</v>
      </c>
      <c r="Q63">
        <v>24</v>
      </c>
      <c r="R63">
        <v>80.493057250976562</v>
      </c>
      <c r="S63" t="s">
        <v>24</v>
      </c>
      <c r="T63" t="s">
        <v>24</v>
      </c>
      <c r="U63" t="s">
        <v>24</v>
      </c>
      <c r="V63" t="s">
        <v>114</v>
      </c>
      <c r="W63" t="s">
        <v>29</v>
      </c>
      <c r="X63" t="s">
        <v>29</v>
      </c>
    </row>
    <row r="64" spans="1:24">
      <c r="A64" t="s">
        <v>117</v>
      </c>
      <c r="B64" t="s">
        <v>24</v>
      </c>
      <c r="C64" t="s">
        <v>232</v>
      </c>
      <c r="D64" t="s">
        <v>26</v>
      </c>
      <c r="E64" t="s">
        <v>27</v>
      </c>
      <c r="F64" t="s">
        <v>28</v>
      </c>
      <c r="G64">
        <v>32.613311767578125</v>
      </c>
      <c r="H64">
        <v>32.248859405517578</v>
      </c>
      <c r="I64">
        <v>0.51541215181350708</v>
      </c>
      <c r="J64">
        <v>100</v>
      </c>
      <c r="K64" t="s">
        <v>24</v>
      </c>
      <c r="L64" t="s">
        <v>24</v>
      </c>
      <c r="M64" t="b">
        <v>0</v>
      </c>
      <c r="N64">
        <v>1</v>
      </c>
      <c r="O64" t="b">
        <v>1</v>
      </c>
      <c r="P64">
        <v>3</v>
      </c>
      <c r="Q64">
        <v>24</v>
      </c>
      <c r="R64">
        <v>80.687278747558594</v>
      </c>
      <c r="S64" t="s">
        <v>24</v>
      </c>
      <c r="T64" t="s">
        <v>24</v>
      </c>
      <c r="U64" t="s">
        <v>24</v>
      </c>
      <c r="V64" t="s">
        <v>114</v>
      </c>
      <c r="W64" t="s">
        <v>29</v>
      </c>
      <c r="X64" t="s">
        <v>29</v>
      </c>
    </row>
    <row r="65" spans="1:24">
      <c r="A65" t="s">
        <v>118</v>
      </c>
      <c r="B65" t="s">
        <v>256</v>
      </c>
      <c r="C65" t="s">
        <v>232</v>
      </c>
      <c r="D65" t="s">
        <v>33</v>
      </c>
      <c r="E65" t="s">
        <v>27</v>
      </c>
      <c r="F65" t="s">
        <v>28</v>
      </c>
      <c r="G65">
        <v>20.036188125610352</v>
      </c>
      <c r="H65">
        <v>19.874298095703125</v>
      </c>
      <c r="I65">
        <v>0.22894842922687531</v>
      </c>
      <c r="J65">
        <v>186000.328125</v>
      </c>
      <c r="K65">
        <v>206852.984375</v>
      </c>
      <c r="L65">
        <v>29490.109375</v>
      </c>
      <c r="M65" t="b">
        <v>0</v>
      </c>
      <c r="N65">
        <v>1</v>
      </c>
      <c r="O65" t="b">
        <v>1</v>
      </c>
      <c r="P65">
        <v>3</v>
      </c>
      <c r="Q65">
        <v>11</v>
      </c>
      <c r="R65">
        <v>80.687278747558594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  <c r="X65" t="s">
        <v>29</v>
      </c>
    </row>
    <row r="66" spans="1:24">
      <c r="A66" t="s">
        <v>120</v>
      </c>
      <c r="B66" t="s">
        <v>256</v>
      </c>
      <c r="C66" t="s">
        <v>232</v>
      </c>
      <c r="D66" t="s">
        <v>33</v>
      </c>
      <c r="E66" t="s">
        <v>27</v>
      </c>
      <c r="F66" t="s">
        <v>28</v>
      </c>
      <c r="G66">
        <v>19.712406158447266</v>
      </c>
      <c r="H66">
        <v>19.874298095703125</v>
      </c>
      <c r="I66">
        <v>0.22894842922687531</v>
      </c>
      <c r="J66">
        <v>227705.640625</v>
      </c>
      <c r="K66">
        <v>206852.984375</v>
      </c>
      <c r="L66">
        <v>29490.109375</v>
      </c>
      <c r="M66" t="b">
        <v>0</v>
      </c>
      <c r="N66">
        <v>1</v>
      </c>
      <c r="O66" t="b">
        <v>1</v>
      </c>
      <c r="P66">
        <v>3</v>
      </c>
      <c r="Q66">
        <v>11</v>
      </c>
      <c r="R66">
        <v>80.687278747558594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  <c r="X66" t="s">
        <v>29</v>
      </c>
    </row>
    <row r="67" spans="1:24">
      <c r="A67" t="s">
        <v>121</v>
      </c>
      <c r="B67" t="s">
        <v>257</v>
      </c>
      <c r="C67" t="s">
        <v>232</v>
      </c>
      <c r="D67" t="s">
        <v>33</v>
      </c>
      <c r="E67" t="s">
        <v>27</v>
      </c>
      <c r="F67" t="s">
        <v>28</v>
      </c>
      <c r="G67">
        <v>21.567741394042969</v>
      </c>
      <c r="H67">
        <v>21.451206207275391</v>
      </c>
      <c r="I67">
        <v>0.16480563580989838</v>
      </c>
      <c r="J67">
        <v>71436.140625</v>
      </c>
      <c r="K67">
        <v>77035.46875</v>
      </c>
      <c r="L67">
        <v>7918.64599609375</v>
      </c>
      <c r="M67" t="b">
        <v>0</v>
      </c>
      <c r="N67">
        <v>1</v>
      </c>
      <c r="O67" t="b">
        <v>1</v>
      </c>
      <c r="P67">
        <v>3</v>
      </c>
      <c r="Q67">
        <v>14</v>
      </c>
      <c r="R67">
        <v>80.881500244140625</v>
      </c>
      <c r="S67" t="s">
        <v>24</v>
      </c>
      <c r="T67" t="s">
        <v>24</v>
      </c>
      <c r="U67" t="s">
        <v>24</v>
      </c>
      <c r="V67" t="s">
        <v>29</v>
      </c>
      <c r="W67" t="s">
        <v>29</v>
      </c>
      <c r="X67" t="s">
        <v>29</v>
      </c>
    </row>
    <row r="68" spans="1:24">
      <c r="A68" t="s">
        <v>123</v>
      </c>
      <c r="B68" t="s">
        <v>257</v>
      </c>
      <c r="C68" t="s">
        <v>232</v>
      </c>
      <c r="D68" t="s">
        <v>33</v>
      </c>
      <c r="E68" t="s">
        <v>27</v>
      </c>
      <c r="F68" t="s">
        <v>28</v>
      </c>
      <c r="G68">
        <v>21.334671020507812</v>
      </c>
      <c r="H68">
        <v>21.451206207275391</v>
      </c>
      <c r="I68">
        <v>0.16480563580989838</v>
      </c>
      <c r="J68">
        <v>82634.796875</v>
      </c>
      <c r="K68">
        <v>77035.46875</v>
      </c>
      <c r="L68">
        <v>7918.64599609375</v>
      </c>
      <c r="M68" t="b">
        <v>0</v>
      </c>
      <c r="N68">
        <v>1</v>
      </c>
      <c r="O68" t="b">
        <v>1</v>
      </c>
      <c r="P68">
        <v>3</v>
      </c>
      <c r="Q68">
        <v>12</v>
      </c>
      <c r="R68">
        <v>80.881500244140625</v>
      </c>
      <c r="S68" t="s">
        <v>24</v>
      </c>
      <c r="T68" t="s">
        <v>24</v>
      </c>
      <c r="U68" t="s">
        <v>24</v>
      </c>
      <c r="V68" t="s">
        <v>29</v>
      </c>
      <c r="W68" t="s">
        <v>29</v>
      </c>
      <c r="X68" t="s">
        <v>29</v>
      </c>
    </row>
    <row r="69" spans="1:24">
      <c r="A69" t="s">
        <v>124</v>
      </c>
      <c r="B69" t="s">
        <v>258</v>
      </c>
      <c r="C69" t="s">
        <v>232</v>
      </c>
      <c r="D69" t="s">
        <v>33</v>
      </c>
      <c r="E69" t="s">
        <v>27</v>
      </c>
      <c r="F69" t="s">
        <v>28</v>
      </c>
      <c r="G69">
        <v>20.882358551025391</v>
      </c>
      <c r="H69">
        <v>20.854616165161133</v>
      </c>
      <c r="I69">
        <v>3.9233658462762833E-2</v>
      </c>
      <c r="J69">
        <v>109622.7109375</v>
      </c>
      <c r="K69">
        <v>111556.234375</v>
      </c>
      <c r="L69">
        <v>2734.409423828125</v>
      </c>
      <c r="M69" t="b">
        <v>0</v>
      </c>
      <c r="N69">
        <v>1</v>
      </c>
      <c r="O69" t="b">
        <v>1</v>
      </c>
      <c r="P69">
        <v>3</v>
      </c>
      <c r="Q69">
        <v>11</v>
      </c>
      <c r="R69">
        <v>80.881500244140625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  <c r="X69" t="s">
        <v>29</v>
      </c>
    </row>
    <row r="70" spans="1:24">
      <c r="A70" t="s">
        <v>126</v>
      </c>
      <c r="B70" t="s">
        <v>258</v>
      </c>
      <c r="C70" t="s">
        <v>232</v>
      </c>
      <c r="D70" t="s">
        <v>33</v>
      </c>
      <c r="E70" t="s">
        <v>27</v>
      </c>
      <c r="F70" t="s">
        <v>28</v>
      </c>
      <c r="G70">
        <v>20.826873779296875</v>
      </c>
      <c r="H70">
        <v>20.854616165161133</v>
      </c>
      <c r="I70">
        <v>3.9233658462762833E-2</v>
      </c>
      <c r="J70">
        <v>113489.75</v>
      </c>
      <c r="K70">
        <v>111556.234375</v>
      </c>
      <c r="L70">
        <v>2734.409423828125</v>
      </c>
      <c r="M70" t="b">
        <v>0</v>
      </c>
      <c r="N70">
        <v>1</v>
      </c>
      <c r="O70" t="b">
        <v>1</v>
      </c>
      <c r="P70">
        <v>3</v>
      </c>
      <c r="Q70">
        <v>12</v>
      </c>
      <c r="R70">
        <v>80.881500244140625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  <c r="X70" t="s">
        <v>29</v>
      </c>
    </row>
    <row r="71" spans="1:24">
      <c r="A71" t="s">
        <v>127</v>
      </c>
      <c r="B71" t="s">
        <v>259</v>
      </c>
      <c r="C71" t="s">
        <v>232</v>
      </c>
      <c r="D71" t="s">
        <v>33</v>
      </c>
      <c r="E71" t="s">
        <v>27</v>
      </c>
      <c r="F71" t="s">
        <v>28</v>
      </c>
      <c r="G71">
        <v>21.98835563659668</v>
      </c>
      <c r="H71">
        <v>21.850536346435547</v>
      </c>
      <c r="I71">
        <v>0.19490726292133331</v>
      </c>
      <c r="J71">
        <v>54926.5</v>
      </c>
      <c r="K71">
        <v>60088.1015625</v>
      </c>
      <c r="L71">
        <v>7299.60693359375</v>
      </c>
      <c r="M71" t="b">
        <v>0</v>
      </c>
      <c r="N71">
        <v>1</v>
      </c>
      <c r="O71" t="b">
        <v>1</v>
      </c>
      <c r="P71">
        <v>3</v>
      </c>
      <c r="Q71">
        <v>13</v>
      </c>
      <c r="R71">
        <v>80.881500244140625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  <c r="X71" t="s">
        <v>29</v>
      </c>
    </row>
    <row r="72" spans="1:24">
      <c r="A72" t="s">
        <v>129</v>
      </c>
      <c r="B72" t="s">
        <v>259</v>
      </c>
      <c r="C72" t="s">
        <v>232</v>
      </c>
      <c r="D72" t="s">
        <v>33</v>
      </c>
      <c r="E72" t="s">
        <v>27</v>
      </c>
      <c r="F72" t="s">
        <v>28</v>
      </c>
      <c r="G72">
        <v>21.712715148925781</v>
      </c>
      <c r="H72">
        <v>21.850536346435547</v>
      </c>
      <c r="I72">
        <v>0.19490726292133331</v>
      </c>
      <c r="J72">
        <v>65249.703125</v>
      </c>
      <c r="K72">
        <v>60088.1015625</v>
      </c>
      <c r="L72">
        <v>7299.60693359375</v>
      </c>
      <c r="M72" t="b">
        <v>0</v>
      </c>
      <c r="N72">
        <v>1</v>
      </c>
      <c r="O72" t="b">
        <v>1</v>
      </c>
      <c r="P72">
        <v>3</v>
      </c>
      <c r="Q72">
        <v>12</v>
      </c>
      <c r="R72">
        <v>80.687278747558594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  <c r="X72" t="s">
        <v>29</v>
      </c>
    </row>
    <row r="73" spans="1:24">
      <c r="A73" t="s">
        <v>130</v>
      </c>
      <c r="B73" t="s">
        <v>260</v>
      </c>
      <c r="C73" t="s">
        <v>232</v>
      </c>
      <c r="D73" t="s">
        <v>33</v>
      </c>
      <c r="E73" t="s">
        <v>27</v>
      </c>
      <c r="F73" t="s">
        <v>28</v>
      </c>
      <c r="G73">
        <v>33.646137237548828</v>
      </c>
      <c r="H73">
        <v>33.060905456542969</v>
      </c>
      <c r="I73">
        <v>0.82764273881912231</v>
      </c>
      <c r="J73">
        <v>37.703052520751953</v>
      </c>
      <c r="K73">
        <v>58.021965026855469</v>
      </c>
      <c r="L73">
        <v>28.735284805297852</v>
      </c>
      <c r="M73" t="b">
        <v>0</v>
      </c>
      <c r="N73">
        <v>1</v>
      </c>
      <c r="O73" t="b">
        <v>1</v>
      </c>
      <c r="P73">
        <v>3</v>
      </c>
      <c r="Q73">
        <v>27</v>
      </c>
      <c r="R73">
        <v>80.298843383789062</v>
      </c>
      <c r="S73" t="s">
        <v>24</v>
      </c>
      <c r="T73" t="s">
        <v>24</v>
      </c>
      <c r="U73" t="s">
        <v>24</v>
      </c>
      <c r="V73" t="s">
        <v>114</v>
      </c>
      <c r="W73" t="s">
        <v>29</v>
      </c>
      <c r="X73" t="s">
        <v>29</v>
      </c>
    </row>
    <row r="74" spans="1:24">
      <c r="A74" t="s">
        <v>132</v>
      </c>
      <c r="B74" t="s">
        <v>260</v>
      </c>
      <c r="C74" t="s">
        <v>232</v>
      </c>
      <c r="D74" t="s">
        <v>33</v>
      </c>
      <c r="E74" t="s">
        <v>27</v>
      </c>
      <c r="F74" t="s">
        <v>28</v>
      </c>
      <c r="G74">
        <v>32.475673675537109</v>
      </c>
      <c r="H74">
        <v>33.060905456542969</v>
      </c>
      <c r="I74">
        <v>0.82764273881912231</v>
      </c>
      <c r="J74">
        <v>78.34088134765625</v>
      </c>
      <c r="K74">
        <v>58.021965026855469</v>
      </c>
      <c r="L74">
        <v>28.735284805297852</v>
      </c>
      <c r="M74" t="b">
        <v>0</v>
      </c>
      <c r="N74">
        <v>1</v>
      </c>
      <c r="O74" t="b">
        <v>1</v>
      </c>
      <c r="P74">
        <v>3</v>
      </c>
      <c r="Q74">
        <v>25</v>
      </c>
      <c r="R74">
        <v>80.298843383789062</v>
      </c>
      <c r="S74" t="s">
        <v>24</v>
      </c>
      <c r="T74" t="s">
        <v>24</v>
      </c>
      <c r="U74" t="s">
        <v>24</v>
      </c>
      <c r="V74" t="s">
        <v>114</v>
      </c>
      <c r="W74" t="s">
        <v>29</v>
      </c>
      <c r="X74" t="s">
        <v>29</v>
      </c>
    </row>
    <row r="75" spans="1:24">
      <c r="A75" t="s">
        <v>133</v>
      </c>
      <c r="B75" t="s">
        <v>24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29</v>
      </c>
      <c r="W75" t="s">
        <v>29</v>
      </c>
      <c r="X75" t="s">
        <v>29</v>
      </c>
    </row>
    <row r="76" spans="1:24">
      <c r="A76" t="s">
        <v>134</v>
      </c>
      <c r="B76" t="s">
        <v>24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29</v>
      </c>
      <c r="W76" t="s">
        <v>29</v>
      </c>
      <c r="X76" t="s">
        <v>29</v>
      </c>
    </row>
    <row r="77" spans="1:24">
      <c r="A77" t="s">
        <v>135</v>
      </c>
      <c r="B77" t="s">
        <v>261</v>
      </c>
      <c r="C77" t="s">
        <v>232</v>
      </c>
      <c r="D77" t="s">
        <v>33</v>
      </c>
      <c r="E77" t="s">
        <v>27</v>
      </c>
      <c r="F77" t="s">
        <v>28</v>
      </c>
      <c r="G77">
        <v>20.550647735595703</v>
      </c>
      <c r="H77">
        <v>20.447929382324219</v>
      </c>
      <c r="I77">
        <v>0.14526568353176117</v>
      </c>
      <c r="J77">
        <v>134869</v>
      </c>
      <c r="K77">
        <v>144105.046875</v>
      </c>
      <c r="L77">
        <v>13061.7431640625</v>
      </c>
      <c r="M77" t="b">
        <v>0</v>
      </c>
      <c r="N77">
        <v>1</v>
      </c>
      <c r="O77" t="b">
        <v>1</v>
      </c>
      <c r="P77">
        <v>3</v>
      </c>
      <c r="Q77">
        <v>13</v>
      </c>
      <c r="R77">
        <v>80.687278747558594</v>
      </c>
      <c r="S77" t="s">
        <v>24</v>
      </c>
      <c r="T77" t="s">
        <v>24</v>
      </c>
      <c r="U77" t="s">
        <v>24</v>
      </c>
      <c r="V77" t="s">
        <v>29</v>
      </c>
      <c r="W77" t="s">
        <v>29</v>
      </c>
      <c r="X77" t="s">
        <v>29</v>
      </c>
    </row>
    <row r="78" spans="1:24">
      <c r="A78" t="s">
        <v>137</v>
      </c>
      <c r="B78" t="s">
        <v>261</v>
      </c>
      <c r="C78" t="s">
        <v>232</v>
      </c>
      <c r="D78" t="s">
        <v>33</v>
      </c>
      <c r="E78" t="s">
        <v>27</v>
      </c>
      <c r="F78" t="s">
        <v>28</v>
      </c>
      <c r="G78">
        <v>20.345211029052734</v>
      </c>
      <c r="H78">
        <v>20.447929382324219</v>
      </c>
      <c r="I78">
        <v>0.14526568353176117</v>
      </c>
      <c r="J78">
        <v>153341.09375</v>
      </c>
      <c r="K78">
        <v>144105.046875</v>
      </c>
      <c r="L78">
        <v>13061.7431640625</v>
      </c>
      <c r="M78" t="b">
        <v>0</v>
      </c>
      <c r="N78">
        <v>1</v>
      </c>
      <c r="O78" t="b">
        <v>1</v>
      </c>
      <c r="P78">
        <v>3</v>
      </c>
      <c r="Q78">
        <v>10</v>
      </c>
      <c r="R78">
        <v>80.687278747558594</v>
      </c>
      <c r="S78" t="s">
        <v>24</v>
      </c>
      <c r="T78" t="s">
        <v>24</v>
      </c>
      <c r="U78" t="s">
        <v>24</v>
      </c>
      <c r="V78" t="s">
        <v>29</v>
      </c>
      <c r="W78" t="s">
        <v>29</v>
      </c>
      <c r="X78" t="s">
        <v>29</v>
      </c>
    </row>
    <row r="79" spans="1:24">
      <c r="A79" t="s">
        <v>138</v>
      </c>
      <c r="B79" t="s">
        <v>262</v>
      </c>
      <c r="C79" t="s">
        <v>232</v>
      </c>
      <c r="D79" t="s">
        <v>33</v>
      </c>
      <c r="E79" t="s">
        <v>27</v>
      </c>
      <c r="F79" t="s">
        <v>28</v>
      </c>
      <c r="G79">
        <v>21.903953552246094</v>
      </c>
      <c r="H79">
        <v>21.857578277587891</v>
      </c>
      <c r="I79">
        <v>6.5583191812038422E-2</v>
      </c>
      <c r="J79">
        <v>57900.84765625</v>
      </c>
      <c r="K79">
        <v>59628.125</v>
      </c>
      <c r="L79">
        <v>2442.736328125</v>
      </c>
      <c r="M79" t="b">
        <v>0</v>
      </c>
      <c r="N79">
        <v>1</v>
      </c>
      <c r="O79" t="b">
        <v>1</v>
      </c>
      <c r="P79">
        <v>3</v>
      </c>
      <c r="Q79">
        <v>14</v>
      </c>
      <c r="R79">
        <v>80.687278747558594</v>
      </c>
      <c r="S79" t="s">
        <v>24</v>
      </c>
      <c r="T79" t="s">
        <v>24</v>
      </c>
      <c r="U79" t="s">
        <v>24</v>
      </c>
      <c r="V79" t="s">
        <v>29</v>
      </c>
      <c r="W79" t="s">
        <v>29</v>
      </c>
      <c r="X79" t="s">
        <v>29</v>
      </c>
    </row>
    <row r="80" spans="1:24">
      <c r="A80" t="s">
        <v>140</v>
      </c>
      <c r="B80" t="s">
        <v>262</v>
      </c>
      <c r="C80" t="s">
        <v>232</v>
      </c>
      <c r="D80" t="s">
        <v>33</v>
      </c>
      <c r="E80" t="s">
        <v>27</v>
      </c>
      <c r="F80" t="s">
        <v>28</v>
      </c>
      <c r="G80">
        <v>21.81120491027832</v>
      </c>
      <c r="H80">
        <v>21.857578277587891</v>
      </c>
      <c r="I80">
        <v>6.5583191812038422E-2</v>
      </c>
      <c r="J80">
        <v>61355.3984375</v>
      </c>
      <c r="K80">
        <v>59628.125</v>
      </c>
      <c r="L80">
        <v>2442.736328125</v>
      </c>
      <c r="M80" t="b">
        <v>0</v>
      </c>
      <c r="N80">
        <v>1</v>
      </c>
      <c r="O80" t="b">
        <v>1</v>
      </c>
      <c r="P80">
        <v>3</v>
      </c>
      <c r="Q80">
        <v>11</v>
      </c>
      <c r="R80">
        <v>80.881500244140625</v>
      </c>
      <c r="S80" t="s">
        <v>24</v>
      </c>
      <c r="T80" t="s">
        <v>24</v>
      </c>
      <c r="U80" t="s">
        <v>24</v>
      </c>
      <c r="V80" t="s">
        <v>29</v>
      </c>
      <c r="W80" t="s">
        <v>29</v>
      </c>
      <c r="X80" t="s">
        <v>29</v>
      </c>
    </row>
    <row r="81" spans="1:24">
      <c r="A81" t="s">
        <v>141</v>
      </c>
      <c r="B81" t="s">
        <v>263</v>
      </c>
      <c r="C81" t="s">
        <v>232</v>
      </c>
      <c r="D81" t="s">
        <v>33</v>
      </c>
      <c r="E81" t="s">
        <v>27</v>
      </c>
      <c r="F81" t="s">
        <v>28</v>
      </c>
      <c r="G81">
        <v>20.177223205566406</v>
      </c>
      <c r="H81">
        <v>20.270513534545898</v>
      </c>
      <c r="I81">
        <v>0.13193245232105255</v>
      </c>
      <c r="J81">
        <v>170311.125</v>
      </c>
      <c r="K81">
        <v>160940.5625</v>
      </c>
      <c r="L81">
        <v>13251.9658203125</v>
      </c>
      <c r="M81" t="b">
        <v>0</v>
      </c>
      <c r="N81">
        <v>1</v>
      </c>
      <c r="O81" t="b">
        <v>1</v>
      </c>
      <c r="P81">
        <v>3</v>
      </c>
      <c r="Q81">
        <v>11</v>
      </c>
      <c r="R81">
        <v>80.881500244140625</v>
      </c>
      <c r="S81" t="s">
        <v>24</v>
      </c>
      <c r="T81" t="s">
        <v>24</v>
      </c>
      <c r="U81" t="s">
        <v>24</v>
      </c>
      <c r="V81" t="s">
        <v>29</v>
      </c>
      <c r="W81" t="s">
        <v>29</v>
      </c>
      <c r="X81" t="s">
        <v>29</v>
      </c>
    </row>
    <row r="82" spans="1:24">
      <c r="A82" t="s">
        <v>143</v>
      </c>
      <c r="B82" t="s">
        <v>263</v>
      </c>
      <c r="C82" t="s">
        <v>232</v>
      </c>
      <c r="D82" t="s">
        <v>33</v>
      </c>
      <c r="E82" t="s">
        <v>27</v>
      </c>
      <c r="F82" t="s">
        <v>28</v>
      </c>
      <c r="G82">
        <v>20.363803863525391</v>
      </c>
      <c r="H82">
        <v>20.270513534545898</v>
      </c>
      <c r="I82">
        <v>0.13193245232105255</v>
      </c>
      <c r="J82">
        <v>151570.015625</v>
      </c>
      <c r="K82">
        <v>160940.5625</v>
      </c>
      <c r="L82">
        <v>13251.9658203125</v>
      </c>
      <c r="M82" t="b">
        <v>0</v>
      </c>
      <c r="N82">
        <v>1</v>
      </c>
      <c r="O82" t="b">
        <v>1</v>
      </c>
      <c r="P82">
        <v>3</v>
      </c>
      <c r="Q82">
        <v>11</v>
      </c>
      <c r="R82">
        <v>80.881500244140625</v>
      </c>
      <c r="S82" t="s">
        <v>24</v>
      </c>
      <c r="T82" t="s">
        <v>24</v>
      </c>
      <c r="U82" t="s">
        <v>24</v>
      </c>
      <c r="V82" t="s">
        <v>29</v>
      </c>
      <c r="W82" t="s">
        <v>29</v>
      </c>
      <c r="X82" t="s">
        <v>29</v>
      </c>
    </row>
    <row r="83" spans="1:24">
      <c r="A83" t="s">
        <v>144</v>
      </c>
      <c r="B83" t="s">
        <v>264</v>
      </c>
      <c r="C83" t="s">
        <v>232</v>
      </c>
      <c r="D83" t="s">
        <v>33</v>
      </c>
      <c r="E83" t="s">
        <v>27</v>
      </c>
      <c r="F83" t="s">
        <v>28</v>
      </c>
      <c r="G83">
        <v>21.838676452636719</v>
      </c>
      <c r="H83">
        <v>21.89019775390625</v>
      </c>
      <c r="I83">
        <v>7.2860777378082275E-2</v>
      </c>
      <c r="J83">
        <v>60311.234375</v>
      </c>
      <c r="K83">
        <v>58430.9375</v>
      </c>
      <c r="L83">
        <v>2659.138671875</v>
      </c>
      <c r="M83" t="b">
        <v>0</v>
      </c>
      <c r="N83">
        <v>1</v>
      </c>
      <c r="O83" t="b">
        <v>1</v>
      </c>
      <c r="P83">
        <v>3</v>
      </c>
      <c r="Q83">
        <v>15</v>
      </c>
      <c r="R83">
        <v>80.687278747558594</v>
      </c>
      <c r="S83" t="s">
        <v>24</v>
      </c>
      <c r="T83" t="s">
        <v>24</v>
      </c>
      <c r="U83" t="s">
        <v>24</v>
      </c>
      <c r="V83" t="s">
        <v>29</v>
      </c>
      <c r="W83" t="s">
        <v>29</v>
      </c>
      <c r="X83" t="s">
        <v>29</v>
      </c>
    </row>
    <row r="84" spans="1:24">
      <c r="A84" t="s">
        <v>146</v>
      </c>
      <c r="B84" t="s">
        <v>264</v>
      </c>
      <c r="C84" t="s">
        <v>232</v>
      </c>
      <c r="D84" t="s">
        <v>33</v>
      </c>
      <c r="E84" t="s">
        <v>27</v>
      </c>
      <c r="F84" t="s">
        <v>28</v>
      </c>
      <c r="G84">
        <v>21.941717147827148</v>
      </c>
      <c r="H84">
        <v>21.89019775390625</v>
      </c>
      <c r="I84">
        <v>7.2860777378082275E-2</v>
      </c>
      <c r="J84">
        <v>56550.64453125</v>
      </c>
      <c r="K84">
        <v>58430.9375</v>
      </c>
      <c r="L84">
        <v>2659.138671875</v>
      </c>
      <c r="M84" t="b">
        <v>0</v>
      </c>
      <c r="N84">
        <v>1</v>
      </c>
      <c r="O84" t="b">
        <v>1</v>
      </c>
      <c r="P84">
        <v>3</v>
      </c>
      <c r="Q84">
        <v>15</v>
      </c>
      <c r="R84">
        <v>80.687278747558594</v>
      </c>
      <c r="S84" t="s">
        <v>24</v>
      </c>
      <c r="T84" t="s">
        <v>24</v>
      </c>
      <c r="U84" t="s">
        <v>24</v>
      </c>
      <c r="V84" t="s">
        <v>29</v>
      </c>
      <c r="W84" t="s">
        <v>29</v>
      </c>
      <c r="X84" t="s">
        <v>29</v>
      </c>
    </row>
    <row r="85" spans="1:24">
      <c r="A85" t="s">
        <v>147</v>
      </c>
      <c r="B85" t="s">
        <v>193</v>
      </c>
      <c r="C85" t="s">
        <v>232</v>
      </c>
      <c r="D85" t="s">
        <v>33</v>
      </c>
      <c r="E85" t="s">
        <v>27</v>
      </c>
      <c r="F85" t="s">
        <v>28</v>
      </c>
      <c r="G85" t="s">
        <v>179</v>
      </c>
      <c r="H85">
        <v>30.9715576171875</v>
      </c>
      <c r="I85">
        <v>1.1708433628082275</v>
      </c>
      <c r="J85" t="s">
        <v>24</v>
      </c>
      <c r="K85" t="s">
        <v>24</v>
      </c>
      <c r="L85" t="s">
        <v>24</v>
      </c>
      <c r="M85" t="b">
        <v>0</v>
      </c>
      <c r="N85">
        <v>1</v>
      </c>
      <c r="O85" t="b">
        <v>1</v>
      </c>
      <c r="P85">
        <v>3</v>
      </c>
      <c r="Q85">
        <v>49</v>
      </c>
      <c r="R85">
        <v>61.847972869873047</v>
      </c>
      <c r="S85" t="s">
        <v>24</v>
      </c>
      <c r="T85" t="s">
        <v>24</v>
      </c>
      <c r="U85" t="s">
        <v>24</v>
      </c>
      <c r="V85" t="s">
        <v>29</v>
      </c>
      <c r="W85" t="s">
        <v>29</v>
      </c>
      <c r="X85" t="s">
        <v>114</v>
      </c>
    </row>
    <row r="86" spans="1:24">
      <c r="A86" t="s">
        <v>149</v>
      </c>
      <c r="B86" t="s">
        <v>193</v>
      </c>
      <c r="C86" t="s">
        <v>232</v>
      </c>
      <c r="D86" t="s">
        <v>33</v>
      </c>
      <c r="E86" t="s">
        <v>27</v>
      </c>
      <c r="F86" t="s">
        <v>28</v>
      </c>
      <c r="G86" t="s">
        <v>179</v>
      </c>
      <c r="H86">
        <v>30.9715576171875</v>
      </c>
      <c r="I86">
        <v>1.1708433628082275</v>
      </c>
      <c r="J86" t="s">
        <v>24</v>
      </c>
      <c r="K86" t="s">
        <v>24</v>
      </c>
      <c r="L86" t="s">
        <v>24</v>
      </c>
      <c r="M86" t="b">
        <v>0</v>
      </c>
      <c r="N86">
        <v>1</v>
      </c>
      <c r="O86" t="b">
        <v>1</v>
      </c>
      <c r="P86">
        <v>3</v>
      </c>
      <c r="Q86">
        <v>49</v>
      </c>
      <c r="R86">
        <v>61.653755187988281</v>
      </c>
      <c r="S86" t="s">
        <v>24</v>
      </c>
      <c r="T86" t="s">
        <v>24</v>
      </c>
      <c r="U86" t="s">
        <v>24</v>
      </c>
      <c r="V86" t="s">
        <v>29</v>
      </c>
      <c r="W86" t="s">
        <v>29</v>
      </c>
      <c r="X86" t="s">
        <v>114</v>
      </c>
    </row>
    <row r="87" spans="1:24">
      <c r="A87" t="s">
        <v>150</v>
      </c>
      <c r="B87" t="s">
        <v>24</v>
      </c>
      <c r="C87" t="s">
        <v>232</v>
      </c>
      <c r="D87" t="s">
        <v>151</v>
      </c>
      <c r="E87" t="s">
        <v>27</v>
      </c>
      <c r="F87" t="s">
        <v>28</v>
      </c>
      <c r="G87">
        <v>49.819377899169922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b">
        <v>0</v>
      </c>
      <c r="N87">
        <v>1</v>
      </c>
      <c r="O87" t="b">
        <v>1</v>
      </c>
      <c r="P87">
        <v>3</v>
      </c>
      <c r="Q87">
        <v>42</v>
      </c>
      <c r="R87">
        <v>77.96820068359375</v>
      </c>
      <c r="S87" t="s">
        <v>24</v>
      </c>
      <c r="T87" t="s">
        <v>24</v>
      </c>
      <c r="U87" t="s">
        <v>24</v>
      </c>
      <c r="V87" t="s">
        <v>29</v>
      </c>
      <c r="W87" t="s">
        <v>29</v>
      </c>
      <c r="X87" t="s">
        <v>29</v>
      </c>
    </row>
    <row r="88" spans="1:24">
      <c r="A88" t="s">
        <v>152</v>
      </c>
      <c r="B88" t="s">
        <v>24</v>
      </c>
      <c r="C88" t="s">
        <v>232</v>
      </c>
      <c r="D88" t="s">
        <v>151</v>
      </c>
      <c r="E88" t="s">
        <v>27</v>
      </c>
      <c r="F88" t="s">
        <v>28</v>
      </c>
      <c r="G88">
        <v>35.739505767822266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b">
        <v>0</v>
      </c>
      <c r="N88">
        <v>1</v>
      </c>
      <c r="O88" t="b">
        <v>1</v>
      </c>
      <c r="P88">
        <v>3</v>
      </c>
      <c r="Q88">
        <v>28</v>
      </c>
      <c r="R88">
        <v>79.910400390625</v>
      </c>
      <c r="S88" t="s">
        <v>24</v>
      </c>
      <c r="T88" t="s">
        <v>24</v>
      </c>
      <c r="U88" t="s">
        <v>24</v>
      </c>
      <c r="V88" t="s">
        <v>29</v>
      </c>
      <c r="W88" t="s">
        <v>29</v>
      </c>
      <c r="X88" t="s">
        <v>29</v>
      </c>
    </row>
    <row r="89" spans="1:24">
      <c r="A89" t="s">
        <v>153</v>
      </c>
      <c r="B89" t="s">
        <v>265</v>
      </c>
      <c r="C89" t="s">
        <v>232</v>
      </c>
      <c r="D89" t="s">
        <v>33</v>
      </c>
      <c r="E89" t="s">
        <v>27</v>
      </c>
      <c r="F89" t="s">
        <v>28</v>
      </c>
      <c r="G89">
        <v>19.811504364013672</v>
      </c>
      <c r="H89">
        <v>19.647640228271484</v>
      </c>
      <c r="I89">
        <v>0.23174023628234863</v>
      </c>
      <c r="J89">
        <v>214034.078125</v>
      </c>
      <c r="K89">
        <v>238353.21875</v>
      </c>
      <c r="L89">
        <v>34392.44921875</v>
      </c>
      <c r="M89" t="b">
        <v>0</v>
      </c>
      <c r="N89">
        <v>1</v>
      </c>
      <c r="O89" t="b">
        <v>1</v>
      </c>
      <c r="P89">
        <v>3</v>
      </c>
      <c r="Q89">
        <v>11</v>
      </c>
      <c r="R89">
        <v>80.493057250976562</v>
      </c>
      <c r="S89" t="s">
        <v>24</v>
      </c>
      <c r="T89" t="s">
        <v>24</v>
      </c>
      <c r="U89" t="s">
        <v>24</v>
      </c>
      <c r="V89" t="s">
        <v>29</v>
      </c>
      <c r="W89" t="s">
        <v>29</v>
      </c>
      <c r="X89" t="s">
        <v>29</v>
      </c>
    </row>
    <row r="90" spans="1:24">
      <c r="A90" t="s">
        <v>155</v>
      </c>
      <c r="B90" t="s">
        <v>265</v>
      </c>
      <c r="C90" t="s">
        <v>232</v>
      </c>
      <c r="D90" t="s">
        <v>33</v>
      </c>
      <c r="E90" t="s">
        <v>27</v>
      </c>
      <c r="F90" t="s">
        <v>28</v>
      </c>
      <c r="G90">
        <v>19.483774185180664</v>
      </c>
      <c r="H90">
        <v>19.647640228271484</v>
      </c>
      <c r="I90">
        <v>0.23174023628234863</v>
      </c>
      <c r="J90">
        <v>262672.34375</v>
      </c>
      <c r="K90">
        <v>238353.21875</v>
      </c>
      <c r="L90">
        <v>34392.44921875</v>
      </c>
      <c r="M90" t="b">
        <v>0</v>
      </c>
      <c r="N90">
        <v>1</v>
      </c>
      <c r="O90" t="b">
        <v>1</v>
      </c>
      <c r="P90">
        <v>3</v>
      </c>
      <c r="Q90">
        <v>13</v>
      </c>
      <c r="R90">
        <v>80.493057250976562</v>
      </c>
      <c r="S90" t="s">
        <v>24</v>
      </c>
      <c r="T90" t="s">
        <v>24</v>
      </c>
      <c r="U90" t="s">
        <v>24</v>
      </c>
      <c r="V90" t="s">
        <v>29</v>
      </c>
      <c r="W90" t="s">
        <v>29</v>
      </c>
      <c r="X90" t="s">
        <v>29</v>
      </c>
    </row>
    <row r="91" spans="1:24">
      <c r="A91" t="s">
        <v>156</v>
      </c>
      <c r="B91" t="s">
        <v>266</v>
      </c>
      <c r="C91" t="s">
        <v>232</v>
      </c>
      <c r="D91" t="s">
        <v>33</v>
      </c>
      <c r="E91" t="s">
        <v>27</v>
      </c>
      <c r="F91" t="s">
        <v>28</v>
      </c>
      <c r="G91">
        <v>20.643119812011719</v>
      </c>
      <c r="H91">
        <v>20.320709228515625</v>
      </c>
      <c r="I91">
        <v>0.45595741271972656</v>
      </c>
      <c r="J91">
        <v>127297.3359375</v>
      </c>
      <c r="K91">
        <v>158876.796875</v>
      </c>
      <c r="L91">
        <v>44660.09765625</v>
      </c>
      <c r="M91" t="b">
        <v>0</v>
      </c>
      <c r="N91">
        <v>1</v>
      </c>
      <c r="O91" t="b">
        <v>1</v>
      </c>
      <c r="P91">
        <v>3</v>
      </c>
      <c r="Q91">
        <v>12</v>
      </c>
      <c r="R91">
        <v>80.493057250976562</v>
      </c>
      <c r="S91" t="s">
        <v>24</v>
      </c>
      <c r="T91" t="s">
        <v>24</v>
      </c>
      <c r="U91" t="s">
        <v>24</v>
      </c>
      <c r="V91" t="s">
        <v>29</v>
      </c>
      <c r="W91" t="s">
        <v>29</v>
      </c>
      <c r="X91" t="s">
        <v>29</v>
      </c>
    </row>
    <row r="92" spans="1:24">
      <c r="A92" t="s">
        <v>158</v>
      </c>
      <c r="B92" t="s">
        <v>266</v>
      </c>
      <c r="C92" t="s">
        <v>232</v>
      </c>
      <c r="D92" t="s">
        <v>33</v>
      </c>
      <c r="E92" t="s">
        <v>27</v>
      </c>
      <c r="F92" t="s">
        <v>28</v>
      </c>
      <c r="G92">
        <v>19.998298645019531</v>
      </c>
      <c r="H92">
        <v>20.320709228515625</v>
      </c>
      <c r="I92">
        <v>0.45595741271972656</v>
      </c>
      <c r="J92">
        <v>190456.25</v>
      </c>
      <c r="K92">
        <v>158876.796875</v>
      </c>
      <c r="L92">
        <v>44660.09765625</v>
      </c>
      <c r="M92" t="b">
        <v>0</v>
      </c>
      <c r="N92">
        <v>1</v>
      </c>
      <c r="O92" t="b">
        <v>1</v>
      </c>
      <c r="P92">
        <v>3</v>
      </c>
      <c r="Q92">
        <v>11</v>
      </c>
      <c r="R92">
        <v>80.687278747558594</v>
      </c>
      <c r="S92" t="s">
        <v>24</v>
      </c>
      <c r="T92" t="s">
        <v>24</v>
      </c>
      <c r="U92" t="s">
        <v>24</v>
      </c>
      <c r="V92" t="s">
        <v>29</v>
      </c>
      <c r="W92" t="s">
        <v>29</v>
      </c>
      <c r="X92" t="s">
        <v>29</v>
      </c>
    </row>
    <row r="93" spans="1:24">
      <c r="A93" t="s">
        <v>159</v>
      </c>
      <c r="B93" t="s">
        <v>267</v>
      </c>
      <c r="C93" t="s">
        <v>232</v>
      </c>
      <c r="D93" t="s">
        <v>33</v>
      </c>
      <c r="E93" t="s">
        <v>27</v>
      </c>
      <c r="F93" t="s">
        <v>28</v>
      </c>
      <c r="G93">
        <v>20.962936401367188</v>
      </c>
      <c r="H93">
        <v>20.910167694091797</v>
      </c>
      <c r="I93">
        <v>7.4624873697757721E-2</v>
      </c>
      <c r="J93">
        <v>104240.2109375</v>
      </c>
      <c r="K93">
        <v>107792.890625</v>
      </c>
      <c r="L93">
        <v>5024.24755859375</v>
      </c>
      <c r="M93" t="b">
        <v>0</v>
      </c>
      <c r="N93">
        <v>1</v>
      </c>
      <c r="O93" t="b">
        <v>1</v>
      </c>
      <c r="P93">
        <v>3</v>
      </c>
      <c r="Q93">
        <v>11</v>
      </c>
      <c r="R93">
        <v>80.687278747558594</v>
      </c>
      <c r="S93" t="s">
        <v>24</v>
      </c>
      <c r="T93" t="s">
        <v>24</v>
      </c>
      <c r="U93" t="s">
        <v>24</v>
      </c>
      <c r="V93" t="s">
        <v>29</v>
      </c>
      <c r="W93" t="s">
        <v>29</v>
      </c>
      <c r="X93" t="s">
        <v>29</v>
      </c>
    </row>
    <row r="94" spans="1:24">
      <c r="A94" t="s">
        <v>161</v>
      </c>
      <c r="B94" t="s">
        <v>267</v>
      </c>
      <c r="C94" t="s">
        <v>232</v>
      </c>
      <c r="D94" t="s">
        <v>33</v>
      </c>
      <c r="E94" t="s">
        <v>27</v>
      </c>
      <c r="F94" t="s">
        <v>28</v>
      </c>
      <c r="G94">
        <v>20.857400894165039</v>
      </c>
      <c r="H94">
        <v>20.910167694091797</v>
      </c>
      <c r="I94">
        <v>7.4624873697757721E-2</v>
      </c>
      <c r="J94">
        <v>111345.5703125</v>
      </c>
      <c r="K94">
        <v>107792.890625</v>
      </c>
      <c r="L94">
        <v>5024.24755859375</v>
      </c>
      <c r="M94" t="b">
        <v>0</v>
      </c>
      <c r="N94">
        <v>1</v>
      </c>
      <c r="O94" t="b">
        <v>1</v>
      </c>
      <c r="P94">
        <v>3</v>
      </c>
      <c r="Q94">
        <v>13</v>
      </c>
      <c r="R94">
        <v>80.493057250976562</v>
      </c>
      <c r="S94" t="s">
        <v>24</v>
      </c>
      <c r="T94" t="s">
        <v>24</v>
      </c>
      <c r="U94" t="s">
        <v>24</v>
      </c>
      <c r="V94" t="s">
        <v>29</v>
      </c>
      <c r="W94" t="s">
        <v>29</v>
      </c>
      <c r="X94" t="s">
        <v>29</v>
      </c>
    </row>
    <row r="95" spans="1:24">
      <c r="A95" t="s">
        <v>162</v>
      </c>
      <c r="B95" t="s">
        <v>268</v>
      </c>
      <c r="C95" t="s">
        <v>232</v>
      </c>
      <c r="D95" t="s">
        <v>33</v>
      </c>
      <c r="E95" t="s">
        <v>27</v>
      </c>
      <c r="F95" t="s">
        <v>28</v>
      </c>
      <c r="G95">
        <v>21.917814254760742</v>
      </c>
      <c r="H95">
        <v>22.020072937011719</v>
      </c>
      <c r="I95">
        <v>0.14461696147918701</v>
      </c>
      <c r="J95">
        <v>57401.56640625</v>
      </c>
      <c r="K95">
        <v>53958.625</v>
      </c>
      <c r="L95">
        <v>4869.0517578125</v>
      </c>
      <c r="M95" t="b">
        <v>0</v>
      </c>
      <c r="N95">
        <v>1</v>
      </c>
      <c r="O95" t="b">
        <v>1</v>
      </c>
      <c r="P95">
        <v>3</v>
      </c>
      <c r="Q95">
        <v>14</v>
      </c>
      <c r="R95">
        <v>80.687278747558594</v>
      </c>
      <c r="S95" t="s">
        <v>24</v>
      </c>
      <c r="T95" t="s">
        <v>24</v>
      </c>
      <c r="U95" t="s">
        <v>24</v>
      </c>
      <c r="V95" t="s">
        <v>29</v>
      </c>
      <c r="W95" t="s">
        <v>29</v>
      </c>
      <c r="X95" t="s">
        <v>29</v>
      </c>
    </row>
    <row r="96" spans="1:24">
      <c r="A96" t="s">
        <v>164</v>
      </c>
      <c r="B96" t="s">
        <v>268</v>
      </c>
      <c r="C96" t="s">
        <v>232</v>
      </c>
      <c r="D96" t="s">
        <v>33</v>
      </c>
      <c r="E96" t="s">
        <v>27</v>
      </c>
      <c r="F96" t="s">
        <v>28</v>
      </c>
      <c r="G96">
        <v>22.122333526611328</v>
      </c>
      <c r="H96">
        <v>22.020072937011719</v>
      </c>
      <c r="I96">
        <v>0.14461696147918701</v>
      </c>
      <c r="J96">
        <v>50515.6875</v>
      </c>
      <c r="K96">
        <v>53958.625</v>
      </c>
      <c r="L96">
        <v>4869.0517578125</v>
      </c>
      <c r="M96" t="b">
        <v>0</v>
      </c>
      <c r="N96">
        <v>1</v>
      </c>
      <c r="O96" t="b">
        <v>1</v>
      </c>
      <c r="P96">
        <v>3</v>
      </c>
      <c r="Q96">
        <v>15</v>
      </c>
      <c r="R96">
        <v>80.687278747558594</v>
      </c>
      <c r="S96" t="s">
        <v>24</v>
      </c>
      <c r="T96" t="s">
        <v>24</v>
      </c>
      <c r="U96" t="s">
        <v>24</v>
      </c>
      <c r="V96" t="s">
        <v>29</v>
      </c>
      <c r="W96" t="s">
        <v>29</v>
      </c>
      <c r="X96" t="s">
        <v>29</v>
      </c>
    </row>
    <row r="97" spans="1:24">
      <c r="A97" t="s">
        <v>165</v>
      </c>
      <c r="B97" t="s">
        <v>24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29</v>
      </c>
      <c r="W97" t="s">
        <v>29</v>
      </c>
      <c r="X97" t="s">
        <v>29</v>
      </c>
    </row>
    <row r="98" spans="1:24">
      <c r="A98" t="s">
        <v>167</v>
      </c>
      <c r="B98" t="s">
        <v>24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29</v>
      </c>
      <c r="W98" t="s">
        <v>29</v>
      </c>
      <c r="X98" t="s">
        <v>29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72"/>
  <sheetViews>
    <sheetView topLeftCell="A73" workbookViewId="0">
      <selection activeCell="A8" sqref="A8:L110"/>
    </sheetView>
  </sheetViews>
  <sheetFormatPr baseColWidth="10" defaultColWidth="9.1640625" defaultRowHeight="15"/>
  <cols>
    <col min="1" max="1" width="9.1640625" customWidth="1"/>
  </cols>
  <sheetData>
    <row r="1" spans="1:23">
      <c r="A1" t="s">
        <v>784</v>
      </c>
      <c r="B1" t="s">
        <v>785</v>
      </c>
    </row>
    <row r="2" spans="1:23">
      <c r="A2" t="s">
        <v>786</v>
      </c>
      <c r="B2" t="s">
        <v>787</v>
      </c>
    </row>
    <row r="3" spans="1:23">
      <c r="A3" t="s">
        <v>788</v>
      </c>
      <c r="B3" t="s">
        <v>1521</v>
      </c>
    </row>
    <row r="4" spans="1:23">
      <c r="A4" t="s">
        <v>222</v>
      </c>
      <c r="B4" t="s">
        <v>1522</v>
      </c>
    </row>
    <row r="5" spans="1:23">
      <c r="A5" t="s">
        <v>791</v>
      </c>
      <c r="B5" t="s">
        <v>792</v>
      </c>
    </row>
    <row r="6" spans="1:23">
      <c r="A6" t="s">
        <v>793</v>
      </c>
      <c r="B6" t="s">
        <v>794</v>
      </c>
    </row>
    <row r="8" spans="1:2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169</v>
      </c>
      <c r="W8" t="s">
        <v>22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13.914902687072754</v>
      </c>
      <c r="H9">
        <v>13.948264122009277</v>
      </c>
      <c r="I9">
        <v>4.7180194407701492E-2</v>
      </c>
      <c r="J9">
        <v>50000000</v>
      </c>
      <c r="K9" t="s">
        <v>24</v>
      </c>
      <c r="L9" t="s">
        <v>24</v>
      </c>
      <c r="M9" t="b">
        <v>0</v>
      </c>
      <c r="N9">
        <v>0.3</v>
      </c>
      <c r="O9" t="b">
        <v>1</v>
      </c>
      <c r="P9">
        <v>3</v>
      </c>
      <c r="Q9">
        <v>9</v>
      </c>
      <c r="R9">
        <v>83.472862243652344</v>
      </c>
      <c r="S9" t="s">
        <v>24</v>
      </c>
      <c r="T9" t="s">
        <v>24</v>
      </c>
      <c r="U9" t="s">
        <v>24</v>
      </c>
      <c r="V9" t="s">
        <v>29</v>
      </c>
      <c r="W9" t="s">
        <v>29</v>
      </c>
    </row>
    <row r="10" spans="1:23">
      <c r="A10" t="s">
        <v>30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13.981625556945801</v>
      </c>
      <c r="H10">
        <v>13.948264122009277</v>
      </c>
      <c r="I10">
        <v>4.7180194407701492E-2</v>
      </c>
      <c r="J10">
        <v>50000000</v>
      </c>
      <c r="K10" t="s">
        <v>24</v>
      </c>
      <c r="L10" t="s">
        <v>24</v>
      </c>
      <c r="M10" t="b">
        <v>0</v>
      </c>
      <c r="N10">
        <v>0.3</v>
      </c>
      <c r="O10" t="b">
        <v>1</v>
      </c>
      <c r="P10">
        <v>3</v>
      </c>
      <c r="Q10">
        <v>8</v>
      </c>
      <c r="R10">
        <v>83.472862243652344</v>
      </c>
      <c r="S10" t="s">
        <v>24</v>
      </c>
      <c r="T10" t="s">
        <v>24</v>
      </c>
      <c r="U10" t="s">
        <v>24</v>
      </c>
      <c r="V10" t="s">
        <v>29</v>
      </c>
      <c r="W10" t="s">
        <v>29</v>
      </c>
    </row>
    <row r="11" spans="1:23">
      <c r="A11" t="s">
        <v>31</v>
      </c>
      <c r="B11" t="s">
        <v>32</v>
      </c>
      <c r="C11" t="s">
        <v>25</v>
      </c>
      <c r="D11" t="s">
        <v>33</v>
      </c>
      <c r="E11" t="s">
        <v>27</v>
      </c>
      <c r="F11" t="s">
        <v>28</v>
      </c>
      <c r="G11">
        <v>11.884621620178223</v>
      </c>
      <c r="H11">
        <v>11.946657180786133</v>
      </c>
      <c r="I11">
        <v>8.7732203304767609E-2</v>
      </c>
      <c r="J11">
        <v>236293536</v>
      </c>
      <c r="K11">
        <v>226996736</v>
      </c>
      <c r="L11">
        <v>13147672</v>
      </c>
      <c r="M11" t="b">
        <v>0</v>
      </c>
      <c r="N11">
        <v>0.3</v>
      </c>
      <c r="O11" t="b">
        <v>1</v>
      </c>
      <c r="P11">
        <v>3</v>
      </c>
      <c r="Q11">
        <v>6</v>
      </c>
      <c r="R11">
        <v>83.665824890136719</v>
      </c>
      <c r="S11">
        <v>91.577377319335938</v>
      </c>
      <c r="T11" t="s">
        <v>24</v>
      </c>
      <c r="U11" t="s">
        <v>24</v>
      </c>
      <c r="V11" t="s">
        <v>29</v>
      </c>
      <c r="W11" t="s">
        <v>114</v>
      </c>
    </row>
    <row r="12" spans="1:23">
      <c r="A12" t="s">
        <v>34</v>
      </c>
      <c r="B12" t="s">
        <v>32</v>
      </c>
      <c r="C12" t="s">
        <v>25</v>
      </c>
      <c r="D12" t="s">
        <v>33</v>
      </c>
      <c r="E12" t="s">
        <v>27</v>
      </c>
      <c r="F12" t="s">
        <v>28</v>
      </c>
      <c r="G12">
        <v>12.008693695068359</v>
      </c>
      <c r="H12">
        <v>11.946657180786133</v>
      </c>
      <c r="I12">
        <v>8.7732203304767609E-2</v>
      </c>
      <c r="J12">
        <v>217699920</v>
      </c>
      <c r="K12">
        <v>226996736</v>
      </c>
      <c r="L12">
        <v>13147672</v>
      </c>
      <c r="M12" t="b">
        <v>0</v>
      </c>
      <c r="N12">
        <v>0.3</v>
      </c>
      <c r="O12" t="b">
        <v>1</v>
      </c>
      <c r="P12">
        <v>3</v>
      </c>
      <c r="Q12">
        <v>6</v>
      </c>
      <c r="R12">
        <v>83.858795166015625</v>
      </c>
      <c r="S12">
        <v>91.577377319335938</v>
      </c>
      <c r="T12" t="s">
        <v>24</v>
      </c>
      <c r="U12" t="s">
        <v>24</v>
      </c>
      <c r="V12" t="s">
        <v>29</v>
      </c>
      <c r="W12" t="s">
        <v>114</v>
      </c>
    </row>
    <row r="13" spans="1:23">
      <c r="A13" t="s">
        <v>35</v>
      </c>
      <c r="B13" t="s">
        <v>36</v>
      </c>
      <c r="C13" t="s">
        <v>25</v>
      </c>
      <c r="D13" t="s">
        <v>33</v>
      </c>
      <c r="E13" t="s">
        <v>27</v>
      </c>
      <c r="F13" t="s">
        <v>28</v>
      </c>
      <c r="G13">
        <v>9.9958553314208984</v>
      </c>
      <c r="H13">
        <v>10.507097244262695</v>
      </c>
      <c r="I13">
        <v>0.72300457954406738</v>
      </c>
      <c r="J13">
        <v>822806464</v>
      </c>
      <c r="K13">
        <v>620785408</v>
      </c>
      <c r="L13">
        <v>285700960</v>
      </c>
      <c r="M13" t="b">
        <v>0</v>
      </c>
      <c r="N13">
        <v>0.3</v>
      </c>
      <c r="O13" t="b">
        <v>1</v>
      </c>
      <c r="P13">
        <v>3</v>
      </c>
      <c r="Q13">
        <v>4</v>
      </c>
      <c r="R13">
        <v>83.472862243652344</v>
      </c>
      <c r="S13" t="s">
        <v>24</v>
      </c>
      <c r="T13" t="s">
        <v>24</v>
      </c>
      <c r="U13" t="s">
        <v>24</v>
      </c>
      <c r="V13" t="s">
        <v>114</v>
      </c>
      <c r="W13" t="s">
        <v>29</v>
      </c>
    </row>
    <row r="14" spans="1:23">
      <c r="A14" t="s">
        <v>37</v>
      </c>
      <c r="B14" s="83" t="s">
        <v>104</v>
      </c>
      <c r="C14" t="s">
        <v>25</v>
      </c>
      <c r="D14" t="s">
        <v>33</v>
      </c>
      <c r="E14" t="s">
        <v>27</v>
      </c>
      <c r="F14" t="s">
        <v>28</v>
      </c>
      <c r="G14" s="83">
        <v>9.5631027221679688</v>
      </c>
      <c r="H14" s="83">
        <v>9.4649829864501953</v>
      </c>
      <c r="I14" s="83">
        <v>0.1387629359960556</v>
      </c>
      <c r="J14" s="83">
        <v>1095077760</v>
      </c>
      <c r="K14" s="83">
        <v>1170860288</v>
      </c>
      <c r="L14" s="83">
        <v>107172768</v>
      </c>
      <c r="M14" t="b">
        <v>0</v>
      </c>
      <c r="N14">
        <v>0.3</v>
      </c>
      <c r="O14" t="b">
        <v>1</v>
      </c>
      <c r="P14">
        <v>3</v>
      </c>
      <c r="Q14">
        <v>4</v>
      </c>
      <c r="R14">
        <v>83.086929321289062</v>
      </c>
      <c r="S14" t="s">
        <v>24</v>
      </c>
      <c r="T14" t="s">
        <v>24</v>
      </c>
      <c r="U14" t="s">
        <v>24</v>
      </c>
      <c r="V14" t="s">
        <v>29</v>
      </c>
      <c r="W14" t="s">
        <v>29</v>
      </c>
    </row>
    <row r="15" spans="1:23">
      <c r="A15" t="s">
        <v>38</v>
      </c>
      <c r="B15" t="s">
        <v>39</v>
      </c>
      <c r="C15" t="s">
        <v>25</v>
      </c>
      <c r="D15" t="s">
        <v>33</v>
      </c>
      <c r="E15" t="s">
        <v>27</v>
      </c>
      <c r="F15" t="s">
        <v>28</v>
      </c>
      <c r="G15">
        <v>13.390598297119141</v>
      </c>
      <c r="H15">
        <v>12.002220153808594</v>
      </c>
      <c r="I15">
        <v>1.9634631872177124</v>
      </c>
      <c r="J15">
        <v>87381592</v>
      </c>
      <c r="K15">
        <v>317205568</v>
      </c>
      <c r="L15">
        <v>325020192</v>
      </c>
      <c r="M15" t="b">
        <v>0</v>
      </c>
      <c r="N15">
        <v>0.3</v>
      </c>
      <c r="O15" t="b">
        <v>1</v>
      </c>
      <c r="P15">
        <v>3</v>
      </c>
      <c r="Q15">
        <v>8</v>
      </c>
      <c r="R15">
        <v>83.279891967773438</v>
      </c>
      <c r="S15" t="s">
        <v>24</v>
      </c>
      <c r="T15" t="s">
        <v>24</v>
      </c>
      <c r="U15" t="s">
        <v>24</v>
      </c>
      <c r="V15" t="s">
        <v>114</v>
      </c>
      <c r="W15" t="s">
        <v>29</v>
      </c>
    </row>
    <row r="16" spans="1:23">
      <c r="A16" t="s">
        <v>40</v>
      </c>
      <c r="B16" t="s">
        <v>39</v>
      </c>
      <c r="C16" t="s">
        <v>25</v>
      </c>
      <c r="D16" t="s">
        <v>33</v>
      </c>
      <c r="E16" t="s">
        <v>27</v>
      </c>
      <c r="F16" t="s">
        <v>28</v>
      </c>
      <c r="G16">
        <v>10.613842010498047</v>
      </c>
      <c r="H16">
        <v>12.002220153808594</v>
      </c>
      <c r="I16">
        <v>1.9634631872177124</v>
      </c>
      <c r="J16">
        <v>547029568</v>
      </c>
      <c r="K16">
        <v>317205568</v>
      </c>
      <c r="L16">
        <v>325020192</v>
      </c>
      <c r="M16" t="b">
        <v>0</v>
      </c>
      <c r="N16">
        <v>0.3</v>
      </c>
      <c r="O16" t="b">
        <v>1</v>
      </c>
      <c r="P16">
        <v>3</v>
      </c>
      <c r="Q16">
        <v>6</v>
      </c>
      <c r="R16">
        <v>82.315071105957031</v>
      </c>
      <c r="S16">
        <v>90.419593811035156</v>
      </c>
      <c r="T16" t="s">
        <v>24</v>
      </c>
      <c r="U16" t="s">
        <v>24</v>
      </c>
      <c r="V16" t="s">
        <v>114</v>
      </c>
      <c r="W16" t="s">
        <v>114</v>
      </c>
    </row>
    <row r="17" spans="1:23">
      <c r="A17" t="s">
        <v>47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17.893363952636719</v>
      </c>
      <c r="H17">
        <v>17.734645843505859</v>
      </c>
      <c r="I17">
        <v>0.22446265816688538</v>
      </c>
      <c r="J17">
        <v>5000000</v>
      </c>
      <c r="K17" t="s">
        <v>24</v>
      </c>
      <c r="L17" t="s">
        <v>24</v>
      </c>
      <c r="M17" t="b">
        <v>0</v>
      </c>
      <c r="N17">
        <v>0.3</v>
      </c>
      <c r="O17" t="b">
        <v>0</v>
      </c>
      <c r="P17">
        <v>3</v>
      </c>
      <c r="Q17">
        <v>13</v>
      </c>
      <c r="R17">
        <v>83.665824890136719</v>
      </c>
      <c r="S17">
        <v>91.577377319335938</v>
      </c>
      <c r="T17" t="s">
        <v>24</v>
      </c>
      <c r="U17" t="s">
        <v>24</v>
      </c>
      <c r="V17" t="s">
        <v>29</v>
      </c>
      <c r="W17" t="s">
        <v>114</v>
      </c>
    </row>
    <row r="18" spans="1:23">
      <c r="A18" t="s">
        <v>48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17.575925827026367</v>
      </c>
      <c r="H18">
        <v>17.734645843505859</v>
      </c>
      <c r="I18">
        <v>0.22446265816688538</v>
      </c>
      <c r="J18">
        <v>5000000</v>
      </c>
      <c r="K18" t="s">
        <v>24</v>
      </c>
      <c r="L18" t="s">
        <v>24</v>
      </c>
      <c r="M18" t="b">
        <v>0</v>
      </c>
      <c r="N18">
        <v>0.3</v>
      </c>
      <c r="O18" t="b">
        <v>0</v>
      </c>
      <c r="P18">
        <v>3</v>
      </c>
      <c r="Q18">
        <v>13</v>
      </c>
      <c r="R18">
        <v>83.665824890136719</v>
      </c>
      <c r="S18" t="s">
        <v>24</v>
      </c>
      <c r="T18" t="s">
        <v>24</v>
      </c>
      <c r="U18" t="s">
        <v>24</v>
      </c>
      <c r="V18" t="s">
        <v>29</v>
      </c>
      <c r="W18" t="s">
        <v>29</v>
      </c>
    </row>
    <row r="19" spans="1:23">
      <c r="A19" t="s">
        <v>49</v>
      </c>
      <c r="B19" t="s">
        <v>50</v>
      </c>
      <c r="C19" t="s">
        <v>25</v>
      </c>
      <c r="D19" t="s">
        <v>33</v>
      </c>
      <c r="E19" t="s">
        <v>27</v>
      </c>
      <c r="F19" t="s">
        <v>28</v>
      </c>
      <c r="G19">
        <v>11.96995735168457</v>
      </c>
      <c r="H19">
        <v>12.070159912109375</v>
      </c>
      <c r="I19">
        <v>0.14170782268047333</v>
      </c>
      <c r="J19">
        <v>223342240</v>
      </c>
      <c r="K19">
        <v>209495936</v>
      </c>
      <c r="L19">
        <v>19581642</v>
      </c>
      <c r="M19" t="b">
        <v>0</v>
      </c>
      <c r="N19">
        <v>0.3</v>
      </c>
      <c r="O19" t="b">
        <v>1</v>
      </c>
      <c r="P19">
        <v>3</v>
      </c>
      <c r="Q19">
        <v>7</v>
      </c>
      <c r="R19">
        <v>83.665824890136719</v>
      </c>
      <c r="S19">
        <v>91.384414672851562</v>
      </c>
      <c r="T19" t="s">
        <v>24</v>
      </c>
      <c r="U19" t="s">
        <v>24</v>
      </c>
      <c r="V19" t="s">
        <v>29</v>
      </c>
      <c r="W19" t="s">
        <v>114</v>
      </c>
    </row>
    <row r="20" spans="1:23">
      <c r="A20" t="s">
        <v>51</v>
      </c>
      <c r="B20" t="s">
        <v>50</v>
      </c>
      <c r="C20" t="s">
        <v>25</v>
      </c>
      <c r="D20" t="s">
        <v>33</v>
      </c>
      <c r="E20" t="s">
        <v>27</v>
      </c>
      <c r="F20" t="s">
        <v>28</v>
      </c>
      <c r="G20">
        <v>12.17036247253418</v>
      </c>
      <c r="H20">
        <v>12.070159912109375</v>
      </c>
      <c r="I20">
        <v>0.14170782268047333</v>
      </c>
      <c r="J20">
        <v>195649616</v>
      </c>
      <c r="K20">
        <v>209495936</v>
      </c>
      <c r="L20">
        <v>19581642</v>
      </c>
      <c r="M20" t="b">
        <v>0</v>
      </c>
      <c r="N20">
        <v>0.3</v>
      </c>
      <c r="O20" t="b">
        <v>1</v>
      </c>
      <c r="P20">
        <v>3</v>
      </c>
      <c r="Q20">
        <v>7</v>
      </c>
      <c r="R20">
        <v>83.858795166015625</v>
      </c>
      <c r="S20" t="s">
        <v>24</v>
      </c>
      <c r="T20" t="s">
        <v>24</v>
      </c>
      <c r="U20" t="s">
        <v>24</v>
      </c>
      <c r="V20" t="s">
        <v>29</v>
      </c>
      <c r="W20" t="s">
        <v>29</v>
      </c>
    </row>
    <row r="21" spans="1:23">
      <c r="A21" t="s">
        <v>52</v>
      </c>
      <c r="B21" t="s">
        <v>53</v>
      </c>
      <c r="C21" t="s">
        <v>25</v>
      </c>
      <c r="D21" t="s">
        <v>33</v>
      </c>
      <c r="E21" t="s">
        <v>27</v>
      </c>
      <c r="F21" t="s">
        <v>28</v>
      </c>
      <c r="G21">
        <v>11.682033538818359</v>
      </c>
      <c r="H21">
        <v>11.70928955078125</v>
      </c>
      <c r="I21">
        <v>3.8545820862054825E-2</v>
      </c>
      <c r="J21">
        <v>270128192</v>
      </c>
      <c r="K21">
        <v>265351264</v>
      </c>
      <c r="L21">
        <v>6755607.5</v>
      </c>
      <c r="M21" t="b">
        <v>0</v>
      </c>
      <c r="N21">
        <v>0.3</v>
      </c>
      <c r="O21" t="b">
        <v>1</v>
      </c>
      <c r="P21">
        <v>3</v>
      </c>
      <c r="Q21">
        <v>6</v>
      </c>
      <c r="R21">
        <v>83.665824890136719</v>
      </c>
      <c r="S21" t="s">
        <v>24</v>
      </c>
      <c r="T21" t="s">
        <v>24</v>
      </c>
      <c r="U21" t="s">
        <v>24</v>
      </c>
      <c r="V21" t="s">
        <v>29</v>
      </c>
      <c r="W21" t="s">
        <v>29</v>
      </c>
    </row>
    <row r="22" spans="1:23">
      <c r="A22" t="s">
        <v>54</v>
      </c>
      <c r="B22" s="83" t="s">
        <v>122</v>
      </c>
      <c r="C22" t="s">
        <v>25</v>
      </c>
      <c r="D22" t="s">
        <v>33</v>
      </c>
      <c r="E22" t="s">
        <v>27</v>
      </c>
      <c r="F22" t="s">
        <v>28</v>
      </c>
      <c r="G22" s="83">
        <v>10.512032508850098</v>
      </c>
      <c r="H22" s="83">
        <v>10.164936065673828</v>
      </c>
      <c r="I22" s="83">
        <v>0.49086916446685791</v>
      </c>
      <c r="J22" s="83">
        <v>585083328</v>
      </c>
      <c r="K22" s="83">
        <v>755281408</v>
      </c>
      <c r="L22" s="83">
        <v>240696432</v>
      </c>
      <c r="M22" t="b">
        <v>0</v>
      </c>
      <c r="N22">
        <v>0.3</v>
      </c>
      <c r="O22" t="b">
        <v>1</v>
      </c>
      <c r="P22">
        <v>3</v>
      </c>
      <c r="Q22">
        <v>5</v>
      </c>
      <c r="R22">
        <v>83.472862243652344</v>
      </c>
      <c r="S22" t="s">
        <v>24</v>
      </c>
      <c r="T22" t="s">
        <v>24</v>
      </c>
      <c r="U22" t="s">
        <v>24</v>
      </c>
      <c r="V22" t="s">
        <v>29</v>
      </c>
      <c r="W22" t="s">
        <v>29</v>
      </c>
    </row>
    <row r="23" spans="1:23">
      <c r="A23" t="s">
        <v>55</v>
      </c>
      <c r="B23" t="s">
        <v>56</v>
      </c>
      <c r="C23" t="s">
        <v>25</v>
      </c>
      <c r="D23" t="s">
        <v>33</v>
      </c>
      <c r="E23" t="s">
        <v>27</v>
      </c>
      <c r="F23" t="s">
        <v>28</v>
      </c>
      <c r="G23">
        <v>11.112865447998047</v>
      </c>
      <c r="H23">
        <v>11.349086761474609</v>
      </c>
      <c r="I23">
        <v>0.33406737446784973</v>
      </c>
      <c r="J23">
        <v>393415840</v>
      </c>
      <c r="K23">
        <v>340683328</v>
      </c>
      <c r="L23">
        <v>74575008</v>
      </c>
      <c r="M23" t="b">
        <v>0</v>
      </c>
      <c r="N23">
        <v>0.3</v>
      </c>
      <c r="O23" t="b">
        <v>1</v>
      </c>
      <c r="P23">
        <v>3</v>
      </c>
      <c r="Q23">
        <v>6</v>
      </c>
      <c r="R23">
        <v>83.086929321289062</v>
      </c>
      <c r="S23" t="s">
        <v>24</v>
      </c>
      <c r="T23" t="s">
        <v>24</v>
      </c>
      <c r="U23" t="s">
        <v>24</v>
      </c>
      <c r="V23" t="s">
        <v>29</v>
      </c>
      <c r="W23" t="s">
        <v>29</v>
      </c>
    </row>
    <row r="24" spans="1:23">
      <c r="A24" t="s">
        <v>57</v>
      </c>
      <c r="B24" t="s">
        <v>56</v>
      </c>
      <c r="C24" t="s">
        <v>25</v>
      </c>
      <c r="D24" t="s">
        <v>33</v>
      </c>
      <c r="E24" t="s">
        <v>27</v>
      </c>
      <c r="F24" t="s">
        <v>28</v>
      </c>
      <c r="G24">
        <v>11.585308074951172</v>
      </c>
      <c r="H24">
        <v>11.349086761474609</v>
      </c>
      <c r="I24">
        <v>0.33406737446784973</v>
      </c>
      <c r="J24">
        <v>287950848</v>
      </c>
      <c r="K24">
        <v>340683328</v>
      </c>
      <c r="L24">
        <v>74575008</v>
      </c>
      <c r="M24" t="b">
        <v>0</v>
      </c>
      <c r="N24">
        <v>0.3</v>
      </c>
      <c r="O24" t="b">
        <v>1</v>
      </c>
      <c r="P24">
        <v>3</v>
      </c>
      <c r="Q24">
        <v>7</v>
      </c>
      <c r="R24">
        <v>82.893966674804688</v>
      </c>
      <c r="S24">
        <v>90.226631164550781</v>
      </c>
      <c r="T24" t="s">
        <v>24</v>
      </c>
      <c r="U24" t="s">
        <v>24</v>
      </c>
      <c r="V24" t="s">
        <v>29</v>
      </c>
      <c r="W24" t="s">
        <v>114</v>
      </c>
    </row>
    <row r="25" spans="1:23">
      <c r="A25" t="s">
        <v>64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21.361133575439453</v>
      </c>
      <c r="H25">
        <v>21.3660888671875</v>
      </c>
      <c r="I25">
        <v>7.0091895759105682E-3</v>
      </c>
      <c r="J25">
        <v>500000</v>
      </c>
      <c r="K25" t="s">
        <v>24</v>
      </c>
      <c r="L25" t="s">
        <v>24</v>
      </c>
      <c r="M25" t="b">
        <v>0</v>
      </c>
      <c r="N25">
        <v>0.3</v>
      </c>
      <c r="O25" t="b">
        <v>1</v>
      </c>
      <c r="P25">
        <v>3</v>
      </c>
      <c r="Q25">
        <v>17</v>
      </c>
      <c r="R25">
        <v>83.665824890136719</v>
      </c>
      <c r="S25" t="s">
        <v>24</v>
      </c>
      <c r="T25" t="s">
        <v>24</v>
      </c>
      <c r="U25" t="s">
        <v>24</v>
      </c>
      <c r="V25" t="s">
        <v>29</v>
      </c>
      <c r="W25" t="s">
        <v>29</v>
      </c>
    </row>
    <row r="26" spans="1:23">
      <c r="A26" t="s">
        <v>65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>
        <v>21.37104606628418</v>
      </c>
      <c r="H26">
        <v>21.3660888671875</v>
      </c>
      <c r="I26">
        <v>7.0091895759105682E-3</v>
      </c>
      <c r="J26">
        <v>500000</v>
      </c>
      <c r="K26" t="s">
        <v>24</v>
      </c>
      <c r="L26" t="s">
        <v>24</v>
      </c>
      <c r="M26" t="b">
        <v>0</v>
      </c>
      <c r="N26">
        <v>0.3</v>
      </c>
      <c r="O26" t="b">
        <v>1</v>
      </c>
      <c r="P26">
        <v>3</v>
      </c>
      <c r="Q26">
        <v>16</v>
      </c>
      <c r="R26">
        <v>83.665824890136719</v>
      </c>
      <c r="S26" t="s">
        <v>24</v>
      </c>
      <c r="T26" t="s">
        <v>24</v>
      </c>
      <c r="U26" t="s">
        <v>24</v>
      </c>
      <c r="V26" t="s">
        <v>29</v>
      </c>
      <c r="W26" t="s">
        <v>29</v>
      </c>
    </row>
    <row r="27" spans="1:23">
      <c r="A27" t="s">
        <v>66</v>
      </c>
      <c r="B27" t="s">
        <v>67</v>
      </c>
      <c r="C27" t="s">
        <v>25</v>
      </c>
      <c r="D27" t="s">
        <v>33</v>
      </c>
      <c r="E27" t="s">
        <v>27</v>
      </c>
      <c r="F27" t="s">
        <v>28</v>
      </c>
      <c r="G27">
        <v>11.57668399810791</v>
      </c>
      <c r="H27">
        <v>11.677932739257812</v>
      </c>
      <c r="I27">
        <v>0.14318734407424927</v>
      </c>
      <c r="J27">
        <v>289595904</v>
      </c>
      <c r="K27">
        <v>271466944</v>
      </c>
      <c r="L27">
        <v>25638222</v>
      </c>
      <c r="M27" t="b">
        <v>0</v>
      </c>
      <c r="N27">
        <v>0.3</v>
      </c>
      <c r="O27" t="b">
        <v>1</v>
      </c>
      <c r="P27">
        <v>3</v>
      </c>
      <c r="Q27">
        <v>6</v>
      </c>
      <c r="R27">
        <v>83.665824890136719</v>
      </c>
      <c r="S27">
        <v>91.191452026367188</v>
      </c>
      <c r="T27" t="s">
        <v>24</v>
      </c>
      <c r="U27" t="s">
        <v>24</v>
      </c>
      <c r="V27" t="s">
        <v>29</v>
      </c>
      <c r="W27" t="s">
        <v>114</v>
      </c>
    </row>
    <row r="28" spans="1:23">
      <c r="A28" t="s">
        <v>68</v>
      </c>
      <c r="B28" t="s">
        <v>67</v>
      </c>
      <c r="C28" t="s">
        <v>25</v>
      </c>
      <c r="D28" t="s">
        <v>33</v>
      </c>
      <c r="E28" t="s">
        <v>27</v>
      </c>
      <c r="F28" t="s">
        <v>28</v>
      </c>
      <c r="G28">
        <v>11.779181480407715</v>
      </c>
      <c r="H28">
        <v>11.677932739257812</v>
      </c>
      <c r="I28">
        <v>0.14318734407424927</v>
      </c>
      <c r="J28">
        <v>253337984</v>
      </c>
      <c r="K28">
        <v>271466944</v>
      </c>
      <c r="L28">
        <v>25638222</v>
      </c>
      <c r="M28" t="b">
        <v>0</v>
      </c>
      <c r="N28">
        <v>0.3</v>
      </c>
      <c r="O28" t="b">
        <v>1</v>
      </c>
      <c r="P28">
        <v>3</v>
      </c>
      <c r="Q28">
        <v>6</v>
      </c>
      <c r="R28">
        <v>83.858795166015625</v>
      </c>
      <c r="S28">
        <v>91.577377319335938</v>
      </c>
      <c r="T28" t="s">
        <v>24</v>
      </c>
      <c r="U28" t="s">
        <v>24</v>
      </c>
      <c r="V28" t="s">
        <v>29</v>
      </c>
      <c r="W28" t="s">
        <v>114</v>
      </c>
    </row>
    <row r="29" spans="1:23">
      <c r="A29" t="s">
        <v>69</v>
      </c>
      <c r="B29" t="s">
        <v>70</v>
      </c>
      <c r="C29" t="s">
        <v>25</v>
      </c>
      <c r="D29" t="s">
        <v>33</v>
      </c>
      <c r="E29" t="s">
        <v>27</v>
      </c>
      <c r="F29" t="s">
        <v>28</v>
      </c>
      <c r="G29">
        <v>25.046066284179688</v>
      </c>
      <c r="H29">
        <v>25.116138458251953</v>
      </c>
      <c r="I29">
        <v>9.9098369479179382E-2</v>
      </c>
      <c r="J29">
        <v>39602.296875</v>
      </c>
      <c r="K29">
        <v>37851.4921875</v>
      </c>
      <c r="L29">
        <v>2476.01171875</v>
      </c>
      <c r="M29" t="b">
        <v>0</v>
      </c>
      <c r="N29">
        <v>0.3</v>
      </c>
      <c r="O29" t="b">
        <v>1</v>
      </c>
      <c r="P29">
        <v>3</v>
      </c>
      <c r="Q29">
        <v>20</v>
      </c>
      <c r="R29">
        <v>83.858795166015625</v>
      </c>
      <c r="S29" t="s">
        <v>24</v>
      </c>
      <c r="T29" t="s">
        <v>24</v>
      </c>
      <c r="U29" t="s">
        <v>24</v>
      </c>
      <c r="V29" t="s">
        <v>29</v>
      </c>
      <c r="W29" t="s">
        <v>29</v>
      </c>
    </row>
    <row r="30" spans="1:23">
      <c r="A30" t="s">
        <v>71</v>
      </c>
      <c r="B30" s="83" t="s">
        <v>139</v>
      </c>
      <c r="C30" t="s">
        <v>25</v>
      </c>
      <c r="D30" t="s">
        <v>33</v>
      </c>
      <c r="E30" t="s">
        <v>27</v>
      </c>
      <c r="F30" t="s">
        <v>28</v>
      </c>
      <c r="G30" s="83">
        <v>11.082967758178711</v>
      </c>
      <c r="H30" s="83">
        <v>10.918370246887207</v>
      </c>
      <c r="I30" s="83">
        <v>0.23277603089809418</v>
      </c>
      <c r="J30" s="83">
        <v>401262752</v>
      </c>
      <c r="K30" s="83">
        <v>449997632</v>
      </c>
      <c r="L30" s="83">
        <v>68921552</v>
      </c>
      <c r="M30" t="b">
        <v>0</v>
      </c>
      <c r="N30">
        <v>0.3</v>
      </c>
      <c r="O30" t="b">
        <v>1</v>
      </c>
      <c r="P30">
        <v>3</v>
      </c>
      <c r="Q30">
        <v>5</v>
      </c>
      <c r="R30">
        <v>83.472862243652344</v>
      </c>
      <c r="S30" t="s">
        <v>24</v>
      </c>
      <c r="T30" t="s">
        <v>24</v>
      </c>
      <c r="U30" t="s">
        <v>24</v>
      </c>
      <c r="V30" t="s">
        <v>29</v>
      </c>
      <c r="W30" t="s">
        <v>29</v>
      </c>
    </row>
    <row r="31" spans="1:23">
      <c r="A31" t="s">
        <v>72</v>
      </c>
      <c r="B31" t="s">
        <v>73</v>
      </c>
      <c r="C31" t="s">
        <v>25</v>
      </c>
      <c r="D31" t="s">
        <v>33</v>
      </c>
      <c r="E31" t="s">
        <v>27</v>
      </c>
      <c r="F31" t="s">
        <v>28</v>
      </c>
      <c r="G31">
        <v>10.983950614929199</v>
      </c>
      <c r="H31">
        <v>11.112018585205078</v>
      </c>
      <c r="I31">
        <v>0.18111613392829895</v>
      </c>
      <c r="J31">
        <v>428385440</v>
      </c>
      <c r="K31">
        <v>395045248</v>
      </c>
      <c r="L31">
        <v>47150128</v>
      </c>
      <c r="M31" t="b">
        <v>0</v>
      </c>
      <c r="N31">
        <v>0.3</v>
      </c>
      <c r="O31" t="b">
        <v>1</v>
      </c>
      <c r="P31">
        <v>3</v>
      </c>
      <c r="Q31">
        <v>6</v>
      </c>
      <c r="R31">
        <v>83.858795166015625</v>
      </c>
      <c r="S31" t="s">
        <v>24</v>
      </c>
      <c r="T31" t="s">
        <v>24</v>
      </c>
      <c r="U31" t="s">
        <v>24</v>
      </c>
      <c r="V31" t="s">
        <v>29</v>
      </c>
      <c r="W31" t="s">
        <v>29</v>
      </c>
    </row>
    <row r="32" spans="1:23">
      <c r="A32" t="s">
        <v>74</v>
      </c>
      <c r="B32" t="s">
        <v>73</v>
      </c>
      <c r="C32" t="s">
        <v>25</v>
      </c>
      <c r="D32" t="s">
        <v>33</v>
      </c>
      <c r="E32" t="s">
        <v>27</v>
      </c>
      <c r="F32" t="s">
        <v>28</v>
      </c>
      <c r="G32">
        <v>11.240087509155273</v>
      </c>
      <c r="H32">
        <v>11.112018585205078</v>
      </c>
      <c r="I32">
        <v>0.18111613392829895</v>
      </c>
      <c r="J32">
        <v>361705088</v>
      </c>
      <c r="K32">
        <v>395045248</v>
      </c>
      <c r="L32">
        <v>47150128</v>
      </c>
      <c r="M32" t="b">
        <v>0</v>
      </c>
      <c r="N32">
        <v>0.3</v>
      </c>
      <c r="O32" t="b">
        <v>1</v>
      </c>
      <c r="P32">
        <v>3</v>
      </c>
      <c r="Q32">
        <v>6</v>
      </c>
      <c r="R32">
        <v>83.279891967773438</v>
      </c>
      <c r="S32">
        <v>89.8406982421875</v>
      </c>
      <c r="T32" t="s">
        <v>24</v>
      </c>
      <c r="U32" t="s">
        <v>24</v>
      </c>
      <c r="V32" t="s">
        <v>29</v>
      </c>
      <c r="W32" t="s">
        <v>114</v>
      </c>
    </row>
    <row r="33" spans="1:23">
      <c r="A33" t="s">
        <v>81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>
        <v>25.173568725585938</v>
      </c>
      <c r="H33">
        <v>25.101921081542969</v>
      </c>
      <c r="I33">
        <v>0.10132642090320587</v>
      </c>
      <c r="J33">
        <v>50000</v>
      </c>
      <c r="K33" t="s">
        <v>24</v>
      </c>
      <c r="L33" t="s">
        <v>24</v>
      </c>
      <c r="M33" t="b">
        <v>0</v>
      </c>
      <c r="N33">
        <v>0.3</v>
      </c>
      <c r="O33" t="b">
        <v>1</v>
      </c>
      <c r="P33">
        <v>3</v>
      </c>
      <c r="Q33">
        <v>20</v>
      </c>
      <c r="R33">
        <v>83.665824890136719</v>
      </c>
      <c r="S33" t="s">
        <v>24</v>
      </c>
      <c r="T33" t="s">
        <v>24</v>
      </c>
      <c r="U33" t="s">
        <v>24</v>
      </c>
      <c r="V33" t="s">
        <v>29</v>
      </c>
      <c r="W33" t="s">
        <v>29</v>
      </c>
    </row>
    <row r="34" spans="1:23">
      <c r="A34" t="s">
        <v>82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>
        <v>25.030271530151367</v>
      </c>
      <c r="H34">
        <v>25.101921081542969</v>
      </c>
      <c r="I34">
        <v>0.10132642090320587</v>
      </c>
      <c r="J34">
        <v>50000</v>
      </c>
      <c r="K34" t="s">
        <v>24</v>
      </c>
      <c r="L34" t="s">
        <v>24</v>
      </c>
      <c r="M34" t="b">
        <v>0</v>
      </c>
      <c r="N34">
        <v>0.3</v>
      </c>
      <c r="O34" t="b">
        <v>1</v>
      </c>
      <c r="P34">
        <v>3</v>
      </c>
      <c r="Q34">
        <v>19</v>
      </c>
      <c r="R34">
        <v>83.665824890136719</v>
      </c>
      <c r="S34" t="s">
        <v>24</v>
      </c>
      <c r="T34" t="s">
        <v>24</v>
      </c>
      <c r="U34" t="s">
        <v>24</v>
      </c>
      <c r="V34" t="s">
        <v>29</v>
      </c>
      <c r="W34" t="s">
        <v>29</v>
      </c>
    </row>
    <row r="35" spans="1:23">
      <c r="A35" t="s">
        <v>83</v>
      </c>
      <c r="B35" t="s">
        <v>84</v>
      </c>
      <c r="C35" t="s">
        <v>25</v>
      </c>
      <c r="D35" t="s">
        <v>33</v>
      </c>
      <c r="E35" t="s">
        <v>27</v>
      </c>
      <c r="F35" t="s">
        <v>28</v>
      </c>
      <c r="G35">
        <v>12.121652603149414</v>
      </c>
      <c r="H35">
        <v>12.139842987060547</v>
      </c>
      <c r="I35">
        <v>2.5724412873387337E-2</v>
      </c>
      <c r="J35">
        <v>202047184</v>
      </c>
      <c r="K35">
        <v>199648416</v>
      </c>
      <c r="L35">
        <v>3392370.25</v>
      </c>
      <c r="M35" t="b">
        <v>0</v>
      </c>
      <c r="N35">
        <v>0.3</v>
      </c>
      <c r="O35" t="b">
        <v>1</v>
      </c>
      <c r="P35">
        <v>3</v>
      </c>
      <c r="Q35">
        <v>6</v>
      </c>
      <c r="R35">
        <v>83.858795166015625</v>
      </c>
      <c r="S35">
        <v>91.384414672851562</v>
      </c>
      <c r="T35" t="s">
        <v>24</v>
      </c>
      <c r="U35" t="s">
        <v>24</v>
      </c>
      <c r="V35" t="s">
        <v>29</v>
      </c>
      <c r="W35" t="s">
        <v>114</v>
      </c>
    </row>
    <row r="36" spans="1:23">
      <c r="A36" t="s">
        <v>85</v>
      </c>
      <c r="B36" t="s">
        <v>84</v>
      </c>
      <c r="C36" t="s">
        <v>25</v>
      </c>
      <c r="D36" t="s">
        <v>33</v>
      </c>
      <c r="E36" t="s">
        <v>27</v>
      </c>
      <c r="F36" t="s">
        <v>28</v>
      </c>
      <c r="G36">
        <v>12.158032417297363</v>
      </c>
      <c r="H36">
        <v>12.139842987060547</v>
      </c>
      <c r="I36">
        <v>2.5724412873387337E-2</v>
      </c>
      <c r="J36">
        <v>197249648</v>
      </c>
      <c r="K36">
        <v>199648416</v>
      </c>
      <c r="L36">
        <v>3392370.25</v>
      </c>
      <c r="M36" t="b">
        <v>0</v>
      </c>
      <c r="N36">
        <v>0.3</v>
      </c>
      <c r="O36" t="b">
        <v>1</v>
      </c>
      <c r="P36">
        <v>3</v>
      </c>
      <c r="Q36">
        <v>6</v>
      </c>
      <c r="R36">
        <v>84.0517578125</v>
      </c>
      <c r="S36">
        <v>91.577377319335938</v>
      </c>
      <c r="T36" t="s">
        <v>24</v>
      </c>
      <c r="U36" t="s">
        <v>24</v>
      </c>
      <c r="V36" t="s">
        <v>29</v>
      </c>
      <c r="W36" t="s">
        <v>114</v>
      </c>
    </row>
    <row r="37" spans="1:23">
      <c r="A37" t="s">
        <v>86</v>
      </c>
      <c r="B37" t="s">
        <v>87</v>
      </c>
      <c r="C37" t="s">
        <v>25</v>
      </c>
      <c r="D37" t="s">
        <v>33</v>
      </c>
      <c r="E37" t="s">
        <v>27</v>
      </c>
      <c r="F37" t="s">
        <v>28</v>
      </c>
      <c r="G37">
        <v>13.106414794921875</v>
      </c>
      <c r="H37">
        <v>13.300596237182617</v>
      </c>
      <c r="I37">
        <v>0.27461403608322144</v>
      </c>
      <c r="J37">
        <v>105425584</v>
      </c>
      <c r="K37">
        <v>93498048</v>
      </c>
      <c r="L37">
        <v>16868084</v>
      </c>
      <c r="M37" t="b">
        <v>0</v>
      </c>
      <c r="N37">
        <v>0.3</v>
      </c>
      <c r="O37" t="b">
        <v>1</v>
      </c>
      <c r="P37">
        <v>3</v>
      </c>
      <c r="Q37">
        <v>7</v>
      </c>
      <c r="R37">
        <v>83.858795166015625</v>
      </c>
      <c r="S37" t="s">
        <v>24</v>
      </c>
      <c r="T37" t="s">
        <v>24</v>
      </c>
      <c r="U37" t="s">
        <v>24</v>
      </c>
      <c r="V37" t="s">
        <v>29</v>
      </c>
      <c r="W37" t="s">
        <v>29</v>
      </c>
    </row>
    <row r="38" spans="1:23">
      <c r="A38" t="s">
        <v>88</v>
      </c>
      <c r="B38" s="83" t="s">
        <v>157</v>
      </c>
      <c r="C38" t="s">
        <v>25</v>
      </c>
      <c r="D38" t="s">
        <v>33</v>
      </c>
      <c r="E38" t="s">
        <v>27</v>
      </c>
      <c r="F38" t="s">
        <v>28</v>
      </c>
      <c r="G38" s="83">
        <v>10.303160667419434</v>
      </c>
      <c r="H38" s="83">
        <v>10.224566459655762</v>
      </c>
      <c r="I38" s="83">
        <v>0.11114899814128876</v>
      </c>
      <c r="J38" s="83">
        <v>671643008</v>
      </c>
      <c r="K38" s="83">
        <v>708386816</v>
      </c>
      <c r="L38" s="83">
        <v>51963592</v>
      </c>
      <c r="M38" t="b">
        <v>0</v>
      </c>
      <c r="N38">
        <v>0.3</v>
      </c>
      <c r="O38" t="b">
        <v>1</v>
      </c>
      <c r="P38">
        <v>3</v>
      </c>
      <c r="Q38">
        <v>5</v>
      </c>
      <c r="R38">
        <v>83.665824890136719</v>
      </c>
      <c r="S38" t="s">
        <v>24</v>
      </c>
      <c r="T38" t="s">
        <v>24</v>
      </c>
      <c r="U38" t="s">
        <v>24</v>
      </c>
      <c r="V38" t="s">
        <v>29</v>
      </c>
      <c r="W38" t="s">
        <v>29</v>
      </c>
    </row>
    <row r="39" spans="1:23">
      <c r="A39" t="s">
        <v>89</v>
      </c>
      <c r="B39" t="s">
        <v>90</v>
      </c>
      <c r="C39" t="s">
        <v>25</v>
      </c>
      <c r="D39" t="s">
        <v>33</v>
      </c>
      <c r="E39" t="s">
        <v>27</v>
      </c>
      <c r="F39" t="s">
        <v>28</v>
      </c>
      <c r="G39">
        <v>10.687224388122559</v>
      </c>
      <c r="H39">
        <v>11.019851684570312</v>
      </c>
      <c r="I39">
        <v>0.47040602564811707</v>
      </c>
      <c r="J39">
        <v>521145472</v>
      </c>
      <c r="K39">
        <v>428484800</v>
      </c>
      <c r="L39">
        <v>131041960</v>
      </c>
      <c r="M39" t="b">
        <v>0</v>
      </c>
      <c r="N39">
        <v>0.3</v>
      </c>
      <c r="O39" t="b">
        <v>1</v>
      </c>
      <c r="P39">
        <v>3</v>
      </c>
      <c r="Q39">
        <v>5</v>
      </c>
      <c r="R39">
        <v>84.0517578125</v>
      </c>
      <c r="S39" t="s">
        <v>24</v>
      </c>
      <c r="T39" t="s">
        <v>24</v>
      </c>
      <c r="U39" t="s">
        <v>24</v>
      </c>
      <c r="V39" t="s">
        <v>29</v>
      </c>
      <c r="W39" t="s">
        <v>29</v>
      </c>
    </row>
    <row r="40" spans="1:23">
      <c r="A40" t="s">
        <v>91</v>
      </c>
      <c r="B40" t="s">
        <v>90</v>
      </c>
      <c r="C40" t="s">
        <v>25</v>
      </c>
      <c r="D40" t="s">
        <v>33</v>
      </c>
      <c r="E40" t="s">
        <v>27</v>
      </c>
      <c r="F40" t="s">
        <v>28</v>
      </c>
      <c r="G40">
        <v>11.352478981018066</v>
      </c>
      <c r="H40">
        <v>11.019851684570312</v>
      </c>
      <c r="I40">
        <v>0.47040602564811707</v>
      </c>
      <c r="J40">
        <v>335824160</v>
      </c>
      <c r="K40">
        <v>428484800</v>
      </c>
      <c r="L40">
        <v>131041960</v>
      </c>
      <c r="M40" t="b">
        <v>0</v>
      </c>
      <c r="N40">
        <v>0.3</v>
      </c>
      <c r="O40" t="b">
        <v>1</v>
      </c>
      <c r="P40">
        <v>3</v>
      </c>
      <c r="Q40">
        <v>8</v>
      </c>
      <c r="R40">
        <v>83.665824890136719</v>
      </c>
      <c r="S40" t="s">
        <v>24</v>
      </c>
      <c r="T40" t="s">
        <v>24</v>
      </c>
      <c r="U40" t="s">
        <v>24</v>
      </c>
      <c r="V40" t="s">
        <v>29</v>
      </c>
      <c r="W40" t="s">
        <v>29</v>
      </c>
    </row>
    <row r="41" spans="1:23">
      <c r="A41" t="s">
        <v>98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>
        <v>28.54534912109375</v>
      </c>
      <c r="H41">
        <v>28.270404815673828</v>
      </c>
      <c r="I41">
        <v>0.38882860541343689</v>
      </c>
      <c r="J41">
        <v>5000</v>
      </c>
      <c r="K41" t="s">
        <v>24</v>
      </c>
      <c r="L41" t="s">
        <v>24</v>
      </c>
      <c r="M41" t="b">
        <v>0</v>
      </c>
      <c r="N41">
        <v>0.3</v>
      </c>
      <c r="O41" t="b">
        <v>1</v>
      </c>
      <c r="P41">
        <v>3</v>
      </c>
      <c r="Q41">
        <v>23</v>
      </c>
      <c r="R41">
        <v>83.665824890136719</v>
      </c>
      <c r="S41" t="s">
        <v>24</v>
      </c>
      <c r="T41" t="s">
        <v>24</v>
      </c>
      <c r="U41" t="s">
        <v>24</v>
      </c>
      <c r="V41" t="s">
        <v>29</v>
      </c>
      <c r="W41" t="s">
        <v>29</v>
      </c>
    </row>
    <row r="42" spans="1:23">
      <c r="A42" t="s">
        <v>99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>
        <v>27.995462417602539</v>
      </c>
      <c r="H42">
        <v>28.270404815673828</v>
      </c>
      <c r="I42">
        <v>0.38882860541343689</v>
      </c>
      <c r="J42">
        <v>5000</v>
      </c>
      <c r="K42" t="s">
        <v>24</v>
      </c>
      <c r="L42" t="s">
        <v>24</v>
      </c>
      <c r="M42" t="b">
        <v>0</v>
      </c>
      <c r="N42">
        <v>0.3</v>
      </c>
      <c r="O42" t="b">
        <v>1</v>
      </c>
      <c r="P42">
        <v>3</v>
      </c>
      <c r="Q42">
        <v>23</v>
      </c>
      <c r="R42">
        <v>83.665824890136719</v>
      </c>
      <c r="S42" t="s">
        <v>24</v>
      </c>
      <c r="T42" t="s">
        <v>24</v>
      </c>
      <c r="U42" t="s">
        <v>24</v>
      </c>
      <c r="V42" t="s">
        <v>29</v>
      </c>
      <c r="W42" t="s">
        <v>29</v>
      </c>
    </row>
    <row r="43" spans="1:23">
      <c r="A43" t="s">
        <v>100</v>
      </c>
      <c r="B43" t="s">
        <v>101</v>
      </c>
      <c r="C43" t="s">
        <v>25</v>
      </c>
      <c r="D43" t="s">
        <v>33</v>
      </c>
      <c r="E43" t="s">
        <v>27</v>
      </c>
      <c r="F43" t="s">
        <v>28</v>
      </c>
      <c r="G43">
        <v>13.442299842834473</v>
      </c>
      <c r="H43">
        <v>13.744991302490234</v>
      </c>
      <c r="I43">
        <v>0.42806968092918396</v>
      </c>
      <c r="J43">
        <v>84447720</v>
      </c>
      <c r="K43">
        <v>70530416</v>
      </c>
      <c r="L43">
        <v>19682040</v>
      </c>
      <c r="M43" t="b">
        <v>0</v>
      </c>
      <c r="N43">
        <v>0.3</v>
      </c>
      <c r="O43" t="b">
        <v>1</v>
      </c>
      <c r="P43">
        <v>3</v>
      </c>
      <c r="Q43">
        <v>8</v>
      </c>
      <c r="R43">
        <v>83.858795166015625</v>
      </c>
      <c r="S43">
        <v>91.384414672851562</v>
      </c>
      <c r="T43" t="s">
        <v>24</v>
      </c>
      <c r="U43" t="s">
        <v>24</v>
      </c>
      <c r="V43" t="s">
        <v>29</v>
      </c>
      <c r="W43" t="s">
        <v>114</v>
      </c>
    </row>
    <row r="44" spans="1:23">
      <c r="A44" t="s">
        <v>102</v>
      </c>
      <c r="B44" t="s">
        <v>101</v>
      </c>
      <c r="C44" t="s">
        <v>25</v>
      </c>
      <c r="D44" t="s">
        <v>33</v>
      </c>
      <c r="E44" t="s">
        <v>27</v>
      </c>
      <c r="F44" t="s">
        <v>28</v>
      </c>
      <c r="G44">
        <v>14.04768180847168</v>
      </c>
      <c r="H44">
        <v>13.744991302490234</v>
      </c>
      <c r="I44">
        <v>0.42806968092918396</v>
      </c>
      <c r="J44">
        <v>56613112</v>
      </c>
      <c r="K44">
        <v>70530416</v>
      </c>
      <c r="L44">
        <v>19682040</v>
      </c>
      <c r="M44" t="b">
        <v>0</v>
      </c>
      <c r="N44">
        <v>0.3</v>
      </c>
      <c r="O44" t="b">
        <v>1</v>
      </c>
      <c r="P44">
        <v>3</v>
      </c>
      <c r="Q44">
        <v>8</v>
      </c>
      <c r="R44">
        <v>84.244720458984375</v>
      </c>
      <c r="S44">
        <v>91.577377319335938</v>
      </c>
      <c r="T44" t="s">
        <v>24</v>
      </c>
      <c r="U44" t="s">
        <v>24</v>
      </c>
      <c r="V44" t="s">
        <v>29</v>
      </c>
      <c r="W44" t="s">
        <v>114</v>
      </c>
    </row>
    <row r="45" spans="1:23">
      <c r="A45" t="s">
        <v>103</v>
      </c>
      <c r="B45" t="s">
        <v>104</v>
      </c>
      <c r="C45" t="s">
        <v>25</v>
      </c>
      <c r="D45" t="s">
        <v>33</v>
      </c>
      <c r="E45" t="s">
        <v>27</v>
      </c>
      <c r="F45" t="s">
        <v>28</v>
      </c>
      <c r="G45">
        <v>9.3668622970581055</v>
      </c>
      <c r="H45">
        <v>9.4649829864501953</v>
      </c>
      <c r="I45">
        <v>0.1387629359960556</v>
      </c>
      <c r="J45">
        <v>1246642944</v>
      </c>
      <c r="K45">
        <v>1170860288</v>
      </c>
      <c r="L45">
        <v>107172768</v>
      </c>
      <c r="M45" t="b">
        <v>0</v>
      </c>
      <c r="N45">
        <v>0.3</v>
      </c>
      <c r="O45" t="b">
        <v>1</v>
      </c>
      <c r="P45">
        <v>3</v>
      </c>
      <c r="Q45">
        <v>4</v>
      </c>
      <c r="R45">
        <v>83.665824890136719</v>
      </c>
      <c r="S45" t="s">
        <v>24</v>
      </c>
      <c r="T45" t="s">
        <v>24</v>
      </c>
      <c r="U45" t="s">
        <v>24</v>
      </c>
      <c r="V45" t="s">
        <v>29</v>
      </c>
      <c r="W45" t="s">
        <v>29</v>
      </c>
    </row>
    <row r="46" spans="1:23">
      <c r="A46" t="s">
        <v>105</v>
      </c>
      <c r="B46" s="84" t="s">
        <v>36</v>
      </c>
      <c r="C46" t="s">
        <v>25</v>
      </c>
      <c r="D46" t="s">
        <v>33</v>
      </c>
      <c r="E46" t="s">
        <v>27</v>
      </c>
      <c r="F46" t="s">
        <v>28</v>
      </c>
      <c r="G46" s="84">
        <v>11.018338203430176</v>
      </c>
      <c r="H46" s="84">
        <v>10.507097244262695</v>
      </c>
      <c r="I46" s="84">
        <v>0.72300457954406738</v>
      </c>
      <c r="J46" s="84">
        <v>418764288</v>
      </c>
      <c r="K46" s="84">
        <v>620785408</v>
      </c>
      <c r="L46" s="84">
        <v>285700960</v>
      </c>
      <c r="M46" t="b">
        <v>0</v>
      </c>
      <c r="N46">
        <v>0.3</v>
      </c>
      <c r="O46" t="b">
        <v>1</v>
      </c>
      <c r="P46">
        <v>3</v>
      </c>
      <c r="Q46">
        <v>6</v>
      </c>
      <c r="R46">
        <v>84.244720458984375</v>
      </c>
      <c r="S46" t="s">
        <v>24</v>
      </c>
      <c r="T46" t="s">
        <v>24</v>
      </c>
      <c r="U46" t="s">
        <v>24</v>
      </c>
      <c r="V46" t="s">
        <v>114</v>
      </c>
      <c r="W46" t="s">
        <v>29</v>
      </c>
    </row>
    <row r="47" spans="1:23">
      <c r="A47" t="s">
        <v>106</v>
      </c>
      <c r="B47" t="s">
        <v>107</v>
      </c>
      <c r="C47" t="s">
        <v>25</v>
      </c>
      <c r="D47" t="s">
        <v>33</v>
      </c>
      <c r="E47" t="s">
        <v>27</v>
      </c>
      <c r="F47" t="s">
        <v>28</v>
      </c>
      <c r="G47">
        <v>13.722440719604492</v>
      </c>
      <c r="H47">
        <v>13.853227615356445</v>
      </c>
      <c r="I47">
        <v>0.18496127426624298</v>
      </c>
      <c r="J47">
        <v>70181336</v>
      </c>
      <c r="K47">
        <v>64613056</v>
      </c>
      <c r="L47">
        <v>7874734.5</v>
      </c>
      <c r="M47" t="b">
        <v>0</v>
      </c>
      <c r="N47">
        <v>0.3</v>
      </c>
      <c r="O47" t="b">
        <v>1</v>
      </c>
      <c r="P47">
        <v>3</v>
      </c>
      <c r="Q47">
        <v>8</v>
      </c>
      <c r="R47">
        <v>84.0517578125</v>
      </c>
      <c r="S47" t="s">
        <v>24</v>
      </c>
      <c r="T47" t="s">
        <v>24</v>
      </c>
      <c r="U47" t="s">
        <v>24</v>
      </c>
      <c r="V47" t="s">
        <v>29</v>
      </c>
      <c r="W47" t="s">
        <v>29</v>
      </c>
    </row>
    <row r="48" spans="1:23">
      <c r="A48" t="s">
        <v>108</v>
      </c>
      <c r="B48" t="s">
        <v>107</v>
      </c>
      <c r="C48" t="s">
        <v>25</v>
      </c>
      <c r="D48" t="s">
        <v>33</v>
      </c>
      <c r="E48" t="s">
        <v>27</v>
      </c>
      <c r="F48" t="s">
        <v>28</v>
      </c>
      <c r="G48">
        <v>13.984015464782715</v>
      </c>
      <c r="H48">
        <v>13.853227615356445</v>
      </c>
      <c r="I48">
        <v>0.18496127426624298</v>
      </c>
      <c r="J48">
        <v>59044780</v>
      </c>
      <c r="K48">
        <v>64613056</v>
      </c>
      <c r="L48">
        <v>7874734.5</v>
      </c>
      <c r="M48" t="b">
        <v>0</v>
      </c>
      <c r="N48">
        <v>0.3</v>
      </c>
      <c r="O48" t="b">
        <v>1</v>
      </c>
      <c r="P48">
        <v>3</v>
      </c>
      <c r="Q48">
        <v>9</v>
      </c>
      <c r="R48">
        <v>83.858795166015625</v>
      </c>
      <c r="S48" t="s">
        <v>24</v>
      </c>
      <c r="T48" t="s">
        <v>24</v>
      </c>
      <c r="U48" t="s">
        <v>24</v>
      </c>
      <c r="V48" t="s">
        <v>29</v>
      </c>
      <c r="W48" t="s">
        <v>29</v>
      </c>
    </row>
    <row r="49" spans="1:23">
      <c r="A49" t="s">
        <v>116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>
        <v>30.564275741577148</v>
      </c>
      <c r="H49">
        <v>31.280282974243164</v>
      </c>
      <c r="I49">
        <v>1.0125871896743774</v>
      </c>
      <c r="J49">
        <v>500</v>
      </c>
      <c r="K49" t="s">
        <v>24</v>
      </c>
      <c r="L49" t="s">
        <v>24</v>
      </c>
      <c r="M49" t="b">
        <v>0</v>
      </c>
      <c r="N49">
        <v>0.3</v>
      </c>
      <c r="O49" t="b">
        <v>1</v>
      </c>
      <c r="P49">
        <v>3</v>
      </c>
      <c r="Q49">
        <v>24</v>
      </c>
      <c r="R49">
        <v>83.665824890136719</v>
      </c>
      <c r="S49" t="s">
        <v>24</v>
      </c>
      <c r="T49" t="s">
        <v>24</v>
      </c>
      <c r="U49" t="s">
        <v>24</v>
      </c>
      <c r="V49" t="s">
        <v>114</v>
      </c>
      <c r="W49" t="s">
        <v>29</v>
      </c>
    </row>
    <row r="50" spans="1:23">
      <c r="A50" t="s">
        <v>117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>
        <v>31.99629020690918</v>
      </c>
      <c r="H50">
        <v>31.280282974243164</v>
      </c>
      <c r="I50">
        <v>1.0125871896743774</v>
      </c>
      <c r="J50">
        <v>500</v>
      </c>
      <c r="K50" t="s">
        <v>24</v>
      </c>
      <c r="L50" t="s">
        <v>24</v>
      </c>
      <c r="M50" t="b">
        <v>0</v>
      </c>
      <c r="N50">
        <v>0.3</v>
      </c>
      <c r="O50" t="b">
        <v>1</v>
      </c>
      <c r="P50">
        <v>3</v>
      </c>
      <c r="Q50">
        <v>26</v>
      </c>
      <c r="R50">
        <v>83.665824890136719</v>
      </c>
      <c r="S50" t="s">
        <v>24</v>
      </c>
      <c r="T50" t="s">
        <v>24</v>
      </c>
      <c r="U50" t="s">
        <v>24</v>
      </c>
      <c r="V50" t="s">
        <v>114</v>
      </c>
      <c r="W50" t="s">
        <v>29</v>
      </c>
    </row>
    <row r="51" spans="1:23">
      <c r="A51" t="s">
        <v>118</v>
      </c>
      <c r="B51" t="s">
        <v>119</v>
      </c>
      <c r="C51" t="s">
        <v>25</v>
      </c>
      <c r="D51" t="s">
        <v>33</v>
      </c>
      <c r="E51" t="s">
        <v>27</v>
      </c>
      <c r="F51" t="s">
        <v>28</v>
      </c>
      <c r="G51">
        <v>12.946053504943848</v>
      </c>
      <c r="H51">
        <v>13.111344337463379</v>
      </c>
      <c r="I51">
        <v>0.23375654220581055</v>
      </c>
      <c r="J51">
        <v>117206088</v>
      </c>
      <c r="K51">
        <v>105709832</v>
      </c>
      <c r="L51">
        <v>16258161</v>
      </c>
      <c r="M51" t="b">
        <v>0</v>
      </c>
      <c r="N51">
        <v>0.3</v>
      </c>
      <c r="O51" t="b">
        <v>1</v>
      </c>
      <c r="P51">
        <v>3</v>
      </c>
      <c r="Q51">
        <v>7</v>
      </c>
      <c r="R51">
        <v>83.858795166015625</v>
      </c>
      <c r="S51">
        <v>91.384414672851562</v>
      </c>
      <c r="T51" t="s">
        <v>24</v>
      </c>
      <c r="U51" t="s">
        <v>24</v>
      </c>
      <c r="V51" t="s">
        <v>29</v>
      </c>
      <c r="W51" t="s">
        <v>114</v>
      </c>
    </row>
    <row r="52" spans="1:23">
      <c r="A52" t="s">
        <v>120</v>
      </c>
      <c r="B52" t="s">
        <v>119</v>
      </c>
      <c r="C52" t="s">
        <v>25</v>
      </c>
      <c r="D52" t="s">
        <v>33</v>
      </c>
      <c r="E52" t="s">
        <v>27</v>
      </c>
      <c r="F52" t="s">
        <v>28</v>
      </c>
      <c r="G52">
        <v>13.27663516998291</v>
      </c>
      <c r="H52">
        <v>13.111344337463379</v>
      </c>
      <c r="I52">
        <v>0.23375654220581055</v>
      </c>
      <c r="J52">
        <v>94213576</v>
      </c>
      <c r="K52">
        <v>105709832</v>
      </c>
      <c r="L52">
        <v>16258161</v>
      </c>
      <c r="M52" t="b">
        <v>0</v>
      </c>
      <c r="N52">
        <v>0.3</v>
      </c>
      <c r="O52" t="b">
        <v>1</v>
      </c>
      <c r="P52">
        <v>3</v>
      </c>
      <c r="Q52">
        <v>8</v>
      </c>
      <c r="R52">
        <v>84.244720458984375</v>
      </c>
      <c r="S52" t="s">
        <v>24</v>
      </c>
      <c r="T52" t="s">
        <v>24</v>
      </c>
      <c r="U52" t="s">
        <v>24</v>
      </c>
      <c r="V52" t="s">
        <v>29</v>
      </c>
      <c r="W52" t="s">
        <v>29</v>
      </c>
    </row>
    <row r="53" spans="1:23">
      <c r="A53" t="s">
        <v>121</v>
      </c>
      <c r="B53" t="s">
        <v>122</v>
      </c>
      <c r="C53" t="s">
        <v>25</v>
      </c>
      <c r="D53" t="s">
        <v>33</v>
      </c>
      <c r="E53" t="s">
        <v>27</v>
      </c>
      <c r="F53" t="s">
        <v>28</v>
      </c>
      <c r="G53">
        <v>9.8178386688232422</v>
      </c>
      <c r="H53">
        <v>10.164936065673828</v>
      </c>
      <c r="I53">
        <v>0.49086916446685791</v>
      </c>
      <c r="J53">
        <v>925479488</v>
      </c>
      <c r="K53">
        <v>755281408</v>
      </c>
      <c r="L53">
        <v>240696432</v>
      </c>
      <c r="M53" t="b">
        <v>0</v>
      </c>
      <c r="N53">
        <v>0.3</v>
      </c>
      <c r="O53" t="b">
        <v>1</v>
      </c>
      <c r="P53">
        <v>3</v>
      </c>
      <c r="Q53">
        <v>4</v>
      </c>
      <c r="R53">
        <v>83.665824890136719</v>
      </c>
      <c r="S53" t="s">
        <v>24</v>
      </c>
      <c r="T53" t="s">
        <v>24</v>
      </c>
      <c r="U53" t="s">
        <v>24</v>
      </c>
      <c r="V53" t="s">
        <v>29</v>
      </c>
      <c r="W53" t="s">
        <v>29</v>
      </c>
    </row>
    <row r="54" spans="1:23">
      <c r="A54" t="s">
        <v>123</v>
      </c>
      <c r="B54" s="84" t="s">
        <v>53</v>
      </c>
      <c r="C54" t="s">
        <v>25</v>
      </c>
      <c r="D54" t="s">
        <v>33</v>
      </c>
      <c r="E54" t="s">
        <v>27</v>
      </c>
      <c r="F54" t="s">
        <v>28</v>
      </c>
      <c r="G54" s="84">
        <v>11.736545562744141</v>
      </c>
      <c r="H54" s="84">
        <v>11.70928955078125</v>
      </c>
      <c r="I54" s="84">
        <v>3.8545820862054825E-2</v>
      </c>
      <c r="J54" s="84">
        <v>260574320</v>
      </c>
      <c r="K54" s="84">
        <v>265351264</v>
      </c>
      <c r="L54" s="84">
        <v>6755607.5</v>
      </c>
      <c r="M54" t="b">
        <v>0</v>
      </c>
      <c r="N54">
        <v>0.3</v>
      </c>
      <c r="O54" t="b">
        <v>1</v>
      </c>
      <c r="P54">
        <v>3</v>
      </c>
      <c r="Q54">
        <v>6</v>
      </c>
      <c r="R54">
        <v>84.0517578125</v>
      </c>
      <c r="S54" t="s">
        <v>24</v>
      </c>
      <c r="T54" t="s">
        <v>24</v>
      </c>
      <c r="U54" t="s">
        <v>24</v>
      </c>
      <c r="V54" t="s">
        <v>29</v>
      </c>
      <c r="W54" t="s">
        <v>29</v>
      </c>
    </row>
    <row r="55" spans="1:23">
      <c r="A55" t="s">
        <v>124</v>
      </c>
      <c r="B55" t="s">
        <v>125</v>
      </c>
      <c r="C55" t="s">
        <v>25</v>
      </c>
      <c r="D55" t="s">
        <v>33</v>
      </c>
      <c r="E55" t="s">
        <v>27</v>
      </c>
      <c r="F55" t="s">
        <v>28</v>
      </c>
      <c r="G55">
        <v>11.294676780700684</v>
      </c>
      <c r="H55">
        <v>11.363880157470703</v>
      </c>
      <c r="I55">
        <v>9.7867682576179504E-2</v>
      </c>
      <c r="J55">
        <v>348894496</v>
      </c>
      <c r="K55">
        <v>333652928</v>
      </c>
      <c r="L55">
        <v>21554854</v>
      </c>
      <c r="M55" t="b">
        <v>0</v>
      </c>
      <c r="N55">
        <v>0.3</v>
      </c>
      <c r="O55" t="b">
        <v>1</v>
      </c>
      <c r="P55">
        <v>3</v>
      </c>
      <c r="Q55">
        <v>5</v>
      </c>
      <c r="R55">
        <v>83.858795166015625</v>
      </c>
      <c r="S55" t="s">
        <v>24</v>
      </c>
      <c r="T55" t="s">
        <v>24</v>
      </c>
      <c r="U55" t="s">
        <v>24</v>
      </c>
      <c r="V55" t="s">
        <v>29</v>
      </c>
      <c r="W55" t="s">
        <v>29</v>
      </c>
    </row>
    <row r="56" spans="1:23">
      <c r="A56" t="s">
        <v>126</v>
      </c>
      <c r="B56" t="s">
        <v>125</v>
      </c>
      <c r="C56" t="s">
        <v>25</v>
      </c>
      <c r="D56" t="s">
        <v>33</v>
      </c>
      <c r="E56" t="s">
        <v>27</v>
      </c>
      <c r="F56" t="s">
        <v>28</v>
      </c>
      <c r="G56">
        <v>11.433082580566406</v>
      </c>
      <c r="H56">
        <v>11.363880157470703</v>
      </c>
      <c r="I56">
        <v>9.7867682576179504E-2</v>
      </c>
      <c r="J56">
        <v>318411328</v>
      </c>
      <c r="K56">
        <v>333652928</v>
      </c>
      <c r="L56">
        <v>21554854</v>
      </c>
      <c r="M56" t="b">
        <v>0</v>
      </c>
      <c r="N56">
        <v>0.3</v>
      </c>
      <c r="O56" t="b">
        <v>1</v>
      </c>
      <c r="P56">
        <v>3</v>
      </c>
      <c r="Q56">
        <v>7</v>
      </c>
      <c r="R56">
        <v>83.665824890136719</v>
      </c>
      <c r="S56" t="s">
        <v>24</v>
      </c>
      <c r="T56" t="s">
        <v>24</v>
      </c>
      <c r="U56" t="s">
        <v>24</v>
      </c>
      <c r="V56" t="s">
        <v>29</v>
      </c>
      <c r="W56" t="s">
        <v>29</v>
      </c>
    </row>
    <row r="57" spans="1:23">
      <c r="A57" t="s">
        <v>133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b">
        <v>0</v>
      </c>
      <c r="N57">
        <v>0.3</v>
      </c>
      <c r="O57" t="b">
        <v>1</v>
      </c>
      <c r="P57">
        <v>3</v>
      </c>
      <c r="Q57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29</v>
      </c>
      <c r="W57" t="s">
        <v>29</v>
      </c>
    </row>
    <row r="58" spans="1:23">
      <c r="A58" t="s">
        <v>134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b">
        <v>0</v>
      </c>
      <c r="N58">
        <v>0.3</v>
      </c>
      <c r="O58" t="b">
        <v>1</v>
      </c>
      <c r="P58">
        <v>3</v>
      </c>
      <c r="Q58">
        <v>23</v>
      </c>
      <c r="R58" t="s">
        <v>24</v>
      </c>
      <c r="S58" t="s">
        <v>24</v>
      </c>
      <c r="T58" t="s">
        <v>24</v>
      </c>
      <c r="U58" t="s">
        <v>24</v>
      </c>
      <c r="V58" t="s">
        <v>29</v>
      </c>
      <c r="W58" t="s">
        <v>29</v>
      </c>
    </row>
    <row r="59" spans="1:23">
      <c r="A59" t="s">
        <v>135</v>
      </c>
      <c r="B59" t="s">
        <v>136</v>
      </c>
      <c r="C59" t="s">
        <v>25</v>
      </c>
      <c r="D59" t="s">
        <v>33</v>
      </c>
      <c r="E59" t="s">
        <v>27</v>
      </c>
      <c r="F59" t="s">
        <v>28</v>
      </c>
      <c r="G59">
        <v>12.117894172668457</v>
      </c>
      <c r="H59">
        <v>12.199027061462402</v>
      </c>
      <c r="I59">
        <v>0.11473923176527023</v>
      </c>
      <c r="J59">
        <v>202549424</v>
      </c>
      <c r="K59">
        <v>192255680</v>
      </c>
      <c r="L59">
        <v>14557564</v>
      </c>
      <c r="M59" t="b">
        <v>0</v>
      </c>
      <c r="N59">
        <v>0.3</v>
      </c>
      <c r="O59" t="b">
        <v>1</v>
      </c>
      <c r="P59">
        <v>3</v>
      </c>
      <c r="Q59">
        <v>7</v>
      </c>
      <c r="R59">
        <v>83.665824890136719</v>
      </c>
      <c r="S59">
        <v>91.384414672851562</v>
      </c>
      <c r="T59" t="s">
        <v>24</v>
      </c>
      <c r="U59" t="s">
        <v>24</v>
      </c>
      <c r="V59" t="s">
        <v>29</v>
      </c>
      <c r="W59" t="s">
        <v>114</v>
      </c>
    </row>
    <row r="60" spans="1:23">
      <c r="A60" t="s">
        <v>137</v>
      </c>
      <c r="B60" t="s">
        <v>136</v>
      </c>
      <c r="C60" t="s">
        <v>25</v>
      </c>
      <c r="D60" t="s">
        <v>33</v>
      </c>
      <c r="E60" t="s">
        <v>27</v>
      </c>
      <c r="F60" t="s">
        <v>28</v>
      </c>
      <c r="G60">
        <v>12.280159950256348</v>
      </c>
      <c r="H60">
        <v>12.199027061462402</v>
      </c>
      <c r="I60">
        <v>0.11473923176527023</v>
      </c>
      <c r="J60">
        <v>181961920</v>
      </c>
      <c r="K60">
        <v>192255680</v>
      </c>
      <c r="L60">
        <v>14557564</v>
      </c>
      <c r="M60" t="b">
        <v>0</v>
      </c>
      <c r="N60">
        <v>0.3</v>
      </c>
      <c r="O60" t="b">
        <v>1</v>
      </c>
      <c r="P60">
        <v>3</v>
      </c>
      <c r="Q60">
        <v>7</v>
      </c>
      <c r="R60">
        <v>83.858795166015625</v>
      </c>
      <c r="S60">
        <v>91.384414672851562</v>
      </c>
      <c r="T60" t="s">
        <v>24</v>
      </c>
      <c r="U60" t="s">
        <v>24</v>
      </c>
      <c r="V60" t="s">
        <v>29</v>
      </c>
      <c r="W60" t="s">
        <v>114</v>
      </c>
    </row>
    <row r="61" spans="1:23">
      <c r="A61" t="s">
        <v>138</v>
      </c>
      <c r="B61" t="s">
        <v>139</v>
      </c>
      <c r="C61" t="s">
        <v>25</v>
      </c>
      <c r="D61" t="s">
        <v>33</v>
      </c>
      <c r="E61" t="s">
        <v>27</v>
      </c>
      <c r="F61" t="s">
        <v>28</v>
      </c>
      <c r="G61">
        <v>10.753772735595703</v>
      </c>
      <c r="H61">
        <v>10.918370246887207</v>
      </c>
      <c r="I61">
        <v>0.23277603089809418</v>
      </c>
      <c r="J61">
        <v>498732544</v>
      </c>
      <c r="K61">
        <v>449997632</v>
      </c>
      <c r="L61">
        <v>68921552</v>
      </c>
      <c r="M61" t="b">
        <v>0</v>
      </c>
      <c r="N61">
        <v>0.3</v>
      </c>
      <c r="O61" t="b">
        <v>1</v>
      </c>
      <c r="P61">
        <v>3</v>
      </c>
      <c r="Q61">
        <v>5</v>
      </c>
      <c r="R61">
        <v>83.472862243652344</v>
      </c>
      <c r="S61">
        <v>91.384414672851562</v>
      </c>
      <c r="T61" t="s">
        <v>24</v>
      </c>
      <c r="U61" t="s">
        <v>24</v>
      </c>
      <c r="V61" t="s">
        <v>29</v>
      </c>
      <c r="W61" t="s">
        <v>114</v>
      </c>
    </row>
    <row r="62" spans="1:23">
      <c r="A62" t="s">
        <v>140</v>
      </c>
      <c r="B62" s="84" t="s">
        <v>70</v>
      </c>
      <c r="C62" t="s">
        <v>25</v>
      </c>
      <c r="D62" t="s">
        <v>33</v>
      </c>
      <c r="E62" t="s">
        <v>27</v>
      </c>
      <c r="F62" t="s">
        <v>28</v>
      </c>
      <c r="G62" s="84">
        <v>25.186212539672852</v>
      </c>
      <c r="H62" s="84">
        <v>25.116138458251953</v>
      </c>
      <c r="I62" s="84">
        <v>9.9098369479179382E-2</v>
      </c>
      <c r="J62" s="84">
        <v>36100.6875</v>
      </c>
      <c r="K62" s="84">
        <v>37851.4921875</v>
      </c>
      <c r="L62" s="84">
        <v>2476.01171875</v>
      </c>
      <c r="M62" t="b">
        <v>0</v>
      </c>
      <c r="N62">
        <v>0.3</v>
      </c>
      <c r="O62" t="b">
        <v>1</v>
      </c>
      <c r="P62">
        <v>3</v>
      </c>
      <c r="Q62">
        <v>20</v>
      </c>
      <c r="R62">
        <v>83.858795166015625</v>
      </c>
      <c r="S62" t="s">
        <v>24</v>
      </c>
      <c r="T62" t="s">
        <v>24</v>
      </c>
      <c r="U62" t="s">
        <v>24</v>
      </c>
      <c r="V62" t="s">
        <v>29</v>
      </c>
      <c r="W62" t="s">
        <v>29</v>
      </c>
    </row>
    <row r="63" spans="1:23">
      <c r="A63" t="s">
        <v>141</v>
      </c>
      <c r="B63" t="s">
        <v>142</v>
      </c>
      <c r="C63" t="s">
        <v>25</v>
      </c>
      <c r="D63" t="s">
        <v>33</v>
      </c>
      <c r="E63" t="s">
        <v>27</v>
      </c>
      <c r="F63" t="s">
        <v>28</v>
      </c>
      <c r="G63">
        <v>23.061914443969727</v>
      </c>
      <c r="H63">
        <v>23.162405014038086</v>
      </c>
      <c r="I63">
        <v>0.14211513102054596</v>
      </c>
      <c r="J63">
        <v>146869.046875</v>
      </c>
      <c r="K63">
        <v>137739.296875</v>
      </c>
      <c r="L63">
        <v>12911.421875</v>
      </c>
      <c r="M63" t="b">
        <v>0</v>
      </c>
      <c r="N63">
        <v>0.3</v>
      </c>
      <c r="O63" t="b">
        <v>1</v>
      </c>
      <c r="P63">
        <v>3</v>
      </c>
      <c r="Q63">
        <v>17</v>
      </c>
      <c r="R63">
        <v>83.858795166015625</v>
      </c>
      <c r="S63" t="s">
        <v>24</v>
      </c>
      <c r="T63" t="s">
        <v>24</v>
      </c>
      <c r="U63" t="s">
        <v>24</v>
      </c>
      <c r="V63" t="s">
        <v>29</v>
      </c>
      <c r="W63" t="s">
        <v>29</v>
      </c>
    </row>
    <row r="64" spans="1:23">
      <c r="A64" t="s">
        <v>143</v>
      </c>
      <c r="B64" t="s">
        <v>142</v>
      </c>
      <c r="C64" t="s">
        <v>25</v>
      </c>
      <c r="D64" t="s">
        <v>33</v>
      </c>
      <c r="E64" t="s">
        <v>27</v>
      </c>
      <c r="F64" t="s">
        <v>28</v>
      </c>
      <c r="G64">
        <v>23.262895584106445</v>
      </c>
      <c r="H64">
        <v>23.162405014038086</v>
      </c>
      <c r="I64">
        <v>0.14211513102054596</v>
      </c>
      <c r="J64">
        <v>128609.5390625</v>
      </c>
      <c r="K64">
        <v>137739.296875</v>
      </c>
      <c r="L64">
        <v>12911.421875</v>
      </c>
      <c r="M64" t="b">
        <v>0</v>
      </c>
      <c r="N64">
        <v>0.3</v>
      </c>
      <c r="O64" t="b">
        <v>1</v>
      </c>
      <c r="P64">
        <v>3</v>
      </c>
      <c r="Q64">
        <v>18</v>
      </c>
      <c r="R64">
        <v>83.665824890136719</v>
      </c>
      <c r="S64" t="s">
        <v>24</v>
      </c>
      <c r="T64" t="s">
        <v>24</v>
      </c>
      <c r="U64" t="s">
        <v>24</v>
      </c>
      <c r="V64" t="s">
        <v>29</v>
      </c>
      <c r="W64" t="s">
        <v>29</v>
      </c>
    </row>
    <row r="65" spans="1:23">
      <c r="A65" t="s">
        <v>150</v>
      </c>
      <c r="B65" t="s">
        <v>24</v>
      </c>
      <c r="C65" t="s">
        <v>25</v>
      </c>
      <c r="D65" t="s">
        <v>151</v>
      </c>
      <c r="E65" t="s">
        <v>27</v>
      </c>
      <c r="F65" t="s">
        <v>28</v>
      </c>
      <c r="G65">
        <v>36.799564361572266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b">
        <v>0</v>
      </c>
      <c r="N65">
        <v>0.3</v>
      </c>
      <c r="O65" t="b">
        <v>1</v>
      </c>
      <c r="P65">
        <v>3</v>
      </c>
      <c r="Q65">
        <v>32</v>
      </c>
      <c r="R65">
        <v>79.613563537597656</v>
      </c>
      <c r="S65" t="s">
        <v>24</v>
      </c>
      <c r="T65" t="s">
        <v>24</v>
      </c>
      <c r="U65" t="s">
        <v>24</v>
      </c>
      <c r="V65" t="s">
        <v>29</v>
      </c>
      <c r="W65" t="s">
        <v>29</v>
      </c>
    </row>
    <row r="66" spans="1:23">
      <c r="A66" t="s">
        <v>152</v>
      </c>
      <c r="B66" t="s">
        <v>24</v>
      </c>
      <c r="C66" t="s">
        <v>25</v>
      </c>
      <c r="D66" t="s">
        <v>151</v>
      </c>
      <c r="E66" t="s">
        <v>27</v>
      </c>
      <c r="F66" t="s">
        <v>28</v>
      </c>
      <c r="G66">
        <v>35.520271301269531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b">
        <v>0</v>
      </c>
      <c r="N66">
        <v>0.3</v>
      </c>
      <c r="O66" t="b">
        <v>1</v>
      </c>
      <c r="P66">
        <v>3</v>
      </c>
      <c r="Q66">
        <v>31</v>
      </c>
      <c r="R66">
        <v>80.192459106445312</v>
      </c>
      <c r="S66" t="s">
        <v>24</v>
      </c>
      <c r="T66" t="s">
        <v>24</v>
      </c>
      <c r="U66" t="s">
        <v>24</v>
      </c>
      <c r="V66" t="s">
        <v>29</v>
      </c>
      <c r="W66" t="s">
        <v>29</v>
      </c>
    </row>
    <row r="67" spans="1:23">
      <c r="A67" t="s">
        <v>153</v>
      </c>
      <c r="B67" t="s">
        <v>154</v>
      </c>
      <c r="C67" t="s">
        <v>25</v>
      </c>
      <c r="D67" t="s">
        <v>33</v>
      </c>
      <c r="E67" t="s">
        <v>27</v>
      </c>
      <c r="F67" t="s">
        <v>28</v>
      </c>
      <c r="G67">
        <v>11.992672920227051</v>
      </c>
      <c r="H67">
        <v>12.148181915283203</v>
      </c>
      <c r="I67">
        <v>0.21992293000221252</v>
      </c>
      <c r="J67">
        <v>220016000</v>
      </c>
      <c r="K67">
        <v>199585728</v>
      </c>
      <c r="L67">
        <v>28892780</v>
      </c>
      <c r="M67" t="b">
        <v>0</v>
      </c>
      <c r="N67">
        <v>0.3</v>
      </c>
      <c r="O67" t="b">
        <v>1</v>
      </c>
      <c r="P67">
        <v>3</v>
      </c>
      <c r="Q67">
        <v>7</v>
      </c>
      <c r="R67">
        <v>83.472862243652344</v>
      </c>
      <c r="S67">
        <v>91.191452026367188</v>
      </c>
      <c r="T67" t="s">
        <v>24</v>
      </c>
      <c r="U67" t="s">
        <v>24</v>
      </c>
      <c r="V67" t="s">
        <v>29</v>
      </c>
      <c r="W67" t="s">
        <v>114</v>
      </c>
    </row>
    <row r="68" spans="1:23">
      <c r="A68" t="s">
        <v>155</v>
      </c>
      <c r="B68" t="s">
        <v>154</v>
      </c>
      <c r="C68" t="s">
        <v>25</v>
      </c>
      <c r="D68" t="s">
        <v>33</v>
      </c>
      <c r="E68" t="s">
        <v>27</v>
      </c>
      <c r="F68" t="s">
        <v>28</v>
      </c>
      <c r="G68">
        <v>12.303690910339355</v>
      </c>
      <c r="H68">
        <v>12.148181915283203</v>
      </c>
      <c r="I68">
        <v>0.21992293000221252</v>
      </c>
      <c r="J68">
        <v>179155440</v>
      </c>
      <c r="K68">
        <v>199585728</v>
      </c>
      <c r="L68">
        <v>28892780</v>
      </c>
      <c r="M68" t="b">
        <v>0</v>
      </c>
      <c r="N68">
        <v>0.3</v>
      </c>
      <c r="O68" t="b">
        <v>1</v>
      </c>
      <c r="P68">
        <v>3</v>
      </c>
      <c r="Q68">
        <v>7</v>
      </c>
      <c r="R68">
        <v>83.858795166015625</v>
      </c>
      <c r="S68">
        <v>91.191452026367188</v>
      </c>
      <c r="T68" t="s">
        <v>24</v>
      </c>
      <c r="U68" t="s">
        <v>24</v>
      </c>
      <c r="V68" t="s">
        <v>29</v>
      </c>
      <c r="W68" t="s">
        <v>114</v>
      </c>
    </row>
    <row r="69" spans="1:23">
      <c r="A69" t="s">
        <v>156</v>
      </c>
      <c r="B69" t="s">
        <v>157</v>
      </c>
      <c r="C69" t="s">
        <v>25</v>
      </c>
      <c r="D69" t="s">
        <v>33</v>
      </c>
      <c r="E69" t="s">
        <v>27</v>
      </c>
      <c r="F69" t="s">
        <v>28</v>
      </c>
      <c r="G69">
        <v>10.14597225189209</v>
      </c>
      <c r="H69">
        <v>10.224566459655762</v>
      </c>
      <c r="I69">
        <v>0.11114899814128876</v>
      </c>
      <c r="J69">
        <v>745130624</v>
      </c>
      <c r="K69">
        <v>708386816</v>
      </c>
      <c r="L69">
        <v>51963592</v>
      </c>
      <c r="M69" t="b">
        <v>0</v>
      </c>
      <c r="N69">
        <v>0.3</v>
      </c>
      <c r="O69" t="b">
        <v>1</v>
      </c>
      <c r="P69">
        <v>3</v>
      </c>
      <c r="Q69">
        <v>4</v>
      </c>
      <c r="R69">
        <v>83.279891967773438</v>
      </c>
      <c r="S69" t="s">
        <v>24</v>
      </c>
      <c r="T69" t="s">
        <v>24</v>
      </c>
      <c r="U69" t="s">
        <v>24</v>
      </c>
      <c r="V69" t="s">
        <v>29</v>
      </c>
      <c r="W69" t="s">
        <v>29</v>
      </c>
    </row>
    <row r="70" spans="1:23">
      <c r="A70" t="s">
        <v>158</v>
      </c>
      <c r="B70" s="84" t="s">
        <v>87</v>
      </c>
      <c r="C70" t="s">
        <v>25</v>
      </c>
      <c r="D70" t="s">
        <v>33</v>
      </c>
      <c r="E70" t="s">
        <v>27</v>
      </c>
      <c r="F70" t="s">
        <v>28</v>
      </c>
      <c r="G70" s="84">
        <v>13.494777679443359</v>
      </c>
      <c r="H70" s="84">
        <v>13.300596237182617</v>
      </c>
      <c r="I70" s="84">
        <v>0.27461403608322144</v>
      </c>
      <c r="J70" s="84">
        <v>81570512</v>
      </c>
      <c r="K70" s="84">
        <v>93498048</v>
      </c>
      <c r="L70" s="84">
        <v>16868084</v>
      </c>
      <c r="M70" t="b">
        <v>0</v>
      </c>
      <c r="N70">
        <v>0.3</v>
      </c>
      <c r="O70" t="b">
        <v>1</v>
      </c>
      <c r="P70">
        <v>3</v>
      </c>
      <c r="Q70">
        <v>8</v>
      </c>
      <c r="R70">
        <v>83.665824890136719</v>
      </c>
      <c r="S70" t="s">
        <v>24</v>
      </c>
      <c r="T70" t="s">
        <v>24</v>
      </c>
      <c r="U70" t="s">
        <v>24</v>
      </c>
      <c r="V70" t="s">
        <v>29</v>
      </c>
      <c r="W70" t="s">
        <v>29</v>
      </c>
    </row>
    <row r="71" spans="1:23">
      <c r="A71" t="s">
        <v>159</v>
      </c>
      <c r="B71" t="s">
        <v>160</v>
      </c>
      <c r="C71" t="s">
        <v>25</v>
      </c>
      <c r="D71" t="s">
        <v>33</v>
      </c>
      <c r="E71" t="s">
        <v>27</v>
      </c>
      <c r="F71" t="s">
        <v>28</v>
      </c>
      <c r="G71">
        <v>11.755464553833008</v>
      </c>
      <c r="H71">
        <v>11.843282699584961</v>
      </c>
      <c r="I71">
        <v>0.12419428676366806</v>
      </c>
      <c r="J71">
        <v>257338144</v>
      </c>
      <c r="K71">
        <v>243243488</v>
      </c>
      <c r="L71">
        <v>19932842</v>
      </c>
      <c r="M71" t="b">
        <v>0</v>
      </c>
      <c r="N71">
        <v>0.3</v>
      </c>
      <c r="O71" t="b">
        <v>1</v>
      </c>
      <c r="P71">
        <v>3</v>
      </c>
      <c r="Q71">
        <v>6</v>
      </c>
      <c r="R71">
        <v>83.665824890136719</v>
      </c>
      <c r="S71" t="s">
        <v>24</v>
      </c>
      <c r="T71" t="s">
        <v>24</v>
      </c>
      <c r="U71" t="s">
        <v>24</v>
      </c>
      <c r="V71" t="s">
        <v>29</v>
      </c>
      <c r="W71" t="s">
        <v>29</v>
      </c>
    </row>
    <row r="72" spans="1:23">
      <c r="A72" t="s">
        <v>161</v>
      </c>
      <c r="B72" t="s">
        <v>160</v>
      </c>
      <c r="C72" t="s">
        <v>25</v>
      </c>
      <c r="D72" t="s">
        <v>33</v>
      </c>
      <c r="E72" t="s">
        <v>27</v>
      </c>
      <c r="F72" t="s">
        <v>28</v>
      </c>
      <c r="G72">
        <v>11.93110179901123</v>
      </c>
      <c r="H72">
        <v>11.843282699584961</v>
      </c>
      <c r="I72">
        <v>0.12419428676366806</v>
      </c>
      <c r="J72">
        <v>229148848</v>
      </c>
      <c r="K72">
        <v>243243488</v>
      </c>
      <c r="L72">
        <v>19932842</v>
      </c>
      <c r="M72" t="b">
        <v>0</v>
      </c>
      <c r="N72">
        <v>0.3</v>
      </c>
      <c r="O72" t="b">
        <v>1</v>
      </c>
      <c r="P72">
        <v>3</v>
      </c>
      <c r="Q72">
        <v>7</v>
      </c>
      <c r="R72">
        <v>83.472862243652344</v>
      </c>
      <c r="S72" t="s">
        <v>24</v>
      </c>
      <c r="T72" t="s">
        <v>24</v>
      </c>
      <c r="U72" t="s">
        <v>24</v>
      </c>
      <c r="V72" t="s">
        <v>29</v>
      </c>
      <c r="W72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transfer</vt:lpstr>
      <vt:lpstr>VPIII p10-450</vt:lpstr>
      <vt:lpstr>VPIII p460-550</vt:lpstr>
      <vt:lpstr>VPIII p560-570</vt:lpstr>
      <vt:lpstr>VPIV p10-450</vt:lpstr>
      <vt:lpstr>VPIV p460-550</vt:lpstr>
      <vt:lpstr>VPIV p560-630</vt:lpstr>
      <vt:lpstr>VPIII13_p20-440</vt:lpstr>
      <vt:lpstr>VPIII14_p20-440</vt:lpstr>
      <vt:lpstr>VPIII15_p20-440</vt:lpstr>
      <vt:lpstr>VPIII16_p20-440</vt:lpstr>
      <vt:lpstr>VPIV17_p20-440</vt:lpstr>
      <vt:lpstr>VPIV18_p20-440</vt:lpstr>
      <vt:lpstr>VPIV19_p20-440</vt:lpstr>
      <vt:lpstr>VPIV20_p20-440</vt:lpstr>
      <vt:lpstr>2015 VPp10-110</vt:lpstr>
      <vt:lpstr>2015 VPp10-110dilRep</vt:lpstr>
      <vt:lpstr>2015 VPp80-180</vt:lpstr>
      <vt:lpstr>VPIII13-16p580-630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Leemann Christine</dc:creator>
  <cp:lastModifiedBy>Ali Movasati</cp:lastModifiedBy>
  <dcterms:created xsi:type="dcterms:W3CDTF">2015-06-05T18:19:34Z</dcterms:created>
  <dcterms:modified xsi:type="dcterms:W3CDTF">2024-12-16T14:18:41Z</dcterms:modified>
</cp:coreProperties>
</file>