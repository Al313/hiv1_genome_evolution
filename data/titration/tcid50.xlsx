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alimos313/Documents/studies/phd/hpc-research/genome-evo-proj/data/titration/"/>
    </mc:Choice>
  </mc:AlternateContent>
  <xr:revisionPtr revIDLastSave="0" documentId="13_ncr:1_{DC883D7C-7D23-E044-9B9B-F52D7CCECCE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2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2" l="1"/>
  <c r="G87" i="2"/>
  <c r="G88" i="2"/>
  <c r="G89" i="2"/>
  <c r="G90" i="2"/>
  <c r="G91" i="2"/>
  <c r="G92" i="2"/>
  <c r="G93" i="2"/>
  <c r="G94" i="2"/>
  <c r="G85" i="2"/>
  <c r="G76" i="2"/>
  <c r="G77" i="2"/>
  <c r="G78" i="2"/>
  <c r="G79" i="2"/>
  <c r="G80" i="2"/>
  <c r="G81" i="2"/>
  <c r="G82" i="2"/>
  <c r="G83" i="2"/>
  <c r="G84" i="2"/>
  <c r="G75" i="2"/>
  <c r="G65" i="2"/>
  <c r="G66" i="2"/>
  <c r="G67" i="2"/>
  <c r="G68" i="2"/>
  <c r="G69" i="2"/>
  <c r="G70" i="2"/>
  <c r="G71" i="2"/>
  <c r="G72" i="2"/>
  <c r="G73" i="2"/>
  <c r="G64" i="2"/>
  <c r="G55" i="2"/>
  <c r="G56" i="2"/>
  <c r="G57" i="2"/>
  <c r="G58" i="2"/>
  <c r="G59" i="2"/>
  <c r="G60" i="2"/>
  <c r="G61" i="2"/>
  <c r="G62" i="2"/>
  <c r="G63" i="2"/>
  <c r="G54" i="2"/>
  <c r="G47" i="2"/>
  <c r="G48" i="2"/>
  <c r="G49" i="2"/>
  <c r="G50" i="2"/>
  <c r="G51" i="2"/>
  <c r="G52" i="2"/>
  <c r="G53" i="2"/>
  <c r="G46" i="2"/>
  <c r="G39" i="2"/>
  <c r="G40" i="2"/>
  <c r="G41" i="2"/>
  <c r="G42" i="2"/>
  <c r="G43" i="2"/>
  <c r="G44" i="2"/>
  <c r="G45" i="2"/>
  <c r="G38" i="2"/>
  <c r="F47" i="2"/>
  <c r="F48" i="2"/>
  <c r="F49" i="2"/>
  <c r="F50" i="2"/>
  <c r="F51" i="2"/>
  <c r="F52" i="2"/>
  <c r="F53" i="2"/>
  <c r="F86" i="2"/>
  <c r="F87" i="2"/>
  <c r="F88" i="2"/>
  <c r="F89" i="2"/>
  <c r="F90" i="2"/>
  <c r="F91" i="2"/>
  <c r="F92" i="2"/>
  <c r="F93" i="2"/>
  <c r="F94" i="2"/>
  <c r="F85" i="2"/>
  <c r="F76" i="2"/>
  <c r="F77" i="2"/>
  <c r="F78" i="2"/>
  <c r="F79" i="2"/>
  <c r="F80" i="2"/>
  <c r="F81" i="2"/>
  <c r="F82" i="2"/>
  <c r="F83" i="2"/>
  <c r="F84" i="2"/>
  <c r="F75" i="2"/>
  <c r="F65" i="2"/>
  <c r="F66" i="2"/>
  <c r="F67" i="2"/>
  <c r="F68" i="2"/>
  <c r="F69" i="2"/>
  <c r="F70" i="2"/>
  <c r="F71" i="2"/>
  <c r="F72" i="2"/>
  <c r="F73" i="2"/>
  <c r="F64" i="2"/>
  <c r="F55" i="2"/>
  <c r="F56" i="2"/>
  <c r="F57" i="2"/>
  <c r="F58" i="2"/>
  <c r="F59" i="2"/>
  <c r="F60" i="2"/>
  <c r="F61" i="2"/>
  <c r="F62" i="2"/>
  <c r="F63" i="2"/>
  <c r="F54" i="2"/>
  <c r="F46" i="2"/>
  <c r="F39" i="2"/>
  <c r="F40" i="2"/>
  <c r="F41" i="2"/>
  <c r="F42" i="2"/>
  <c r="F43" i="2"/>
  <c r="F44" i="2"/>
  <c r="F45" i="2"/>
  <c r="F38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<sst xmlns="http://schemas.openxmlformats.org/spreadsheetml/2006/main" count="289" uniqueCount="71">
  <si>
    <t>Sample_ID</t>
  </si>
  <si>
    <t>VPIII #13 p10</t>
  </si>
  <si>
    <t>VPIII #13 p20</t>
  </si>
  <si>
    <t>VPIII #13 p30</t>
  </si>
  <si>
    <t>VPIII #13 p40</t>
  </si>
  <si>
    <t>VPIII #13 p50</t>
  </si>
  <si>
    <t>VPIII #13 p60</t>
  </si>
  <si>
    <t>VPIII #13 p70</t>
  </si>
  <si>
    <t>VPIII #13 p80</t>
  </si>
  <si>
    <t>VPIII #13 p90</t>
  </si>
  <si>
    <t>TCID50/ml_MT4</t>
  </si>
  <si>
    <t>TCID50/ml_MT2</t>
  </si>
  <si>
    <t>VPIII #14 p10</t>
  </si>
  <si>
    <t>VPIII #14 p20</t>
  </si>
  <si>
    <t>VPIII #14 p30</t>
  </si>
  <si>
    <t>VPIII #14 p40</t>
  </si>
  <si>
    <t>VPIII #14 p50</t>
  </si>
  <si>
    <t>VPIII #14 p60</t>
  </si>
  <si>
    <t>VPIII #14 p70</t>
  </si>
  <si>
    <t>VPIII #14 p80</t>
  </si>
  <si>
    <t>VPIII #14 p90</t>
  </si>
  <si>
    <t>VPIII #15 p10</t>
  </si>
  <si>
    <t>VPIII #15 p20</t>
  </si>
  <si>
    <t>VPIII #15 p30</t>
  </si>
  <si>
    <t>VPIII #15 p40</t>
  </si>
  <si>
    <t>VPIII #15 p50</t>
  </si>
  <si>
    <t>VPIII #15 p60</t>
  </si>
  <si>
    <t>VPIII #15 p70</t>
  </si>
  <si>
    <t>VPIII #15 p80</t>
  </si>
  <si>
    <t>VPIII #15 p90</t>
  </si>
  <si>
    <t>VPIII #16 p10</t>
  </si>
  <si>
    <t>VPIII #16 p20</t>
  </si>
  <si>
    <t>VPIII #16 p30</t>
  </si>
  <si>
    <t>VPIII #16 p40</t>
  </si>
  <si>
    <t>VPIII #16 p50</t>
  </si>
  <si>
    <t>VPIII #16 p60</t>
  </si>
  <si>
    <t>VPIII #16 p70</t>
  </si>
  <si>
    <t>VPIII #16 p80</t>
  </si>
  <si>
    <t>VPIII #16 p90</t>
  </si>
  <si>
    <t>MOI</t>
  </si>
  <si>
    <t>VPIII #13 p100</t>
  </si>
  <si>
    <t>VPIII #13 p200</t>
  </si>
  <si>
    <t>VPIII #13 p300</t>
  </si>
  <si>
    <t>VPIII #13 p400</t>
  </si>
  <si>
    <t>VPIII #13 p500</t>
  </si>
  <si>
    <t>VPIII #14 p100</t>
  </si>
  <si>
    <t>VPIII #14 p200</t>
  </si>
  <si>
    <t>VPIII #14 p300</t>
  </si>
  <si>
    <t>VPIII #14 p400</t>
  </si>
  <si>
    <t>VPIII #14 p500</t>
  </si>
  <si>
    <t>VPIII #15 p100</t>
  </si>
  <si>
    <t>VPIII #15 p200</t>
  </si>
  <si>
    <t>VPIII #15 p300</t>
  </si>
  <si>
    <t>VPIII #15 p400</t>
  </si>
  <si>
    <t>VPIII #15 p500</t>
  </si>
  <si>
    <t>VPIII #16 p100</t>
  </si>
  <si>
    <t>VPIII #16 p200</t>
  </si>
  <si>
    <t>VPIII #16 p300</t>
  </si>
  <si>
    <t>VPIII #16 p400</t>
  </si>
  <si>
    <t>VPIII #16 p500</t>
  </si>
  <si>
    <t>VPIII_limiting_dilution_TCIDs_passages_10_90</t>
  </si>
  <si>
    <t>20240201__VPIII_#13-16_passages20-80</t>
  </si>
  <si>
    <t>Source_on_system</t>
  </si>
  <si>
    <t>Source_abv</t>
  </si>
  <si>
    <t>2018_christine</t>
  </si>
  <si>
    <t>2024_christine</t>
  </si>
  <si>
    <t>2022_rfc_i</t>
  </si>
  <si>
    <t>2022_rfc_ii</t>
  </si>
  <si>
    <t>summary for 220914_MT2&amp;4</t>
  </si>
  <si>
    <t>NL4_3</t>
  </si>
  <si>
    <t>Cross_MOI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</si>
</sst>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2" fontId="1" fillId="2" borderId="0" xfId="0" applyNumberFormat="1" applyFont="1" applyFill="1"/>
    <xf numFmtId="0" fontId="0" fillId="0" borderId="0" xfId="0" applyFill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F34D-3FF1-D047-B09A-2E52C4EF02EC}">
  <dimension ref="A1:G95"/>
  <sheetViews>
    <sheetView tabSelected="1" workbookViewId="0">
      <selection activeCell="A95" sqref="A95:XFD95"/>
    </sheetView>
  </sheetViews>
  <sheetFormatPr baseColWidth="10" defaultRowHeight="13" x14ac:dyDescent="0.15"/>
  <cols>
    <col min="1" max="1" width="20.6640625" customWidth="1"/>
    <col min="2" max="2" width="19.33203125" customWidth="1"/>
    <col min="3" max="3" width="24" customWidth="1"/>
    <col min="4" max="4" width="31.33203125" customWidth="1"/>
    <col min="5" max="5" width="56.5" customWidth="1"/>
  </cols>
  <sheetData>
    <row r="1" spans="1:7" x14ac:dyDescent="0.15">
      <c r="A1" t="s">
        <v>0</v>
      </c>
      <c r="B1" t="s">
        <v>11</v>
      </c>
      <c r="C1" t="s">
        <v>10</v>
      </c>
      <c r="D1" t="s">
        <v>63</v>
      </c>
      <c r="E1" t="s">
        <v>62</v>
      </c>
      <c r="F1" t="s">
        <v>39</v>
      </c>
      <c r="G1" t="s">
        <v>70</v>
      </c>
    </row>
    <row r="2" spans="1:7" s="3" customFormat="1" x14ac:dyDescent="0.15">
      <c r="A2" s="3" t="s">
        <v>1</v>
      </c>
      <c r="B2" s="3">
        <v>106601.99504915194</v>
      </c>
      <c r="D2" s="3" t="s">
        <v>64</v>
      </c>
      <c r="E2" s="3" t="s">
        <v>60</v>
      </c>
      <c r="F2" s="3">
        <f>-LN(1-B2*0.002/400000)</f>
        <v>5.3315207555876829E-4</v>
      </c>
    </row>
    <row r="3" spans="1:7" s="3" customFormat="1" x14ac:dyDescent="0.15">
      <c r="A3" s="3" t="s">
        <v>2</v>
      </c>
      <c r="B3" s="3">
        <v>243000.00000000012</v>
      </c>
      <c r="D3" s="3" t="s">
        <v>64</v>
      </c>
      <c r="E3" s="3" t="s">
        <v>60</v>
      </c>
      <c r="F3" s="3">
        <f t="shared" ref="F3:F19" si="0">-LN(1-B3*0.002/400000)</f>
        <v>1.2157387109164313E-3</v>
      </c>
    </row>
    <row r="4" spans="1:7" s="3" customFormat="1" x14ac:dyDescent="0.15">
      <c r="A4" s="3" t="s">
        <v>3</v>
      </c>
      <c r="B4" s="3">
        <v>46765.371804359704</v>
      </c>
      <c r="D4" s="3" t="s">
        <v>64</v>
      </c>
      <c r="E4" s="3" t="s">
        <v>60</v>
      </c>
      <c r="F4" s="3">
        <f t="shared" si="0"/>
        <v>2.338542007840882E-4</v>
      </c>
    </row>
    <row r="5" spans="1:7" s="3" customFormat="1" x14ac:dyDescent="0.15">
      <c r="A5" s="3" t="s">
        <v>4</v>
      </c>
      <c r="B5" s="3">
        <v>106601.99504915194</v>
      </c>
      <c r="D5" s="3" t="s">
        <v>64</v>
      </c>
      <c r="E5" s="3" t="s">
        <v>60</v>
      </c>
      <c r="F5" s="3">
        <f t="shared" si="0"/>
        <v>5.3315207555876829E-4</v>
      </c>
    </row>
    <row r="6" spans="1:7" s="3" customFormat="1" x14ac:dyDescent="0.15">
      <c r="A6" s="3" t="s">
        <v>5</v>
      </c>
      <c r="B6" s="3">
        <v>140296.1154130793</v>
      </c>
      <c r="D6" s="3" t="s">
        <v>64</v>
      </c>
      <c r="E6" s="3" t="s">
        <v>60</v>
      </c>
      <c r="F6" s="3">
        <f t="shared" si="0"/>
        <v>7.0172672968634765E-4</v>
      </c>
    </row>
    <row r="7" spans="1:7" s="3" customFormat="1" x14ac:dyDescent="0.15">
      <c r="A7" s="3" t="s">
        <v>6</v>
      </c>
      <c r="B7" s="3">
        <v>184640.07161333718</v>
      </c>
      <c r="D7" s="3" t="s">
        <v>64</v>
      </c>
      <c r="E7" s="3" t="s">
        <v>60</v>
      </c>
      <c r="F7" s="3">
        <f t="shared" si="0"/>
        <v>9.2362676997988875E-4</v>
      </c>
    </row>
    <row r="8" spans="1:7" s="3" customFormat="1" x14ac:dyDescent="0.15">
      <c r="A8" s="3" t="s">
        <v>7</v>
      </c>
      <c r="B8" s="3">
        <v>243000.00000000012</v>
      </c>
      <c r="D8" s="3" t="s">
        <v>64</v>
      </c>
      <c r="E8" s="3" t="s">
        <v>60</v>
      </c>
      <c r="F8" s="3">
        <f t="shared" si="0"/>
        <v>1.2157387109164313E-3</v>
      </c>
    </row>
    <row r="9" spans="1:7" s="3" customFormat="1" x14ac:dyDescent="0.15">
      <c r="A9" s="3" t="s">
        <v>8</v>
      </c>
      <c r="B9" s="3">
        <v>35533.998349717331</v>
      </c>
      <c r="D9" s="3" t="s">
        <v>64</v>
      </c>
      <c r="E9" s="3" t="s">
        <v>60</v>
      </c>
      <c r="F9" s="3">
        <f t="shared" si="0"/>
        <v>1.7768577693133293E-4</v>
      </c>
    </row>
    <row r="10" spans="1:7" s="3" customFormat="1" x14ac:dyDescent="0.15">
      <c r="A10" s="3" t="s">
        <v>9</v>
      </c>
      <c r="B10" s="3">
        <v>553920.21484001225</v>
      </c>
      <c r="D10" s="3" t="s">
        <v>64</v>
      </c>
      <c r="E10" s="3" t="s">
        <v>60</v>
      </c>
      <c r="F10" s="3">
        <f t="shared" si="0"/>
        <v>2.7734435155816022E-3</v>
      </c>
    </row>
    <row r="11" spans="1:7" s="3" customFormat="1" x14ac:dyDescent="0.15">
      <c r="A11" s="3" t="s">
        <v>12</v>
      </c>
      <c r="B11" s="3">
        <v>61546.690537778988</v>
      </c>
      <c r="D11" s="3" t="s">
        <v>64</v>
      </c>
      <c r="E11" s="3" t="s">
        <v>60</v>
      </c>
      <c r="F11" s="3">
        <f t="shared" si="0"/>
        <v>3.0778081234416439E-4</v>
      </c>
    </row>
    <row r="12" spans="1:7" s="3" customFormat="1" x14ac:dyDescent="0.15">
      <c r="A12" s="3" t="s">
        <v>13</v>
      </c>
      <c r="B12" s="3">
        <v>553920.21484001225</v>
      </c>
      <c r="D12" s="3" t="s">
        <v>64</v>
      </c>
      <c r="E12" s="3" t="s">
        <v>60</v>
      </c>
      <c r="F12" s="3">
        <f t="shared" si="0"/>
        <v>2.7734435155816022E-3</v>
      </c>
    </row>
    <row r="13" spans="1:7" s="3" customFormat="1" x14ac:dyDescent="0.15">
      <c r="A13" s="3" t="s">
        <v>14</v>
      </c>
      <c r="B13" s="3">
        <v>420888.34623923764</v>
      </c>
      <c r="D13" s="3" t="s">
        <v>64</v>
      </c>
      <c r="E13" s="3" t="s">
        <v>60</v>
      </c>
      <c r="F13" s="3">
        <f t="shared" si="0"/>
        <v>2.1066591802372261E-3</v>
      </c>
    </row>
    <row r="14" spans="1:7" s="3" customFormat="1" x14ac:dyDescent="0.15">
      <c r="A14" s="3" t="s">
        <v>15</v>
      </c>
      <c r="B14" s="3">
        <v>184640.07161333718</v>
      </c>
      <c r="D14" s="3" t="s">
        <v>64</v>
      </c>
      <c r="E14" s="3" t="s">
        <v>60</v>
      </c>
      <c r="F14" s="3">
        <f t="shared" si="0"/>
        <v>9.2362676997988875E-4</v>
      </c>
    </row>
    <row r="15" spans="1:7" s="3" customFormat="1" x14ac:dyDescent="0.15">
      <c r="A15" s="3" t="s">
        <v>16</v>
      </c>
      <c r="B15" s="3">
        <v>243000.00000000012</v>
      </c>
      <c r="D15" s="3" t="s">
        <v>64</v>
      </c>
      <c r="E15" s="3" t="s">
        <v>60</v>
      </c>
      <c r="F15" s="3">
        <f t="shared" si="0"/>
        <v>1.2157387109164313E-3</v>
      </c>
    </row>
    <row r="16" spans="1:7" s="3" customFormat="1" x14ac:dyDescent="0.15">
      <c r="A16" s="3" t="s">
        <v>17</v>
      </c>
      <c r="B16" s="3">
        <v>319805.98514745617</v>
      </c>
      <c r="D16" s="3" t="s">
        <v>64</v>
      </c>
      <c r="E16" s="3" t="s">
        <v>60</v>
      </c>
      <c r="F16" s="3">
        <f t="shared" si="0"/>
        <v>1.6003097385769126E-3</v>
      </c>
    </row>
    <row r="17" spans="1:6" s="3" customFormat="1" x14ac:dyDescent="0.15">
      <c r="A17" s="3" t="s">
        <v>18</v>
      </c>
      <c r="B17" s="3">
        <v>959417.95544236631</v>
      </c>
      <c r="D17" s="3" t="s">
        <v>64</v>
      </c>
      <c r="E17" s="3" t="s">
        <v>60</v>
      </c>
      <c r="F17" s="3">
        <f t="shared" si="0"/>
        <v>4.8086327422652035E-3</v>
      </c>
    </row>
    <row r="18" spans="1:6" s="3" customFormat="1" x14ac:dyDescent="0.15">
      <c r="A18" s="3" t="s">
        <v>19</v>
      </c>
      <c r="B18" s="3">
        <v>106601.99504915194</v>
      </c>
      <c r="D18" s="3" t="s">
        <v>64</v>
      </c>
      <c r="E18" s="3" t="s">
        <v>60</v>
      </c>
      <c r="F18" s="3">
        <f t="shared" si="0"/>
        <v>5.3315207555876829E-4</v>
      </c>
    </row>
    <row r="19" spans="1:6" s="3" customFormat="1" x14ac:dyDescent="0.15">
      <c r="A19" s="3" t="s">
        <v>20</v>
      </c>
      <c r="B19" s="3">
        <v>319805.98514745617</v>
      </c>
      <c r="D19" s="3" t="s">
        <v>64</v>
      </c>
      <c r="E19" s="3" t="s">
        <v>60</v>
      </c>
      <c r="F19" s="3">
        <f t="shared" si="0"/>
        <v>1.6003097385769126E-3</v>
      </c>
    </row>
    <row r="20" spans="1:6" x14ac:dyDescent="0.15">
      <c r="A20" t="s">
        <v>21</v>
      </c>
      <c r="C20">
        <v>20515.563512593042</v>
      </c>
      <c r="D20" t="s">
        <v>64</v>
      </c>
      <c r="E20" t="s">
        <v>60</v>
      </c>
      <c r="F20">
        <f>-LN(1-C20*0.002/400000)</f>
        <v>1.0258307902709177E-4</v>
      </c>
    </row>
    <row r="21" spans="1:6" x14ac:dyDescent="0.15">
      <c r="A21" t="s">
        <v>22</v>
      </c>
      <c r="C21">
        <v>243000.00000000012</v>
      </c>
      <c r="D21" t="s">
        <v>64</v>
      </c>
      <c r="E21" t="s">
        <v>60</v>
      </c>
      <c r="F21">
        <f t="shared" ref="F21:F37" si="1">-LN(1-C21*0.002/400000)</f>
        <v>1.2157387109164313E-3</v>
      </c>
    </row>
    <row r="22" spans="1:6" x14ac:dyDescent="0.15">
      <c r="A22" t="s">
        <v>23</v>
      </c>
      <c r="C22">
        <v>184640.07161333718</v>
      </c>
      <c r="D22" t="s">
        <v>64</v>
      </c>
      <c r="E22" t="s">
        <v>60</v>
      </c>
      <c r="F22">
        <f t="shared" si="1"/>
        <v>9.2362676997988875E-4</v>
      </c>
    </row>
    <row r="23" spans="1:6" x14ac:dyDescent="0.15">
      <c r="A23" t="s">
        <v>24</v>
      </c>
      <c r="C23">
        <v>959417.95544236631</v>
      </c>
      <c r="D23" t="s">
        <v>64</v>
      </c>
      <c r="E23" t="s">
        <v>60</v>
      </c>
      <c r="F23">
        <f t="shared" si="1"/>
        <v>4.8086327422652035E-3</v>
      </c>
    </row>
    <row r="24" spans="1:6" x14ac:dyDescent="0.15">
      <c r="A24" t="s">
        <v>25</v>
      </c>
      <c r="C24">
        <v>184640.07161333718</v>
      </c>
      <c r="D24" t="s">
        <v>64</v>
      </c>
      <c r="E24" t="s">
        <v>60</v>
      </c>
      <c r="F24">
        <f t="shared" si="1"/>
        <v>9.2362676997988875E-4</v>
      </c>
    </row>
    <row r="25" spans="1:6" x14ac:dyDescent="0.15">
      <c r="A25" t="s">
        <v>26</v>
      </c>
      <c r="C25">
        <v>553920.21484001225</v>
      </c>
      <c r="D25" t="s">
        <v>64</v>
      </c>
      <c r="E25" t="s">
        <v>60</v>
      </c>
      <c r="F25">
        <f t="shared" si="1"/>
        <v>2.7734435155816022E-3</v>
      </c>
    </row>
    <row r="26" spans="1:6" x14ac:dyDescent="0.15">
      <c r="A26" t="s">
        <v>27</v>
      </c>
      <c r="C26">
        <v>1262665.038717712</v>
      </c>
      <c r="D26" t="s">
        <v>64</v>
      </c>
      <c r="E26" t="s">
        <v>60</v>
      </c>
      <c r="F26">
        <f t="shared" si="1"/>
        <v>6.3333385092679698E-3</v>
      </c>
    </row>
    <row r="27" spans="1:6" x14ac:dyDescent="0.15">
      <c r="A27" t="s">
        <v>28</v>
      </c>
      <c r="C27">
        <v>184640.07161333718</v>
      </c>
      <c r="D27" t="s">
        <v>64</v>
      </c>
      <c r="E27" t="s">
        <v>60</v>
      </c>
      <c r="F27">
        <f t="shared" si="1"/>
        <v>9.2362676997988875E-4</v>
      </c>
    </row>
    <row r="28" spans="1:6" x14ac:dyDescent="0.15">
      <c r="A28" t="s">
        <v>29</v>
      </c>
      <c r="C28">
        <v>243000.00000000012</v>
      </c>
      <c r="D28" t="s">
        <v>64</v>
      </c>
      <c r="E28" t="s">
        <v>60</v>
      </c>
      <c r="F28">
        <f t="shared" si="1"/>
        <v>1.2157387109164313E-3</v>
      </c>
    </row>
    <row r="29" spans="1:6" x14ac:dyDescent="0.15">
      <c r="A29" t="s">
        <v>30</v>
      </c>
      <c r="C29">
        <v>15588.457268119912</v>
      </c>
      <c r="D29" t="s">
        <v>64</v>
      </c>
      <c r="E29" t="s">
        <v>60</v>
      </c>
      <c r="F29">
        <f t="shared" si="1"/>
        <v>7.7945323998457756E-5</v>
      </c>
    </row>
    <row r="30" spans="1:6" x14ac:dyDescent="0.15">
      <c r="A30" t="s">
        <v>31</v>
      </c>
      <c r="C30">
        <v>140296.1154130793</v>
      </c>
      <c r="D30" t="s">
        <v>64</v>
      </c>
      <c r="E30" t="s">
        <v>60</v>
      </c>
      <c r="F30">
        <f t="shared" si="1"/>
        <v>7.0172672968634765E-4</v>
      </c>
    </row>
    <row r="31" spans="1:6" x14ac:dyDescent="0.15">
      <c r="A31" t="s">
        <v>32</v>
      </c>
      <c r="C31">
        <v>420888.34623923764</v>
      </c>
      <c r="D31" t="s">
        <v>64</v>
      </c>
      <c r="E31" t="s">
        <v>60</v>
      </c>
      <c r="F31">
        <f t="shared" si="1"/>
        <v>2.1066591802372261E-3</v>
      </c>
    </row>
    <row r="32" spans="1:6" x14ac:dyDescent="0.15">
      <c r="A32" t="s">
        <v>33</v>
      </c>
      <c r="C32">
        <v>1262665.038717712</v>
      </c>
      <c r="D32" t="s">
        <v>64</v>
      </c>
      <c r="E32" t="s">
        <v>60</v>
      </c>
      <c r="F32">
        <f t="shared" si="1"/>
        <v>6.3333385092679698E-3</v>
      </c>
    </row>
    <row r="33" spans="1:7" x14ac:dyDescent="0.15">
      <c r="A33" t="s">
        <v>34</v>
      </c>
      <c r="C33">
        <v>140296.1154130793</v>
      </c>
      <c r="D33" t="s">
        <v>64</v>
      </c>
      <c r="E33" t="s">
        <v>60</v>
      </c>
      <c r="F33">
        <f t="shared" si="1"/>
        <v>7.0172672968634765E-4</v>
      </c>
    </row>
    <row r="34" spans="1:7" x14ac:dyDescent="0.15">
      <c r="A34" t="s">
        <v>35</v>
      </c>
      <c r="C34">
        <v>420888.34623923764</v>
      </c>
      <c r="D34" t="s">
        <v>64</v>
      </c>
      <c r="E34" t="s">
        <v>60</v>
      </c>
      <c r="F34">
        <f t="shared" si="1"/>
        <v>2.1066591802372261E-3</v>
      </c>
    </row>
    <row r="35" spans="1:7" x14ac:dyDescent="0.15">
      <c r="A35" t="s">
        <v>36</v>
      </c>
      <c r="C35">
        <v>243000.00000000012</v>
      </c>
      <c r="D35" t="s">
        <v>64</v>
      </c>
      <c r="E35" t="s">
        <v>60</v>
      </c>
      <c r="F35">
        <f t="shared" si="1"/>
        <v>1.2157387109164313E-3</v>
      </c>
    </row>
    <row r="36" spans="1:7" x14ac:dyDescent="0.15">
      <c r="A36" t="s">
        <v>37</v>
      </c>
      <c r="C36">
        <v>81000.000000000087</v>
      </c>
      <c r="D36" t="s">
        <v>64</v>
      </c>
      <c r="E36" t="s">
        <v>60</v>
      </c>
      <c r="F36">
        <f t="shared" si="1"/>
        <v>4.0508203465009195E-4</v>
      </c>
    </row>
    <row r="37" spans="1:7" x14ac:dyDescent="0.15">
      <c r="A37" t="s">
        <v>38</v>
      </c>
      <c r="C37">
        <v>319805.98514745617</v>
      </c>
      <c r="D37" t="s">
        <v>64</v>
      </c>
      <c r="E37" t="s">
        <v>60</v>
      </c>
      <c r="F37">
        <f t="shared" si="1"/>
        <v>1.6003097385769126E-3</v>
      </c>
    </row>
    <row r="38" spans="1:7" s="3" customFormat="1" ht="16" x14ac:dyDescent="0.2">
      <c r="A38" s="3" t="s">
        <v>2</v>
      </c>
      <c r="B38" s="5">
        <v>23170475.005920835</v>
      </c>
      <c r="C38" s="5">
        <v>4096000.0000000033</v>
      </c>
      <c r="D38" s="3" t="s">
        <v>65</v>
      </c>
      <c r="E38" s="3" t="s">
        <v>61</v>
      </c>
      <c r="F38" s="3">
        <f>-LN(1-B38*0.002/400000)</f>
        <v>0.12313123371402318</v>
      </c>
      <c r="G38" s="3">
        <f>-LN(1-C38*0.002/400000)</f>
        <v>2.0692623225089423E-2</v>
      </c>
    </row>
    <row r="39" spans="1:7" s="3" customFormat="1" ht="16" x14ac:dyDescent="0.2">
      <c r="A39" s="3" t="s">
        <v>4</v>
      </c>
      <c r="B39" s="5">
        <v>5792618.7514802078</v>
      </c>
      <c r="C39" s="5">
        <v>11585237.502960395</v>
      </c>
      <c r="D39" s="3" t="s">
        <v>65</v>
      </c>
      <c r="E39" s="3" t="s">
        <v>61</v>
      </c>
      <c r="F39" s="3">
        <f t="shared" ref="F39:F45" si="2">-LN(1-B39*0.002/400000)</f>
        <v>2.9390802924343044E-2</v>
      </c>
      <c r="G39" s="3">
        <f t="shared" ref="G39:G45" si="3">-LN(1-C39*0.002/400000)</f>
        <v>5.9671650272568925E-2</v>
      </c>
    </row>
    <row r="40" spans="1:7" s="3" customFormat="1" ht="16" x14ac:dyDescent="0.2">
      <c r="A40" s="3" t="s">
        <v>6</v>
      </c>
      <c r="B40" s="5">
        <v>2896309.3757401034</v>
      </c>
      <c r="C40" s="5">
        <v>2048000.0000000014</v>
      </c>
      <c r="D40" s="3" t="s">
        <v>65</v>
      </c>
      <c r="E40" s="3" t="s">
        <v>61</v>
      </c>
      <c r="F40" s="3">
        <f t="shared" si="2"/>
        <v>1.4587427936254371E-2</v>
      </c>
      <c r="G40" s="3">
        <f t="shared" si="3"/>
        <v>1.0292789485432283E-2</v>
      </c>
    </row>
    <row r="41" spans="1:7" s="3" customFormat="1" ht="16" x14ac:dyDescent="0.2">
      <c r="A41" s="3" t="s">
        <v>8</v>
      </c>
      <c r="B41" s="5">
        <v>90509.667991878188</v>
      </c>
      <c r="C41" s="5">
        <v>181019.33598375641</v>
      </c>
      <c r="D41" s="3" t="s">
        <v>65</v>
      </c>
      <c r="E41" s="3" t="s">
        <v>61</v>
      </c>
      <c r="F41" s="3">
        <f t="shared" si="2"/>
        <v>4.5265077086379172E-4</v>
      </c>
      <c r="G41" s="3">
        <f t="shared" si="3"/>
        <v>9.0550652723840922E-4</v>
      </c>
    </row>
    <row r="42" spans="1:7" s="3" customFormat="1" ht="16" x14ac:dyDescent="0.2">
      <c r="A42" s="3" t="s">
        <v>13</v>
      </c>
      <c r="B42" s="5">
        <v>1448154.6878700543</v>
      </c>
      <c r="C42" s="5">
        <v>1448154.6878700543</v>
      </c>
      <c r="D42" s="3" t="s">
        <v>65</v>
      </c>
      <c r="E42" s="3" t="s">
        <v>61</v>
      </c>
      <c r="F42" s="3">
        <f t="shared" si="2"/>
        <v>7.2671150722373491E-3</v>
      </c>
      <c r="G42" s="3">
        <f t="shared" si="3"/>
        <v>7.2671150722373491E-3</v>
      </c>
    </row>
    <row r="43" spans="1:7" s="3" customFormat="1" ht="16" x14ac:dyDescent="0.2">
      <c r="A43" s="3" t="s">
        <v>15</v>
      </c>
      <c r="B43" s="5">
        <v>5792618.7514802078</v>
      </c>
      <c r="C43" s="5">
        <v>512000.00000000116</v>
      </c>
      <c r="D43" s="3" t="s">
        <v>65</v>
      </c>
      <c r="E43" s="3" t="s">
        <v>61</v>
      </c>
      <c r="F43" s="3">
        <f t="shared" si="2"/>
        <v>2.9390802924343044E-2</v>
      </c>
      <c r="G43" s="3">
        <f t="shared" si="3"/>
        <v>2.5632824031647954E-3</v>
      </c>
    </row>
    <row r="44" spans="1:7" s="3" customFormat="1" ht="16" x14ac:dyDescent="0.2">
      <c r="A44" s="3" t="s">
        <v>17</v>
      </c>
      <c r="B44" s="5">
        <v>2896309.3757401034</v>
      </c>
      <c r="C44" s="5">
        <v>512000.00000000116</v>
      </c>
      <c r="D44" s="3" t="s">
        <v>65</v>
      </c>
      <c r="E44" s="3" t="s">
        <v>61</v>
      </c>
      <c r="F44" s="3">
        <f t="shared" si="2"/>
        <v>1.4587427936254371E-2</v>
      </c>
      <c r="G44" s="3">
        <f t="shared" si="3"/>
        <v>2.5632824031647954E-3</v>
      </c>
    </row>
    <row r="45" spans="1:7" s="3" customFormat="1" ht="16" x14ac:dyDescent="0.2">
      <c r="A45" s="3" t="s">
        <v>19</v>
      </c>
      <c r="B45" s="5">
        <v>362038.67196751351</v>
      </c>
      <c r="C45" s="5">
        <v>181019.33598375641</v>
      </c>
      <c r="D45" s="3" t="s">
        <v>65</v>
      </c>
      <c r="E45" s="3" t="s">
        <v>61</v>
      </c>
      <c r="F45" s="3">
        <f t="shared" si="2"/>
        <v>1.8118337397396791E-3</v>
      </c>
      <c r="G45" s="3">
        <f t="shared" si="3"/>
        <v>9.0550652723840922E-4</v>
      </c>
    </row>
    <row r="46" spans="1:7" ht="16" x14ac:dyDescent="0.2">
      <c r="A46" t="s">
        <v>22</v>
      </c>
      <c r="B46" s="1">
        <v>724077.34393502702</v>
      </c>
      <c r="C46" s="1">
        <v>256000.00000000058</v>
      </c>
      <c r="D46" t="s">
        <v>65</v>
      </c>
      <c r="E46" t="s">
        <v>61</v>
      </c>
      <c r="F46">
        <f>-LN(1-C46*0.002/400000)</f>
        <v>1.2808198997223911E-3</v>
      </c>
      <c r="G46" s="6">
        <f>-LN(1-B46*0.002/400000)</f>
        <v>3.6269561804605104E-3</v>
      </c>
    </row>
    <row r="47" spans="1:7" ht="16" x14ac:dyDescent="0.2">
      <c r="A47" t="s">
        <v>24</v>
      </c>
      <c r="B47" s="1">
        <v>724077.34393502702</v>
      </c>
      <c r="C47" s="1">
        <v>724077.34393502702</v>
      </c>
      <c r="D47" t="s">
        <v>65</v>
      </c>
      <c r="E47" t="s">
        <v>61</v>
      </c>
      <c r="F47">
        <f t="shared" ref="F47:F53" si="4">-LN(1-C47*0.002/400000)</f>
        <v>3.6269561804605104E-3</v>
      </c>
      <c r="G47" s="6">
        <f t="shared" ref="G47:G53" si="5">-LN(1-B47*0.002/400000)</f>
        <v>3.6269561804605104E-3</v>
      </c>
    </row>
    <row r="48" spans="1:7" ht="16" x14ac:dyDescent="0.2">
      <c r="A48" t="s">
        <v>26</v>
      </c>
      <c r="B48" s="1">
        <v>1024000.0000000024</v>
      </c>
      <c r="C48" s="1">
        <v>8192000.0000000075</v>
      </c>
      <c r="D48" t="s">
        <v>65</v>
      </c>
      <c r="E48" t="s">
        <v>61</v>
      </c>
      <c r="F48">
        <f t="shared" si="4"/>
        <v>4.1822494853838661E-2</v>
      </c>
      <c r="G48" s="6">
        <f t="shared" si="5"/>
        <v>5.1331521117480754E-3</v>
      </c>
    </row>
    <row r="49" spans="1:7" ht="16" x14ac:dyDescent="0.2">
      <c r="A49" t="s">
        <v>28</v>
      </c>
      <c r="B49" s="1">
        <v>2896309.3757401034</v>
      </c>
      <c r="C49" s="1">
        <v>181019.33598375641</v>
      </c>
      <c r="D49" t="s">
        <v>65</v>
      </c>
      <c r="E49" t="s">
        <v>61</v>
      </c>
      <c r="F49">
        <f t="shared" si="4"/>
        <v>9.0550652723840922E-4</v>
      </c>
      <c r="G49" s="6">
        <f t="shared" si="5"/>
        <v>1.4587427936254371E-2</v>
      </c>
    </row>
    <row r="50" spans="1:7" ht="16" x14ac:dyDescent="0.2">
      <c r="A50" t="s">
        <v>31</v>
      </c>
      <c r="B50" s="1">
        <v>2048000.0000000014</v>
      </c>
      <c r="C50" s="1">
        <v>181019.33598375641</v>
      </c>
      <c r="D50" t="s">
        <v>65</v>
      </c>
      <c r="E50" t="s">
        <v>61</v>
      </c>
      <c r="F50">
        <f t="shared" si="4"/>
        <v>9.0550652723840922E-4</v>
      </c>
      <c r="G50" s="6">
        <f t="shared" si="5"/>
        <v>1.0292789485432283E-2</v>
      </c>
    </row>
    <row r="51" spans="1:7" ht="16" x14ac:dyDescent="0.2">
      <c r="A51" t="s">
        <v>33</v>
      </c>
      <c r="B51" s="1">
        <v>724077.34393502702</v>
      </c>
      <c r="C51" s="1">
        <v>512000.00000000116</v>
      </c>
      <c r="D51" t="s">
        <v>65</v>
      </c>
      <c r="E51" t="s">
        <v>61</v>
      </c>
      <c r="F51">
        <f t="shared" si="4"/>
        <v>2.5632824031647954E-3</v>
      </c>
      <c r="G51" s="6">
        <f t="shared" si="5"/>
        <v>3.6269561804605104E-3</v>
      </c>
    </row>
    <row r="52" spans="1:7" ht="16" x14ac:dyDescent="0.2">
      <c r="A52" t="s">
        <v>35</v>
      </c>
      <c r="B52" s="1">
        <v>724077.34393502702</v>
      </c>
      <c r="C52" s="1">
        <v>1024000.0000000024</v>
      </c>
      <c r="D52" t="s">
        <v>65</v>
      </c>
      <c r="E52" t="s">
        <v>61</v>
      </c>
      <c r="F52">
        <f t="shared" si="4"/>
        <v>5.1331521117480754E-3</v>
      </c>
      <c r="G52" s="6">
        <f t="shared" si="5"/>
        <v>3.6269561804605104E-3</v>
      </c>
    </row>
    <row r="53" spans="1:7" ht="16" x14ac:dyDescent="0.2">
      <c r="A53" t="s">
        <v>37</v>
      </c>
      <c r="B53" s="1">
        <v>64000.000000000131</v>
      </c>
      <c r="C53" s="1">
        <v>181019.33598375641</v>
      </c>
      <c r="D53" t="s">
        <v>65</v>
      </c>
      <c r="E53" t="s">
        <v>61</v>
      </c>
      <c r="F53">
        <f t="shared" si="4"/>
        <v>9.0550652723840922E-4</v>
      </c>
      <c r="G53" s="6">
        <f t="shared" si="5"/>
        <v>3.2005121092527574E-4</v>
      </c>
    </row>
    <row r="54" spans="1:7" s="3" customFormat="1" x14ac:dyDescent="0.15">
      <c r="A54" s="3" t="s">
        <v>40</v>
      </c>
      <c r="B54" s="4">
        <v>724000</v>
      </c>
      <c r="C54" s="4">
        <v>724000</v>
      </c>
      <c r="D54" s="3" t="s">
        <v>66</v>
      </c>
      <c r="E54" s="3" t="s">
        <v>68</v>
      </c>
      <c r="F54" s="3">
        <f>-LN(1-B54*0.002/400000)</f>
        <v>3.6265680556986533E-3</v>
      </c>
      <c r="G54" s="3">
        <f>-LN(1-C54*0.002/400000)</f>
        <v>3.6265680556986533E-3</v>
      </c>
    </row>
    <row r="55" spans="1:7" s="3" customFormat="1" x14ac:dyDescent="0.15">
      <c r="A55" s="3" t="s">
        <v>41</v>
      </c>
      <c r="B55" s="4">
        <v>512000</v>
      </c>
      <c r="C55" s="4">
        <v>362000</v>
      </c>
      <c r="D55" s="3" t="s">
        <v>66</v>
      </c>
      <c r="E55" s="3" t="s">
        <v>68</v>
      </c>
      <c r="F55" s="3">
        <f t="shared" ref="F55:F63" si="6">-LN(1-B55*0.002/400000)</f>
        <v>2.5632824031647954E-3</v>
      </c>
      <c r="G55" s="3">
        <f t="shared" ref="G55:G63" si="7">-LN(1-C55*0.002/400000)</f>
        <v>1.8116400292674105E-3</v>
      </c>
    </row>
    <row r="56" spans="1:7" s="3" customFormat="1" x14ac:dyDescent="0.15">
      <c r="A56" s="3" t="s">
        <v>42</v>
      </c>
      <c r="B56" s="4">
        <v>1020000</v>
      </c>
      <c r="C56" s="4">
        <v>256000</v>
      </c>
      <c r="D56" s="3" t="s">
        <v>66</v>
      </c>
      <c r="E56" s="3" t="s">
        <v>68</v>
      </c>
      <c r="F56" s="3">
        <f t="shared" si="6"/>
        <v>5.1130493868230143E-3</v>
      </c>
      <c r="G56" s="3">
        <f t="shared" si="7"/>
        <v>1.2808198997223911E-3</v>
      </c>
    </row>
    <row r="57" spans="1:7" s="3" customFormat="1" x14ac:dyDescent="0.15">
      <c r="A57" s="3" t="s">
        <v>43</v>
      </c>
      <c r="B57" s="4">
        <v>512000</v>
      </c>
      <c r="C57" s="4">
        <v>90500</v>
      </c>
      <c r="D57" s="3" t="s">
        <v>66</v>
      </c>
      <c r="E57" s="3" t="s">
        <v>68</v>
      </c>
      <c r="F57" s="3">
        <f t="shared" si="6"/>
        <v>2.5632824031647954E-3</v>
      </c>
      <c r="G57" s="3">
        <f t="shared" si="7"/>
        <v>4.5260240901951956E-4</v>
      </c>
    </row>
    <row r="58" spans="1:7" s="3" customFormat="1" x14ac:dyDescent="0.15">
      <c r="A58" s="3" t="s">
        <v>44</v>
      </c>
      <c r="B58" s="4">
        <v>724000</v>
      </c>
      <c r="C58" s="4">
        <v>256000</v>
      </c>
      <c r="D58" s="3" t="s">
        <v>66</v>
      </c>
      <c r="E58" s="3" t="s">
        <v>68</v>
      </c>
      <c r="F58" s="3">
        <f t="shared" si="6"/>
        <v>3.6265680556986533E-3</v>
      </c>
      <c r="G58" s="3">
        <f t="shared" si="7"/>
        <v>1.2808198997223911E-3</v>
      </c>
    </row>
    <row r="59" spans="1:7" s="3" customFormat="1" x14ac:dyDescent="0.15">
      <c r="A59" s="3" t="s">
        <v>45</v>
      </c>
      <c r="B59" s="4">
        <v>1450000</v>
      </c>
      <c r="C59" s="4">
        <v>512000</v>
      </c>
      <c r="D59" s="3" t="s">
        <v>66</v>
      </c>
      <c r="E59" s="3" t="s">
        <v>68</v>
      </c>
      <c r="F59" s="3">
        <f t="shared" si="6"/>
        <v>7.276408970776185E-3</v>
      </c>
      <c r="G59" s="3">
        <f t="shared" si="7"/>
        <v>2.5632824031647954E-3</v>
      </c>
    </row>
    <row r="60" spans="1:7" s="3" customFormat="1" x14ac:dyDescent="0.15">
      <c r="A60" s="3" t="s">
        <v>46</v>
      </c>
      <c r="B60" s="4">
        <v>362000</v>
      </c>
      <c r="C60" s="4">
        <v>32000</v>
      </c>
      <c r="D60" s="3" t="s">
        <v>66</v>
      </c>
      <c r="E60" s="3" t="s">
        <v>68</v>
      </c>
      <c r="F60" s="3">
        <f t="shared" si="6"/>
        <v>1.8116400292674105E-3</v>
      </c>
      <c r="G60" s="3">
        <f t="shared" si="7"/>
        <v>1.600128013655462E-4</v>
      </c>
    </row>
    <row r="61" spans="1:7" s="3" customFormat="1" x14ac:dyDescent="0.15">
      <c r="A61" s="3" t="s">
        <v>47</v>
      </c>
      <c r="B61" s="4">
        <v>1020000</v>
      </c>
      <c r="C61" s="4">
        <v>45300</v>
      </c>
      <c r="D61" s="3" t="s">
        <v>66</v>
      </c>
      <c r="E61" s="3" t="s">
        <v>68</v>
      </c>
      <c r="F61" s="3">
        <f t="shared" si="6"/>
        <v>5.1130493868230143E-3</v>
      </c>
      <c r="G61" s="3">
        <f t="shared" si="7"/>
        <v>2.2652565499899633E-4</v>
      </c>
    </row>
    <row r="62" spans="1:7" s="3" customFormat="1" x14ac:dyDescent="0.15">
      <c r="A62" s="3" t="s">
        <v>48</v>
      </c>
      <c r="B62" s="4">
        <v>512000</v>
      </c>
      <c r="C62" s="4">
        <v>45300</v>
      </c>
      <c r="D62" s="3" t="s">
        <v>66</v>
      </c>
      <c r="E62" s="3" t="s">
        <v>68</v>
      </c>
      <c r="F62" s="3">
        <f t="shared" si="6"/>
        <v>2.5632824031647954E-3</v>
      </c>
      <c r="G62" s="3">
        <f t="shared" si="7"/>
        <v>2.2652565499899633E-4</v>
      </c>
    </row>
    <row r="63" spans="1:7" s="3" customFormat="1" x14ac:dyDescent="0.15">
      <c r="A63" s="3" t="s">
        <v>49</v>
      </c>
      <c r="B63" s="4">
        <v>512000</v>
      </c>
      <c r="C63" s="4">
        <v>128000</v>
      </c>
      <c r="D63" s="3" t="s">
        <v>66</v>
      </c>
      <c r="E63" s="3" t="s">
        <v>68</v>
      </c>
      <c r="F63" s="3">
        <f t="shared" si="6"/>
        <v>2.5632824031647954E-3</v>
      </c>
      <c r="G63" s="3">
        <f t="shared" si="7"/>
        <v>6.4020488742327181E-4</v>
      </c>
    </row>
    <row r="64" spans="1:7" x14ac:dyDescent="0.15">
      <c r="A64" t="s">
        <v>50</v>
      </c>
      <c r="B64" s="2">
        <v>256000</v>
      </c>
      <c r="C64" s="2">
        <v>256000</v>
      </c>
      <c r="D64" t="s">
        <v>66</v>
      </c>
      <c r="E64" t="s">
        <v>68</v>
      </c>
      <c r="F64">
        <f>-LN(1-C64*0.002/400000)</f>
        <v>1.2808198997223911E-3</v>
      </c>
      <c r="G64" s="6">
        <f>-LN(1-B64*0.002/400000)</f>
        <v>1.2808198997223911E-3</v>
      </c>
    </row>
    <row r="65" spans="1:7" x14ac:dyDescent="0.15">
      <c r="A65" t="s">
        <v>51</v>
      </c>
      <c r="B65" s="2">
        <v>1020000</v>
      </c>
      <c r="C65" s="2">
        <v>512000</v>
      </c>
      <c r="D65" t="s">
        <v>66</v>
      </c>
      <c r="E65" t="s">
        <v>68</v>
      </c>
      <c r="F65">
        <f t="shared" ref="F65:F73" si="8">-LN(1-C65*0.002/400000)</f>
        <v>2.5632824031647954E-3</v>
      </c>
      <c r="G65" s="6">
        <f t="shared" ref="G65:G73" si="9">-LN(1-B65*0.002/400000)</f>
        <v>5.1130493868230143E-3</v>
      </c>
    </row>
    <row r="66" spans="1:7" x14ac:dyDescent="0.15">
      <c r="A66" t="s">
        <v>52</v>
      </c>
      <c r="B66" s="2">
        <v>5790000</v>
      </c>
      <c r="C66" s="2">
        <v>1450000</v>
      </c>
      <c r="D66" t="s">
        <v>66</v>
      </c>
      <c r="E66" t="s">
        <v>68</v>
      </c>
      <c r="F66">
        <f t="shared" si="8"/>
        <v>7.276408970776185E-3</v>
      </c>
      <c r="G66" s="6">
        <f t="shared" si="9"/>
        <v>2.9377318710676701E-2</v>
      </c>
    </row>
    <row r="67" spans="1:7" x14ac:dyDescent="0.15">
      <c r="A67" t="s">
        <v>53</v>
      </c>
      <c r="B67" s="2">
        <v>2900000</v>
      </c>
      <c r="C67" s="2">
        <v>1020000</v>
      </c>
      <c r="D67" t="s">
        <v>66</v>
      </c>
      <c r="E67" t="s">
        <v>68</v>
      </c>
      <c r="F67">
        <f t="shared" si="8"/>
        <v>5.1130493868230143E-3</v>
      </c>
      <c r="G67" s="6">
        <f t="shared" si="9"/>
        <v>1.4606152389362114E-2</v>
      </c>
    </row>
    <row r="68" spans="1:7" x14ac:dyDescent="0.15">
      <c r="A68" t="s">
        <v>54</v>
      </c>
      <c r="B68" s="2">
        <v>2050000</v>
      </c>
      <c r="C68" s="2">
        <v>1020000</v>
      </c>
      <c r="D68" t="s">
        <v>66</v>
      </c>
      <c r="E68" t="s">
        <v>68</v>
      </c>
      <c r="F68">
        <f t="shared" si="8"/>
        <v>5.1130493868230143E-3</v>
      </c>
      <c r="G68" s="6">
        <f t="shared" si="9"/>
        <v>1.0302892995897034E-2</v>
      </c>
    </row>
    <row r="69" spans="1:7" x14ac:dyDescent="0.15">
      <c r="A69" t="s">
        <v>55</v>
      </c>
      <c r="B69" s="2">
        <v>256000</v>
      </c>
      <c r="C69" s="2">
        <v>724000</v>
      </c>
      <c r="D69" t="s">
        <v>66</v>
      </c>
      <c r="E69" t="s">
        <v>68</v>
      </c>
      <c r="F69">
        <f t="shared" si="8"/>
        <v>3.6265680556986533E-3</v>
      </c>
      <c r="G69" s="6">
        <f t="shared" si="9"/>
        <v>1.2808198997223911E-3</v>
      </c>
    </row>
    <row r="70" spans="1:7" x14ac:dyDescent="0.15">
      <c r="A70" t="s">
        <v>56</v>
      </c>
      <c r="B70" s="2">
        <v>724000</v>
      </c>
      <c r="C70" s="2">
        <v>1450000</v>
      </c>
      <c r="D70" t="s">
        <v>66</v>
      </c>
      <c r="E70" t="s">
        <v>68</v>
      </c>
      <c r="F70">
        <f t="shared" si="8"/>
        <v>7.276408970776185E-3</v>
      </c>
      <c r="G70" s="6">
        <f t="shared" si="9"/>
        <v>3.6265680556986533E-3</v>
      </c>
    </row>
    <row r="71" spans="1:7" x14ac:dyDescent="0.15">
      <c r="A71" t="s">
        <v>57</v>
      </c>
      <c r="B71" s="2">
        <v>5790000</v>
      </c>
      <c r="C71" s="2">
        <v>4100000</v>
      </c>
      <c r="D71" t="s">
        <v>66</v>
      </c>
      <c r="E71" t="s">
        <v>68</v>
      </c>
      <c r="F71">
        <f t="shared" si="8"/>
        <v>2.071304159754157E-2</v>
      </c>
      <c r="G71" s="6">
        <f t="shared" si="9"/>
        <v>2.9377318710676701E-2</v>
      </c>
    </row>
    <row r="72" spans="1:7" x14ac:dyDescent="0.15">
      <c r="A72" t="s">
        <v>58</v>
      </c>
      <c r="B72" s="2">
        <v>5790000</v>
      </c>
      <c r="C72" s="2">
        <v>1450000</v>
      </c>
      <c r="D72" t="s">
        <v>66</v>
      </c>
      <c r="E72" t="s">
        <v>68</v>
      </c>
      <c r="F72">
        <f t="shared" si="8"/>
        <v>7.276408970776185E-3</v>
      </c>
      <c r="G72" s="6">
        <f t="shared" si="9"/>
        <v>2.9377318710676701E-2</v>
      </c>
    </row>
    <row r="73" spans="1:7" x14ac:dyDescent="0.15">
      <c r="A73" t="s">
        <v>59</v>
      </c>
      <c r="B73" s="2">
        <v>4100000</v>
      </c>
      <c r="C73" s="2">
        <v>4100000</v>
      </c>
      <c r="D73" t="s">
        <v>66</v>
      </c>
      <c r="E73" t="s">
        <v>68</v>
      </c>
      <c r="F73">
        <f t="shared" si="8"/>
        <v>2.071304159754157E-2</v>
      </c>
      <c r="G73" s="6">
        <f t="shared" si="9"/>
        <v>2.071304159754157E-2</v>
      </c>
    </row>
    <row r="74" spans="1:7" s="7" customFormat="1" x14ac:dyDescent="0.15">
      <c r="A74" s="7" t="s">
        <v>69</v>
      </c>
      <c r="B74" s="8">
        <v>256000</v>
      </c>
      <c r="C74" s="8">
        <v>90500</v>
      </c>
      <c r="D74" s="7" t="s">
        <v>66</v>
      </c>
      <c r="E74" s="7" t="s">
        <v>68</v>
      </c>
    </row>
    <row r="75" spans="1:7" s="3" customFormat="1" x14ac:dyDescent="0.15">
      <c r="A75" s="3" t="s">
        <v>40</v>
      </c>
      <c r="B75" s="4">
        <v>2050000</v>
      </c>
      <c r="C75" s="4">
        <v>1020000</v>
      </c>
      <c r="D75" s="3" t="s">
        <v>67</v>
      </c>
      <c r="E75" s="3" t="s">
        <v>68</v>
      </c>
      <c r="F75" s="3">
        <f>-LN(1-B75*0.002/400000)</f>
        <v>1.0302892995897034E-2</v>
      </c>
      <c r="G75" s="3">
        <f>-LN(1-C75*0.002/400000)</f>
        <v>5.1130493868230143E-3</v>
      </c>
    </row>
    <row r="76" spans="1:7" s="3" customFormat="1" x14ac:dyDescent="0.15">
      <c r="A76" s="3" t="s">
        <v>41</v>
      </c>
      <c r="B76" s="4">
        <v>362000</v>
      </c>
      <c r="C76" s="4">
        <v>362000</v>
      </c>
      <c r="D76" s="3" t="s">
        <v>67</v>
      </c>
      <c r="E76" s="3" t="s">
        <v>68</v>
      </c>
      <c r="F76" s="3">
        <f t="shared" ref="F76:F84" si="10">-LN(1-B76*0.002/400000)</f>
        <v>1.8116400292674105E-3</v>
      </c>
      <c r="G76" s="3">
        <f t="shared" ref="G76:G84" si="11">-LN(1-C76*0.002/400000)</f>
        <v>1.8116400292674105E-3</v>
      </c>
    </row>
    <row r="77" spans="1:7" s="3" customFormat="1" x14ac:dyDescent="0.15">
      <c r="A77" s="3" t="s">
        <v>42</v>
      </c>
      <c r="B77" s="4">
        <v>512000</v>
      </c>
      <c r="C77" s="4">
        <v>512000</v>
      </c>
      <c r="D77" s="3" t="s">
        <v>67</v>
      </c>
      <c r="E77" s="3" t="s">
        <v>68</v>
      </c>
      <c r="F77" s="3">
        <f t="shared" si="10"/>
        <v>2.5632824031647954E-3</v>
      </c>
      <c r="G77" s="3">
        <f t="shared" si="11"/>
        <v>2.5632824031647954E-3</v>
      </c>
    </row>
    <row r="78" spans="1:7" s="3" customFormat="1" x14ac:dyDescent="0.15">
      <c r="A78" s="3" t="s">
        <v>43</v>
      </c>
      <c r="B78" s="4">
        <v>181000</v>
      </c>
      <c r="C78" s="4">
        <v>64000</v>
      </c>
      <c r="D78" s="3" t="s">
        <v>67</v>
      </c>
      <c r="E78" s="3" t="s">
        <v>68</v>
      </c>
      <c r="F78" s="3">
        <f t="shared" si="10"/>
        <v>9.0540975974040831E-4</v>
      </c>
      <c r="G78" s="3">
        <f t="shared" si="11"/>
        <v>3.2005121092527574E-4</v>
      </c>
    </row>
    <row r="79" spans="1:7" s="3" customFormat="1" x14ac:dyDescent="0.15">
      <c r="A79" s="3" t="s">
        <v>44</v>
      </c>
      <c r="B79" s="4">
        <v>1020000</v>
      </c>
      <c r="C79" s="4">
        <v>362000</v>
      </c>
      <c r="D79" s="3" t="s">
        <v>67</v>
      </c>
      <c r="E79" s="3" t="s">
        <v>68</v>
      </c>
      <c r="F79" s="3">
        <f t="shared" si="10"/>
        <v>5.1130493868230143E-3</v>
      </c>
      <c r="G79" s="3">
        <f t="shared" si="11"/>
        <v>1.8116400292674105E-3</v>
      </c>
    </row>
    <row r="80" spans="1:7" s="3" customFormat="1" x14ac:dyDescent="0.15">
      <c r="A80" s="3" t="s">
        <v>45</v>
      </c>
      <c r="B80" s="4">
        <v>1450000</v>
      </c>
      <c r="C80" s="4">
        <v>1450000</v>
      </c>
      <c r="D80" s="3" t="s">
        <v>67</v>
      </c>
      <c r="E80" s="3" t="s">
        <v>68</v>
      </c>
      <c r="F80" s="3">
        <f t="shared" si="10"/>
        <v>7.276408970776185E-3</v>
      </c>
      <c r="G80" s="3">
        <f t="shared" si="11"/>
        <v>7.276408970776185E-3</v>
      </c>
    </row>
    <row r="81" spans="1:7" s="3" customFormat="1" x14ac:dyDescent="0.15">
      <c r="A81" s="3" t="s">
        <v>46</v>
      </c>
      <c r="B81" s="4">
        <v>724000</v>
      </c>
      <c r="C81" s="4">
        <v>128000</v>
      </c>
      <c r="D81" s="3" t="s">
        <v>67</v>
      </c>
      <c r="E81" s="3" t="s">
        <v>68</v>
      </c>
      <c r="F81" s="3">
        <f t="shared" si="10"/>
        <v>3.6265680556986533E-3</v>
      </c>
      <c r="G81" s="3">
        <f t="shared" si="11"/>
        <v>6.4020488742327181E-4</v>
      </c>
    </row>
    <row r="82" spans="1:7" s="3" customFormat="1" x14ac:dyDescent="0.15">
      <c r="A82" s="3" t="s">
        <v>47</v>
      </c>
      <c r="B82" s="4">
        <v>90500</v>
      </c>
      <c r="C82" s="4">
        <v>45300</v>
      </c>
      <c r="D82" s="3" t="s">
        <v>67</v>
      </c>
      <c r="E82" s="3" t="s">
        <v>68</v>
      </c>
      <c r="F82" s="3">
        <f t="shared" si="10"/>
        <v>4.5260240901951956E-4</v>
      </c>
      <c r="G82" s="3">
        <f t="shared" si="11"/>
        <v>2.2652565499899633E-4</v>
      </c>
    </row>
    <row r="83" spans="1:7" s="3" customFormat="1" x14ac:dyDescent="0.15">
      <c r="A83" s="3" t="s">
        <v>48</v>
      </c>
      <c r="B83" s="4">
        <v>181000</v>
      </c>
      <c r="C83" s="4">
        <v>45300</v>
      </c>
      <c r="D83" s="3" t="s">
        <v>67</v>
      </c>
      <c r="E83" s="3" t="s">
        <v>68</v>
      </c>
      <c r="F83" s="3">
        <f t="shared" si="10"/>
        <v>9.0540975974040831E-4</v>
      </c>
      <c r="G83" s="3">
        <f t="shared" si="11"/>
        <v>2.2652565499899633E-4</v>
      </c>
    </row>
    <row r="84" spans="1:7" s="3" customFormat="1" x14ac:dyDescent="0.15">
      <c r="A84" s="3" t="s">
        <v>49</v>
      </c>
      <c r="B84" s="4">
        <v>1020000</v>
      </c>
      <c r="C84" s="4">
        <v>128000</v>
      </c>
      <c r="D84" s="3" t="s">
        <v>67</v>
      </c>
      <c r="E84" s="3" t="s">
        <v>68</v>
      </c>
      <c r="F84" s="3">
        <f t="shared" si="10"/>
        <v>5.1130493868230143E-3</v>
      </c>
      <c r="G84" s="3">
        <f t="shared" si="11"/>
        <v>6.4020488742327181E-4</v>
      </c>
    </row>
    <row r="85" spans="1:7" x14ac:dyDescent="0.15">
      <c r="A85" t="s">
        <v>50</v>
      </c>
      <c r="B85" s="2">
        <v>256000</v>
      </c>
      <c r="C85" s="2">
        <v>362000</v>
      </c>
      <c r="D85" t="s">
        <v>67</v>
      </c>
      <c r="E85" t="s">
        <v>68</v>
      </c>
      <c r="F85">
        <f>-LN(1-C85*0.002/400000)</f>
        <v>1.8116400292674105E-3</v>
      </c>
      <c r="G85" s="6">
        <f>-LN(1-B85*0.002/400000)</f>
        <v>1.2808198997223911E-3</v>
      </c>
    </row>
    <row r="86" spans="1:7" x14ac:dyDescent="0.15">
      <c r="A86" t="s">
        <v>51</v>
      </c>
      <c r="B86" s="2">
        <v>512000</v>
      </c>
      <c r="C86" s="2">
        <v>512000</v>
      </c>
      <c r="D86" t="s">
        <v>67</v>
      </c>
      <c r="E86" t="s">
        <v>68</v>
      </c>
      <c r="F86">
        <f t="shared" ref="F86:F94" si="12">-LN(1-C86*0.002/400000)</f>
        <v>2.5632824031647954E-3</v>
      </c>
      <c r="G86" s="6">
        <f t="shared" ref="G86:G94" si="13">-LN(1-B86*0.002/400000)</f>
        <v>2.5632824031647954E-3</v>
      </c>
    </row>
    <row r="87" spans="1:7" x14ac:dyDescent="0.15">
      <c r="A87" t="s">
        <v>52</v>
      </c>
      <c r="B87" s="2">
        <v>2050000</v>
      </c>
      <c r="C87" s="2">
        <v>2900000</v>
      </c>
      <c r="D87" t="s">
        <v>67</v>
      </c>
      <c r="E87" t="s">
        <v>68</v>
      </c>
      <c r="F87">
        <f t="shared" si="12"/>
        <v>1.4606152389362114E-2</v>
      </c>
      <c r="G87" s="6">
        <f t="shared" si="13"/>
        <v>1.0302892995897034E-2</v>
      </c>
    </row>
    <row r="88" spans="1:7" x14ac:dyDescent="0.15">
      <c r="A88" t="s">
        <v>53</v>
      </c>
      <c r="B88" s="2">
        <v>2900000</v>
      </c>
      <c r="C88" s="2">
        <v>1020000</v>
      </c>
      <c r="D88" t="s">
        <v>67</v>
      </c>
      <c r="E88" t="s">
        <v>68</v>
      </c>
      <c r="F88">
        <f t="shared" si="12"/>
        <v>5.1130493868230143E-3</v>
      </c>
      <c r="G88" s="6">
        <f t="shared" si="13"/>
        <v>1.4606152389362114E-2</v>
      </c>
    </row>
    <row r="89" spans="1:7" x14ac:dyDescent="0.15">
      <c r="A89" t="s">
        <v>54</v>
      </c>
      <c r="B89" s="2">
        <v>4100000</v>
      </c>
      <c r="C89" s="2">
        <v>2900000</v>
      </c>
      <c r="D89" t="s">
        <v>67</v>
      </c>
      <c r="E89" t="s">
        <v>68</v>
      </c>
      <c r="F89">
        <f t="shared" si="12"/>
        <v>1.4606152389362114E-2</v>
      </c>
      <c r="G89" s="6">
        <f t="shared" si="13"/>
        <v>2.071304159754157E-2</v>
      </c>
    </row>
    <row r="90" spans="1:7" x14ac:dyDescent="0.15">
      <c r="A90" t="s">
        <v>55</v>
      </c>
      <c r="B90" s="2">
        <v>256000</v>
      </c>
      <c r="C90" s="2">
        <v>512000</v>
      </c>
      <c r="D90" t="s">
        <v>67</v>
      </c>
      <c r="E90" t="s">
        <v>68</v>
      </c>
      <c r="F90">
        <f t="shared" si="12"/>
        <v>2.5632824031647954E-3</v>
      </c>
      <c r="G90" s="6">
        <f t="shared" si="13"/>
        <v>1.2808198997223911E-3</v>
      </c>
    </row>
    <row r="91" spans="1:7" x14ac:dyDescent="0.15">
      <c r="A91" t="s">
        <v>56</v>
      </c>
      <c r="B91" s="2">
        <v>724000</v>
      </c>
      <c r="C91" s="2">
        <v>1450000</v>
      </c>
      <c r="D91" t="s">
        <v>67</v>
      </c>
      <c r="E91" t="s">
        <v>68</v>
      </c>
      <c r="F91">
        <f t="shared" si="12"/>
        <v>7.276408970776185E-3</v>
      </c>
      <c r="G91" s="6">
        <f t="shared" si="13"/>
        <v>3.6265680556986533E-3</v>
      </c>
    </row>
    <row r="92" spans="1:7" x14ac:dyDescent="0.15">
      <c r="A92" t="s">
        <v>57</v>
      </c>
      <c r="B92" s="2">
        <v>2050000</v>
      </c>
      <c r="C92" s="2">
        <v>5790000</v>
      </c>
      <c r="D92" t="s">
        <v>67</v>
      </c>
      <c r="E92" t="s">
        <v>68</v>
      </c>
      <c r="F92">
        <f t="shared" si="12"/>
        <v>2.9377318710676701E-2</v>
      </c>
      <c r="G92" s="6">
        <f t="shared" si="13"/>
        <v>1.0302892995897034E-2</v>
      </c>
    </row>
    <row r="93" spans="1:7" x14ac:dyDescent="0.15">
      <c r="A93" t="s">
        <v>58</v>
      </c>
      <c r="B93" s="2">
        <v>1450000</v>
      </c>
      <c r="C93" s="2">
        <v>2900000</v>
      </c>
      <c r="D93" t="s">
        <v>67</v>
      </c>
      <c r="E93" t="s">
        <v>68</v>
      </c>
      <c r="F93">
        <f t="shared" si="12"/>
        <v>1.4606152389362114E-2</v>
      </c>
      <c r="G93" s="6">
        <f t="shared" si="13"/>
        <v>7.276408970776185E-3</v>
      </c>
    </row>
    <row r="94" spans="1:7" x14ac:dyDescent="0.15">
      <c r="A94" t="s">
        <v>59</v>
      </c>
      <c r="B94" s="2">
        <v>1450000</v>
      </c>
      <c r="C94" s="2">
        <v>2050000</v>
      </c>
      <c r="D94" t="s">
        <v>67</v>
      </c>
      <c r="E94" t="s">
        <v>68</v>
      </c>
      <c r="F94">
        <f t="shared" si="12"/>
        <v>1.0302892995897034E-2</v>
      </c>
      <c r="G94" s="6">
        <f t="shared" si="13"/>
        <v>7.276408970776185E-3</v>
      </c>
    </row>
    <row r="95" spans="1:7" s="7" customFormat="1" x14ac:dyDescent="0.15">
      <c r="A95" s="7" t="s">
        <v>69</v>
      </c>
      <c r="B95" s="8">
        <v>64000</v>
      </c>
      <c r="C95" s="8">
        <v>181000</v>
      </c>
      <c r="D95" s="7" t="s">
        <v>67</v>
      </c>
      <c r="E95" s="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Movasati Ali</dc:creator>
  <cp:lastModifiedBy>Ali Movasati</cp:lastModifiedBy>
  <dcterms:created xsi:type="dcterms:W3CDTF">2024-06-04T10:47:16Z</dcterms:created>
  <dcterms:modified xsi:type="dcterms:W3CDTF">2025-02-05T20:00:56Z</dcterms:modified>
</cp:coreProperties>
</file>