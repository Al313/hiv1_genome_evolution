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/>
  <mc:AlternateContent xmlns:mc="http://schemas.openxmlformats.org/markup-compatibility/2006">
    <mc:Choice Requires="x15">
      <x15ac:absPath xmlns:x15ac="http://schemas.microsoft.com/office/spreadsheetml/2010/11/ac" url="/Users/alimos313/Documents/studies/phd/hpc-research/genome-evo-proj/data/titration/"/>
    </mc:Choice>
  </mc:AlternateContent>
  <xr:revisionPtr revIDLastSave="0" documentId="13_ncr:1_{688E6B35-420B-CA48-8D05-D33EB84E0180}" xr6:coauthVersionLast="47" xr6:coauthVersionMax="47" xr10:uidLastSave="{00000000-0000-0000-0000-000000000000}"/>
  <bookViews>
    <workbookView xWindow="0" yWindow="880" windowWidth="30240" windowHeight="18880" xr2:uid="{00000000-000D-0000-FFFF-FFFF00000000}"/>
  </bookViews>
  <sheets>
    <sheet name="Sheet1" sheetId="2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2" l="1"/>
  <c r="F52" i="2"/>
  <c r="F51" i="2"/>
  <c r="F50" i="2"/>
  <c r="F49" i="2"/>
  <c r="F48" i="2"/>
  <c r="F47" i="2"/>
  <c r="F46" i="2"/>
  <c r="F94" i="2"/>
  <c r="F93" i="2"/>
  <c r="F92" i="2"/>
  <c r="F90" i="2"/>
  <c r="F91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39" i="2"/>
  <c r="F45" i="2"/>
  <c r="F44" i="2"/>
  <c r="F43" i="2"/>
  <c r="F42" i="2"/>
  <c r="F41" i="2"/>
  <c r="F40" i="2"/>
  <c r="F38" i="2"/>
  <c r="F2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<sst xmlns="http://schemas.openxmlformats.org/spreadsheetml/2006/main" count="288" uniqueCount="70">
  <si>
    <t>Sample_ID</t>
  </si>
  <si>
    <t>VPIII #13 p10</t>
  </si>
  <si>
    <t>VPIII #13 p20</t>
  </si>
  <si>
    <t>VPIII #13 p30</t>
  </si>
  <si>
    <t>VPIII #13 p40</t>
  </si>
  <si>
    <t>VPIII #13 p50</t>
  </si>
  <si>
    <t>VPIII #13 p60</t>
  </si>
  <si>
    <t>VPIII #13 p70</t>
  </si>
  <si>
    <t>VPIII #13 p80</t>
  </si>
  <si>
    <t>VPIII #13 p90</t>
  </si>
  <si>
    <t>TCID50/ml_MT4</t>
  </si>
  <si>
    <t>TCID50/ml_MT2</t>
  </si>
  <si>
    <t>VPIII #14 p10</t>
  </si>
  <si>
    <t>VPIII #14 p20</t>
  </si>
  <si>
    <t>VPIII #14 p30</t>
  </si>
  <si>
    <t>VPIII #14 p40</t>
  </si>
  <si>
    <t>VPIII #14 p50</t>
  </si>
  <si>
    <t>VPIII #14 p60</t>
  </si>
  <si>
    <t>VPIII #14 p70</t>
  </si>
  <si>
    <t>VPIII #14 p80</t>
  </si>
  <si>
    <t>VPIII #14 p90</t>
  </si>
  <si>
    <t>VPIII #15 p10</t>
  </si>
  <si>
    <t>VPIII #15 p20</t>
  </si>
  <si>
    <t>VPIII #15 p30</t>
  </si>
  <si>
    <t>VPIII #15 p40</t>
  </si>
  <si>
    <t>VPIII #15 p50</t>
  </si>
  <si>
    <t>VPIII #15 p60</t>
  </si>
  <si>
    <t>VPIII #15 p70</t>
  </si>
  <si>
    <t>VPIII #15 p80</t>
  </si>
  <si>
    <t>VPIII #15 p90</t>
  </si>
  <si>
    <t>VPIII #16 p10</t>
  </si>
  <si>
    <t>VPIII #16 p20</t>
  </si>
  <si>
    <t>VPIII #16 p30</t>
  </si>
  <si>
    <t>VPIII #16 p40</t>
  </si>
  <si>
    <t>VPIII #16 p50</t>
  </si>
  <si>
    <t>VPIII #16 p60</t>
  </si>
  <si>
    <t>VPIII #16 p70</t>
  </si>
  <si>
    <t>VPIII #16 p80</t>
  </si>
  <si>
    <t>VPIII #16 p90</t>
  </si>
  <si>
    <t>MOI</t>
  </si>
  <si>
    <t>VPIII #13 p100</t>
  </si>
  <si>
    <t>VPIII #13 p200</t>
  </si>
  <si>
    <t>VPIII #13 p300</t>
  </si>
  <si>
    <t>VPIII #13 p400</t>
  </si>
  <si>
    <t>VPIII #13 p500</t>
  </si>
  <si>
    <t>VPIII #14 p100</t>
  </si>
  <si>
    <t>VPIII #14 p200</t>
  </si>
  <si>
    <t>VPIII #14 p300</t>
  </si>
  <si>
    <t>VPIII #14 p400</t>
  </si>
  <si>
    <t>VPIII #14 p500</t>
  </si>
  <si>
    <t>VPIII #15 p100</t>
  </si>
  <si>
    <t>VPIII #15 p200</t>
  </si>
  <si>
    <t>VPIII #15 p300</t>
  </si>
  <si>
    <t>VPIII #15 p400</t>
  </si>
  <si>
    <t>VPIII #15 p500</t>
  </si>
  <si>
    <t>VPIII #16 p100</t>
  </si>
  <si>
    <t>VPIII #16 p200</t>
  </si>
  <si>
    <t>VPIII #16 p300</t>
  </si>
  <si>
    <t>VPIII #16 p400</t>
  </si>
  <si>
    <t>VPIII #16 p500</t>
  </si>
  <si>
    <t>VPIII_limiting_dilution_TCIDs_passages_10_90</t>
  </si>
  <si>
    <t>20240201__VPIII_#13-16_passages20-80</t>
  </si>
  <si>
    <t>Source_on_system</t>
  </si>
  <si>
    <t>Source_abv</t>
  </si>
  <si>
    <t>2018_christine</t>
  </si>
  <si>
    <t>2024_christine</t>
  </si>
  <si>
    <t>2022_rfc_i</t>
  </si>
  <si>
    <t>2022_rfc_ii</t>
  </si>
  <si>
    <t>summary for 220914_MT2&amp;4</t>
  </si>
  <si>
    <t>NL4_3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</si>
</sst>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sz val="12"/>
      <color theme="1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9F34D-3FF1-D047-B09A-2E52C4EF02EC}">
  <dimension ref="A1:F95"/>
  <sheetViews>
    <sheetView tabSelected="1" workbookViewId="0">
      <selection activeCell="G19" sqref="G19"/>
    </sheetView>
  </sheetViews>
  <sheetFormatPr baseColWidth="10" defaultRowHeight="13" x14ac:dyDescent="0.15"/>
  <cols>
    <col min="1" max="1" width="20.6640625" customWidth="1"/>
    <col min="2" max="2" width="19.33203125" customWidth="1"/>
    <col min="3" max="3" width="24" customWidth="1"/>
    <col min="4" max="4" width="31.33203125" customWidth="1"/>
    <col min="5" max="5" width="56.5" customWidth="1"/>
  </cols>
  <sheetData>
    <row r="1" spans="1:6" x14ac:dyDescent="0.15">
      <c r="A1" t="s">
        <v>0</v>
      </c>
      <c r="B1" t="s">
        <v>11</v>
      </c>
      <c r="C1" t="s">
        <v>10</v>
      </c>
      <c r="D1" t="s">
        <v>63</v>
      </c>
      <c r="E1" t="s">
        <v>62</v>
      </c>
      <c r="F1" t="s">
        <v>39</v>
      </c>
    </row>
    <row r="2" spans="1:6" x14ac:dyDescent="0.15">
      <c r="A2" t="s">
        <v>1</v>
      </c>
      <c r="B2">
        <v>106601.99504915194</v>
      </c>
      <c r="D2" t="s">
        <v>64</v>
      </c>
      <c r="E2" t="s">
        <v>60</v>
      </c>
      <c r="F2">
        <f>B2*0.7*2/(1000*400000)</f>
        <v>3.7310698267203175E-4</v>
      </c>
    </row>
    <row r="3" spans="1:6" x14ac:dyDescent="0.15">
      <c r="A3" t="s">
        <v>2</v>
      </c>
      <c r="B3">
        <v>243000.00000000012</v>
      </c>
      <c r="D3" t="s">
        <v>64</v>
      </c>
      <c r="E3" t="s">
        <v>60</v>
      </c>
      <c r="F3">
        <f t="shared" ref="F3:F19" si="0">B3*0.7*2/(1000*400000)</f>
        <v>8.5050000000000034E-4</v>
      </c>
    </row>
    <row r="4" spans="1:6" x14ac:dyDescent="0.15">
      <c r="A4" t="s">
        <v>3</v>
      </c>
      <c r="B4">
        <v>46765.371804359704</v>
      </c>
      <c r="D4" t="s">
        <v>64</v>
      </c>
      <c r="E4" t="s">
        <v>60</v>
      </c>
      <c r="F4">
        <f t="shared" si="0"/>
        <v>1.6367880131525894E-4</v>
      </c>
    </row>
    <row r="5" spans="1:6" x14ac:dyDescent="0.15">
      <c r="A5" t="s">
        <v>4</v>
      </c>
      <c r="B5">
        <v>106601.99504915194</v>
      </c>
      <c r="D5" t="s">
        <v>64</v>
      </c>
      <c r="E5" t="s">
        <v>60</v>
      </c>
      <c r="F5">
        <f t="shared" si="0"/>
        <v>3.7310698267203175E-4</v>
      </c>
    </row>
    <row r="6" spans="1:6" x14ac:dyDescent="0.15">
      <c r="A6" t="s">
        <v>5</v>
      </c>
      <c r="B6">
        <v>140296.1154130793</v>
      </c>
      <c r="D6" t="s">
        <v>64</v>
      </c>
      <c r="E6" t="s">
        <v>60</v>
      </c>
      <c r="F6">
        <f t="shared" si="0"/>
        <v>4.9103640394577747E-4</v>
      </c>
    </row>
    <row r="7" spans="1:6" x14ac:dyDescent="0.15">
      <c r="A7" t="s">
        <v>6</v>
      </c>
      <c r="B7">
        <v>184640.07161333718</v>
      </c>
      <c r="D7" t="s">
        <v>64</v>
      </c>
      <c r="E7" t="s">
        <v>60</v>
      </c>
      <c r="F7">
        <f t="shared" si="0"/>
        <v>6.4624025064668003E-4</v>
      </c>
    </row>
    <row r="8" spans="1:6" x14ac:dyDescent="0.15">
      <c r="A8" t="s">
        <v>7</v>
      </c>
      <c r="B8">
        <v>243000.00000000012</v>
      </c>
      <c r="D8" t="s">
        <v>64</v>
      </c>
      <c r="E8" t="s">
        <v>60</v>
      </c>
      <c r="F8">
        <f t="shared" si="0"/>
        <v>8.5050000000000034E-4</v>
      </c>
    </row>
    <row r="9" spans="1:6" x14ac:dyDescent="0.15">
      <c r="A9" t="s">
        <v>8</v>
      </c>
      <c r="B9">
        <v>35533.998349717331</v>
      </c>
      <c r="D9" t="s">
        <v>64</v>
      </c>
      <c r="E9" t="s">
        <v>60</v>
      </c>
      <c r="F9">
        <f t="shared" si="0"/>
        <v>1.2436899422401065E-4</v>
      </c>
    </row>
    <row r="10" spans="1:6" x14ac:dyDescent="0.15">
      <c r="A10" t="s">
        <v>9</v>
      </c>
      <c r="B10">
        <v>553920.21484001225</v>
      </c>
      <c r="D10" t="s">
        <v>64</v>
      </c>
      <c r="E10" t="s">
        <v>60</v>
      </c>
      <c r="F10">
        <f t="shared" si="0"/>
        <v>1.9387207519400429E-3</v>
      </c>
    </row>
    <row r="11" spans="1:6" x14ac:dyDescent="0.15">
      <c r="A11" t="s">
        <v>12</v>
      </c>
      <c r="B11">
        <v>61546.690537778988</v>
      </c>
      <c r="D11" t="s">
        <v>64</v>
      </c>
      <c r="E11" t="s">
        <v>60</v>
      </c>
      <c r="F11">
        <f t="shared" si="0"/>
        <v>2.1541341688222646E-4</v>
      </c>
    </row>
    <row r="12" spans="1:6" x14ac:dyDescent="0.15">
      <c r="A12" t="s">
        <v>13</v>
      </c>
      <c r="B12">
        <v>553920.21484001225</v>
      </c>
      <c r="D12" t="s">
        <v>64</v>
      </c>
      <c r="E12" t="s">
        <v>60</v>
      </c>
      <c r="F12">
        <f t="shared" si="0"/>
        <v>1.9387207519400429E-3</v>
      </c>
    </row>
    <row r="13" spans="1:6" x14ac:dyDescent="0.15">
      <c r="A13" t="s">
        <v>14</v>
      </c>
      <c r="B13">
        <v>420888.34623923764</v>
      </c>
      <c r="D13" t="s">
        <v>64</v>
      </c>
      <c r="E13" t="s">
        <v>60</v>
      </c>
      <c r="F13">
        <f t="shared" si="0"/>
        <v>1.4731092118373315E-3</v>
      </c>
    </row>
    <row r="14" spans="1:6" x14ac:dyDescent="0.15">
      <c r="A14" t="s">
        <v>15</v>
      </c>
      <c r="B14">
        <v>184640.07161333718</v>
      </c>
      <c r="D14" t="s">
        <v>64</v>
      </c>
      <c r="E14" t="s">
        <v>60</v>
      </c>
      <c r="F14">
        <f t="shared" si="0"/>
        <v>6.4624025064668003E-4</v>
      </c>
    </row>
    <row r="15" spans="1:6" x14ac:dyDescent="0.15">
      <c r="A15" t="s">
        <v>16</v>
      </c>
      <c r="B15">
        <v>243000.00000000012</v>
      </c>
      <c r="D15" t="s">
        <v>64</v>
      </c>
      <c r="E15" t="s">
        <v>60</v>
      </c>
      <c r="F15">
        <f t="shared" si="0"/>
        <v>8.5050000000000034E-4</v>
      </c>
    </row>
    <row r="16" spans="1:6" x14ac:dyDescent="0.15">
      <c r="A16" t="s">
        <v>17</v>
      </c>
      <c r="B16">
        <v>319805.98514745617</v>
      </c>
      <c r="D16" t="s">
        <v>64</v>
      </c>
      <c r="E16" t="s">
        <v>60</v>
      </c>
      <c r="F16">
        <f t="shared" si="0"/>
        <v>1.1193209480160964E-3</v>
      </c>
    </row>
    <row r="17" spans="1:6" x14ac:dyDescent="0.15">
      <c r="A17" t="s">
        <v>18</v>
      </c>
      <c r="B17">
        <v>959417.95544236631</v>
      </c>
      <c r="D17" t="s">
        <v>64</v>
      </c>
      <c r="E17" t="s">
        <v>60</v>
      </c>
      <c r="F17">
        <f t="shared" si="0"/>
        <v>3.3579628440482821E-3</v>
      </c>
    </row>
    <row r="18" spans="1:6" x14ac:dyDescent="0.15">
      <c r="A18" t="s">
        <v>19</v>
      </c>
      <c r="B18">
        <v>106601.99504915194</v>
      </c>
      <c r="D18" t="s">
        <v>64</v>
      </c>
      <c r="E18" t="s">
        <v>60</v>
      </c>
      <c r="F18">
        <f t="shared" si="0"/>
        <v>3.7310698267203175E-4</v>
      </c>
    </row>
    <row r="19" spans="1:6" x14ac:dyDescent="0.15">
      <c r="A19" t="s">
        <v>20</v>
      </c>
      <c r="B19">
        <v>319805.98514745617</v>
      </c>
      <c r="D19" t="s">
        <v>64</v>
      </c>
      <c r="E19" t="s">
        <v>60</v>
      </c>
      <c r="F19">
        <f t="shared" si="0"/>
        <v>1.1193209480160964E-3</v>
      </c>
    </row>
    <row r="20" spans="1:6" x14ac:dyDescent="0.15">
      <c r="A20" t="s">
        <v>21</v>
      </c>
      <c r="C20">
        <v>20515.563512593042</v>
      </c>
      <c r="D20" t="s">
        <v>64</v>
      </c>
      <c r="E20" t="s">
        <v>60</v>
      </c>
      <c r="F20">
        <f t="shared" ref="F20:F37" si="1">C20*0.7*2/(1000*400000)</f>
        <v>7.180447229407564E-5</v>
      </c>
    </row>
    <row r="21" spans="1:6" x14ac:dyDescent="0.15">
      <c r="A21" t="s">
        <v>22</v>
      </c>
      <c r="C21">
        <v>243000.00000000012</v>
      </c>
      <c r="D21" t="s">
        <v>64</v>
      </c>
      <c r="E21" t="s">
        <v>60</v>
      </c>
      <c r="F21">
        <f t="shared" si="1"/>
        <v>8.5050000000000034E-4</v>
      </c>
    </row>
    <row r="22" spans="1:6" x14ac:dyDescent="0.15">
      <c r="A22" t="s">
        <v>23</v>
      </c>
      <c r="C22">
        <v>184640.07161333718</v>
      </c>
      <c r="D22" t="s">
        <v>64</v>
      </c>
      <c r="E22" t="s">
        <v>60</v>
      </c>
      <c r="F22">
        <f t="shared" si="1"/>
        <v>6.4624025064668003E-4</v>
      </c>
    </row>
    <row r="23" spans="1:6" x14ac:dyDescent="0.15">
      <c r="A23" t="s">
        <v>24</v>
      </c>
      <c r="C23">
        <v>959417.95544236631</v>
      </c>
      <c r="D23" t="s">
        <v>64</v>
      </c>
      <c r="E23" t="s">
        <v>60</v>
      </c>
      <c r="F23">
        <f t="shared" si="1"/>
        <v>3.3579628440482821E-3</v>
      </c>
    </row>
    <row r="24" spans="1:6" x14ac:dyDescent="0.15">
      <c r="A24" t="s">
        <v>25</v>
      </c>
      <c r="C24">
        <v>184640.07161333718</v>
      </c>
      <c r="D24" t="s">
        <v>64</v>
      </c>
      <c r="E24" t="s">
        <v>60</v>
      </c>
      <c r="F24">
        <f t="shared" si="1"/>
        <v>6.4624025064668003E-4</v>
      </c>
    </row>
    <row r="25" spans="1:6" x14ac:dyDescent="0.15">
      <c r="A25" t="s">
        <v>26</v>
      </c>
      <c r="C25">
        <v>553920.21484001225</v>
      </c>
      <c r="D25" t="s">
        <v>64</v>
      </c>
      <c r="E25" t="s">
        <v>60</v>
      </c>
      <c r="F25">
        <f t="shared" si="1"/>
        <v>1.9387207519400429E-3</v>
      </c>
    </row>
    <row r="26" spans="1:6" x14ac:dyDescent="0.15">
      <c r="A26" t="s">
        <v>27</v>
      </c>
      <c r="C26">
        <v>1262665.038717712</v>
      </c>
      <c r="D26" t="s">
        <v>64</v>
      </c>
      <c r="E26" t="s">
        <v>60</v>
      </c>
      <c r="F26">
        <f t="shared" si="1"/>
        <v>4.4193276355119918E-3</v>
      </c>
    </row>
    <row r="27" spans="1:6" x14ac:dyDescent="0.15">
      <c r="A27" t="s">
        <v>28</v>
      </c>
      <c r="C27">
        <v>184640.07161333718</v>
      </c>
      <c r="D27" t="s">
        <v>64</v>
      </c>
      <c r="E27" t="s">
        <v>60</v>
      </c>
      <c r="F27">
        <f t="shared" si="1"/>
        <v>6.4624025064668003E-4</v>
      </c>
    </row>
    <row r="28" spans="1:6" x14ac:dyDescent="0.15">
      <c r="A28" t="s">
        <v>29</v>
      </c>
      <c r="C28">
        <v>243000.00000000012</v>
      </c>
      <c r="D28" t="s">
        <v>64</v>
      </c>
      <c r="E28" t="s">
        <v>60</v>
      </c>
      <c r="F28">
        <f t="shared" si="1"/>
        <v>8.5050000000000034E-4</v>
      </c>
    </row>
    <row r="29" spans="1:6" x14ac:dyDescent="0.15">
      <c r="A29" t="s">
        <v>30</v>
      </c>
      <c r="C29">
        <v>15588.457268119912</v>
      </c>
      <c r="D29" t="s">
        <v>64</v>
      </c>
      <c r="E29" t="s">
        <v>60</v>
      </c>
      <c r="F29">
        <f t="shared" si="1"/>
        <v>5.4559600438419685E-5</v>
      </c>
    </row>
    <row r="30" spans="1:6" x14ac:dyDescent="0.15">
      <c r="A30" t="s">
        <v>31</v>
      </c>
      <c r="C30">
        <v>140296.1154130793</v>
      </c>
      <c r="D30" t="s">
        <v>64</v>
      </c>
      <c r="E30" t="s">
        <v>60</v>
      </c>
      <c r="F30">
        <f t="shared" si="1"/>
        <v>4.9103640394577747E-4</v>
      </c>
    </row>
    <row r="31" spans="1:6" x14ac:dyDescent="0.15">
      <c r="A31" t="s">
        <v>32</v>
      </c>
      <c r="C31">
        <v>420888.34623923764</v>
      </c>
      <c r="D31" t="s">
        <v>64</v>
      </c>
      <c r="E31" t="s">
        <v>60</v>
      </c>
      <c r="F31">
        <f t="shared" si="1"/>
        <v>1.4731092118373315E-3</v>
      </c>
    </row>
    <row r="32" spans="1:6" x14ac:dyDescent="0.15">
      <c r="A32" t="s">
        <v>33</v>
      </c>
      <c r="C32">
        <v>1262665.038717712</v>
      </c>
      <c r="D32" t="s">
        <v>64</v>
      </c>
      <c r="E32" t="s">
        <v>60</v>
      </c>
      <c r="F32">
        <f t="shared" si="1"/>
        <v>4.4193276355119918E-3</v>
      </c>
    </row>
    <row r="33" spans="1:6" x14ac:dyDescent="0.15">
      <c r="A33" t="s">
        <v>34</v>
      </c>
      <c r="C33">
        <v>140296.1154130793</v>
      </c>
      <c r="D33" t="s">
        <v>64</v>
      </c>
      <c r="E33" t="s">
        <v>60</v>
      </c>
      <c r="F33">
        <f t="shared" si="1"/>
        <v>4.9103640394577747E-4</v>
      </c>
    </row>
    <row r="34" spans="1:6" x14ac:dyDescent="0.15">
      <c r="A34" t="s">
        <v>35</v>
      </c>
      <c r="C34">
        <v>420888.34623923764</v>
      </c>
      <c r="D34" t="s">
        <v>64</v>
      </c>
      <c r="E34" t="s">
        <v>60</v>
      </c>
      <c r="F34">
        <f t="shared" si="1"/>
        <v>1.4731092118373315E-3</v>
      </c>
    </row>
    <row r="35" spans="1:6" x14ac:dyDescent="0.15">
      <c r="A35" t="s">
        <v>36</v>
      </c>
      <c r="C35">
        <v>243000.00000000012</v>
      </c>
      <c r="D35" t="s">
        <v>64</v>
      </c>
      <c r="E35" t="s">
        <v>60</v>
      </c>
      <c r="F35">
        <f t="shared" si="1"/>
        <v>8.5050000000000034E-4</v>
      </c>
    </row>
    <row r="36" spans="1:6" x14ac:dyDescent="0.15">
      <c r="A36" t="s">
        <v>37</v>
      </c>
      <c r="C36">
        <v>81000.000000000087</v>
      </c>
      <c r="D36" t="s">
        <v>64</v>
      </c>
      <c r="E36" t="s">
        <v>60</v>
      </c>
      <c r="F36">
        <f t="shared" si="1"/>
        <v>2.8350000000000028E-4</v>
      </c>
    </row>
    <row r="37" spans="1:6" x14ac:dyDescent="0.15">
      <c r="A37" t="s">
        <v>38</v>
      </c>
      <c r="C37">
        <v>319805.98514745617</v>
      </c>
      <c r="D37" t="s">
        <v>64</v>
      </c>
      <c r="E37" t="s">
        <v>60</v>
      </c>
      <c r="F37">
        <f t="shared" si="1"/>
        <v>1.1193209480160964E-3</v>
      </c>
    </row>
    <row r="38" spans="1:6" ht="16" x14ac:dyDescent="0.2">
      <c r="A38" t="s">
        <v>2</v>
      </c>
      <c r="B38" s="1">
        <v>23170475.005920835</v>
      </c>
      <c r="C38" s="1">
        <v>4096000.0000000033</v>
      </c>
      <c r="D38" t="s">
        <v>65</v>
      </c>
      <c r="E38" t="s">
        <v>61</v>
      </c>
      <c r="F38">
        <f t="shared" ref="F38:F45" si="2">B38*0.7*2/(1000*400000)</f>
        <v>8.1096662520722909E-2</v>
      </c>
    </row>
    <row r="39" spans="1:6" ht="16" x14ac:dyDescent="0.2">
      <c r="A39" t="s">
        <v>4</v>
      </c>
      <c r="B39" s="1">
        <v>5792618.7514802078</v>
      </c>
      <c r="C39" s="1">
        <v>11585237.502960395</v>
      </c>
      <c r="D39" t="s">
        <v>65</v>
      </c>
      <c r="E39" t="s">
        <v>61</v>
      </c>
      <c r="F39">
        <f t="shared" si="2"/>
        <v>2.0274165630180727E-2</v>
      </c>
    </row>
    <row r="40" spans="1:6" ht="16" x14ac:dyDescent="0.2">
      <c r="A40" t="s">
        <v>6</v>
      </c>
      <c r="B40" s="1">
        <v>2896309.3757401034</v>
      </c>
      <c r="C40" s="1">
        <v>2048000.0000000014</v>
      </c>
      <c r="D40" t="s">
        <v>65</v>
      </c>
      <c r="E40" t="s">
        <v>61</v>
      </c>
      <c r="F40">
        <f t="shared" si="2"/>
        <v>1.013708281509036E-2</v>
      </c>
    </row>
    <row r="41" spans="1:6" ht="16" x14ac:dyDescent="0.2">
      <c r="A41" t="s">
        <v>8</v>
      </c>
      <c r="B41" s="1">
        <v>90509.667991878188</v>
      </c>
      <c r="C41" s="1">
        <v>181019.33598375641</v>
      </c>
      <c r="D41" t="s">
        <v>65</v>
      </c>
      <c r="E41" t="s">
        <v>61</v>
      </c>
      <c r="F41">
        <f t="shared" si="2"/>
        <v>3.1678383797157365E-4</v>
      </c>
    </row>
    <row r="42" spans="1:6" ht="16" x14ac:dyDescent="0.2">
      <c r="A42" t="s">
        <v>13</v>
      </c>
      <c r="B42" s="1">
        <v>1448154.6878700543</v>
      </c>
      <c r="C42" s="1">
        <v>1448154.6878700543</v>
      </c>
      <c r="D42" t="s">
        <v>65</v>
      </c>
      <c r="E42" t="s">
        <v>61</v>
      </c>
      <c r="F42">
        <f t="shared" si="2"/>
        <v>5.0685414075451896E-3</v>
      </c>
    </row>
    <row r="43" spans="1:6" ht="16" x14ac:dyDescent="0.2">
      <c r="A43" t="s">
        <v>15</v>
      </c>
      <c r="B43" s="1">
        <v>5792618.7514802078</v>
      </c>
      <c r="C43" s="1">
        <v>512000.00000000116</v>
      </c>
      <c r="D43" t="s">
        <v>65</v>
      </c>
      <c r="E43" t="s">
        <v>61</v>
      </c>
      <c r="F43">
        <f t="shared" si="2"/>
        <v>2.0274165630180727E-2</v>
      </c>
    </row>
    <row r="44" spans="1:6" ht="16" x14ac:dyDescent="0.2">
      <c r="A44" t="s">
        <v>17</v>
      </c>
      <c r="B44" s="1">
        <v>2896309.3757401034</v>
      </c>
      <c r="C44" s="1">
        <v>512000.00000000116</v>
      </c>
      <c r="D44" t="s">
        <v>65</v>
      </c>
      <c r="E44" t="s">
        <v>61</v>
      </c>
      <c r="F44">
        <f t="shared" si="2"/>
        <v>1.013708281509036E-2</v>
      </c>
    </row>
    <row r="45" spans="1:6" ht="16" x14ac:dyDescent="0.2">
      <c r="A45" t="s">
        <v>19</v>
      </c>
      <c r="B45" s="1">
        <v>362038.67196751351</v>
      </c>
      <c r="C45" s="1">
        <v>181019.33598375641</v>
      </c>
      <c r="D45" t="s">
        <v>65</v>
      </c>
      <c r="E45" t="s">
        <v>61</v>
      </c>
      <c r="F45">
        <f t="shared" si="2"/>
        <v>1.2671353518862972E-3</v>
      </c>
    </row>
    <row r="46" spans="1:6" ht="16" x14ac:dyDescent="0.2">
      <c r="A46" t="s">
        <v>22</v>
      </c>
      <c r="B46" s="1">
        <v>724077.34393502702</v>
      </c>
      <c r="C46" s="1">
        <v>256000.00000000058</v>
      </c>
      <c r="D46" t="s">
        <v>65</v>
      </c>
      <c r="E46" t="s">
        <v>61</v>
      </c>
      <c r="F46">
        <f>C46*0.7*2/(1000*400000)</f>
        <v>8.9600000000000205E-4</v>
      </c>
    </row>
    <row r="47" spans="1:6" ht="16" x14ac:dyDescent="0.2">
      <c r="A47" t="s">
        <v>24</v>
      </c>
      <c r="B47" s="1">
        <v>724077.34393502702</v>
      </c>
      <c r="C47" s="1">
        <v>724077.34393502702</v>
      </c>
      <c r="D47" t="s">
        <v>65</v>
      </c>
      <c r="E47" t="s">
        <v>61</v>
      </c>
      <c r="F47">
        <f>C47*0.7*2/(1000*400000)</f>
        <v>2.5342707037725944E-3</v>
      </c>
    </row>
    <row r="48" spans="1:6" ht="16" x14ac:dyDescent="0.2">
      <c r="A48" t="s">
        <v>26</v>
      </c>
      <c r="B48" s="1">
        <v>1024000.0000000024</v>
      </c>
      <c r="C48" s="1">
        <v>8192000.0000000075</v>
      </c>
      <c r="D48" t="s">
        <v>65</v>
      </c>
      <c r="E48" t="s">
        <v>61</v>
      </c>
      <c r="F48">
        <f>C48*0.7*2/(1000*400000)</f>
        <v>2.8672000000000024E-2</v>
      </c>
    </row>
    <row r="49" spans="1:6" ht="16" x14ac:dyDescent="0.2">
      <c r="A49" t="s">
        <v>28</v>
      </c>
      <c r="B49" s="1">
        <v>2896309.3757401034</v>
      </c>
      <c r="C49" s="1">
        <v>181019.33598375641</v>
      </c>
      <c r="D49" t="s">
        <v>65</v>
      </c>
      <c r="E49" t="s">
        <v>61</v>
      </c>
      <c r="F49">
        <f>C49*0.7*2/(1000*400000)</f>
        <v>6.335676759431474E-4</v>
      </c>
    </row>
    <row r="50" spans="1:6" ht="16" x14ac:dyDescent="0.2">
      <c r="A50" t="s">
        <v>31</v>
      </c>
      <c r="B50" s="1">
        <v>2048000.0000000014</v>
      </c>
      <c r="C50" s="1">
        <v>181019.33598375641</v>
      </c>
      <c r="D50" t="s">
        <v>65</v>
      </c>
      <c r="E50" t="s">
        <v>61</v>
      </c>
      <c r="F50">
        <f>C50*0.7*2/(1000*400000)</f>
        <v>6.335676759431474E-4</v>
      </c>
    </row>
    <row r="51" spans="1:6" ht="16" x14ac:dyDescent="0.2">
      <c r="A51" t="s">
        <v>33</v>
      </c>
      <c r="B51" s="1">
        <v>724077.34393502702</v>
      </c>
      <c r="C51" s="1">
        <v>512000.00000000116</v>
      </c>
      <c r="D51" t="s">
        <v>65</v>
      </c>
      <c r="E51" t="s">
        <v>61</v>
      </c>
      <c r="F51">
        <f>C51*0.7*2/(1000*400000)</f>
        <v>1.7920000000000041E-3</v>
      </c>
    </row>
    <row r="52" spans="1:6" ht="16" x14ac:dyDescent="0.2">
      <c r="A52" t="s">
        <v>35</v>
      </c>
      <c r="B52" s="1">
        <v>724077.34393502702</v>
      </c>
      <c r="C52" s="1">
        <v>1024000.0000000024</v>
      </c>
      <c r="D52" t="s">
        <v>65</v>
      </c>
      <c r="E52" t="s">
        <v>61</v>
      </c>
      <c r="F52">
        <f>C52*0.7*2/(1000*400000)</f>
        <v>3.5840000000000082E-3</v>
      </c>
    </row>
    <row r="53" spans="1:6" ht="16" x14ac:dyDescent="0.2">
      <c r="A53" t="s">
        <v>37</v>
      </c>
      <c r="B53" s="1">
        <v>64000.000000000131</v>
      </c>
      <c r="C53" s="1">
        <v>181019.33598375641</v>
      </c>
      <c r="D53" t="s">
        <v>65</v>
      </c>
      <c r="E53" t="s">
        <v>61</v>
      </c>
      <c r="F53">
        <f>C53*0.7*2/(1000*400000)</f>
        <v>6.335676759431474E-4</v>
      </c>
    </row>
    <row r="54" spans="1:6" x14ac:dyDescent="0.15">
      <c r="A54" t="s">
        <v>40</v>
      </c>
      <c r="B54" s="2">
        <v>724000</v>
      </c>
      <c r="C54" s="2">
        <v>724000</v>
      </c>
      <c r="D54" t="s">
        <v>66</v>
      </c>
      <c r="E54" t="s">
        <v>68</v>
      </c>
      <c r="F54">
        <f t="shared" ref="F54:F63" si="3">B54*0.7*2/(1000*400000)</f>
        <v>2.5339999999999998E-3</v>
      </c>
    </row>
    <row r="55" spans="1:6" x14ac:dyDescent="0.15">
      <c r="A55" t="s">
        <v>41</v>
      </c>
      <c r="B55" s="2">
        <v>512000</v>
      </c>
      <c r="C55" s="2">
        <v>362000</v>
      </c>
      <c r="D55" t="s">
        <v>66</v>
      </c>
      <c r="E55" t="s">
        <v>68</v>
      </c>
      <c r="F55">
        <f t="shared" si="3"/>
        <v>1.792E-3</v>
      </c>
    </row>
    <row r="56" spans="1:6" x14ac:dyDescent="0.15">
      <c r="A56" t="s">
        <v>42</v>
      </c>
      <c r="B56" s="2">
        <v>1020000</v>
      </c>
      <c r="C56" s="2">
        <v>256000</v>
      </c>
      <c r="D56" t="s">
        <v>66</v>
      </c>
      <c r="E56" t="s">
        <v>68</v>
      </c>
      <c r="F56">
        <f t="shared" si="3"/>
        <v>3.5699999999999998E-3</v>
      </c>
    </row>
    <row r="57" spans="1:6" x14ac:dyDescent="0.15">
      <c r="A57" t="s">
        <v>43</v>
      </c>
      <c r="B57" s="2">
        <v>512000</v>
      </c>
      <c r="C57" s="2">
        <v>90500</v>
      </c>
      <c r="D57" t="s">
        <v>66</v>
      </c>
      <c r="E57" t="s">
        <v>68</v>
      </c>
      <c r="F57">
        <f t="shared" si="3"/>
        <v>1.792E-3</v>
      </c>
    </row>
    <row r="58" spans="1:6" x14ac:dyDescent="0.15">
      <c r="A58" t="s">
        <v>44</v>
      </c>
      <c r="B58" s="2">
        <v>724000</v>
      </c>
      <c r="C58" s="2">
        <v>256000</v>
      </c>
      <c r="D58" t="s">
        <v>66</v>
      </c>
      <c r="E58" t="s">
        <v>68</v>
      </c>
      <c r="F58">
        <f t="shared" si="3"/>
        <v>2.5339999999999998E-3</v>
      </c>
    </row>
    <row r="59" spans="1:6" x14ac:dyDescent="0.15">
      <c r="A59" t="s">
        <v>45</v>
      </c>
      <c r="B59" s="2">
        <v>1450000</v>
      </c>
      <c r="C59" s="2">
        <v>512000</v>
      </c>
      <c r="D59" t="s">
        <v>66</v>
      </c>
      <c r="E59" t="s">
        <v>68</v>
      </c>
      <c r="F59">
        <f t="shared" si="3"/>
        <v>5.0749999999999997E-3</v>
      </c>
    </row>
    <row r="60" spans="1:6" x14ac:dyDescent="0.15">
      <c r="A60" t="s">
        <v>46</v>
      </c>
      <c r="B60" s="2">
        <v>362000</v>
      </c>
      <c r="C60" s="2">
        <v>32000</v>
      </c>
      <c r="D60" t="s">
        <v>66</v>
      </c>
      <c r="E60" t="s">
        <v>68</v>
      </c>
      <c r="F60">
        <f t="shared" si="3"/>
        <v>1.2669999999999999E-3</v>
      </c>
    </row>
    <row r="61" spans="1:6" x14ac:dyDescent="0.15">
      <c r="A61" t="s">
        <v>47</v>
      </c>
      <c r="B61" s="2">
        <v>1020000</v>
      </c>
      <c r="C61" s="2">
        <v>45300</v>
      </c>
      <c r="D61" t="s">
        <v>66</v>
      </c>
      <c r="E61" t="s">
        <v>68</v>
      </c>
      <c r="F61">
        <f t="shared" si="3"/>
        <v>3.5699999999999998E-3</v>
      </c>
    </row>
    <row r="62" spans="1:6" x14ac:dyDescent="0.15">
      <c r="A62" t="s">
        <v>48</v>
      </c>
      <c r="B62" s="2">
        <v>512000</v>
      </c>
      <c r="C62" s="2">
        <v>45300</v>
      </c>
      <c r="D62" t="s">
        <v>66</v>
      </c>
      <c r="E62" t="s">
        <v>68</v>
      </c>
      <c r="F62">
        <f t="shared" si="3"/>
        <v>1.792E-3</v>
      </c>
    </row>
    <row r="63" spans="1:6" x14ac:dyDescent="0.15">
      <c r="A63" t="s">
        <v>49</v>
      </c>
      <c r="B63" s="2">
        <v>512000</v>
      </c>
      <c r="C63" s="2">
        <v>128000</v>
      </c>
      <c r="D63" t="s">
        <v>66</v>
      </c>
      <c r="E63" t="s">
        <v>68</v>
      </c>
      <c r="F63">
        <f t="shared" si="3"/>
        <v>1.792E-3</v>
      </c>
    </row>
    <row r="64" spans="1:6" x14ac:dyDescent="0.15">
      <c r="A64" t="s">
        <v>50</v>
      </c>
      <c r="B64" s="2">
        <v>256000</v>
      </c>
      <c r="C64" s="2">
        <v>256000</v>
      </c>
      <c r="D64" t="s">
        <v>66</v>
      </c>
      <c r="E64" t="s">
        <v>68</v>
      </c>
      <c r="F64">
        <f t="shared" ref="F64:F73" si="4">C64*0.7*2/(1000*400000)</f>
        <v>8.9599999999999999E-4</v>
      </c>
    </row>
    <row r="65" spans="1:6" x14ac:dyDescent="0.15">
      <c r="A65" t="s">
        <v>51</v>
      </c>
      <c r="B65" s="2">
        <v>1020000</v>
      </c>
      <c r="C65" s="2">
        <v>512000</v>
      </c>
      <c r="D65" t="s">
        <v>66</v>
      </c>
      <c r="E65" t="s">
        <v>68</v>
      </c>
      <c r="F65">
        <f t="shared" si="4"/>
        <v>1.792E-3</v>
      </c>
    </row>
    <row r="66" spans="1:6" x14ac:dyDescent="0.15">
      <c r="A66" t="s">
        <v>52</v>
      </c>
      <c r="B66" s="2">
        <v>5790000</v>
      </c>
      <c r="C66" s="2">
        <v>1450000</v>
      </c>
      <c r="D66" t="s">
        <v>66</v>
      </c>
      <c r="E66" t="s">
        <v>68</v>
      </c>
      <c r="F66">
        <f t="shared" si="4"/>
        <v>5.0749999999999997E-3</v>
      </c>
    </row>
    <row r="67" spans="1:6" x14ac:dyDescent="0.15">
      <c r="A67" t="s">
        <v>53</v>
      </c>
      <c r="B67" s="2">
        <v>2900000</v>
      </c>
      <c r="C67" s="2">
        <v>1020000</v>
      </c>
      <c r="D67" t="s">
        <v>66</v>
      </c>
      <c r="E67" t="s">
        <v>68</v>
      </c>
      <c r="F67">
        <f t="shared" si="4"/>
        <v>3.5699999999999998E-3</v>
      </c>
    </row>
    <row r="68" spans="1:6" x14ac:dyDescent="0.15">
      <c r="A68" t="s">
        <v>54</v>
      </c>
      <c r="B68" s="2">
        <v>2050000</v>
      </c>
      <c r="C68" s="2">
        <v>1020000</v>
      </c>
      <c r="D68" t="s">
        <v>66</v>
      </c>
      <c r="E68" t="s">
        <v>68</v>
      </c>
      <c r="F68">
        <f t="shared" si="4"/>
        <v>3.5699999999999998E-3</v>
      </c>
    </row>
    <row r="69" spans="1:6" x14ac:dyDescent="0.15">
      <c r="A69" t="s">
        <v>55</v>
      </c>
      <c r="B69" s="2">
        <v>256000</v>
      </c>
      <c r="C69" s="2">
        <v>724000</v>
      </c>
      <c r="D69" t="s">
        <v>66</v>
      </c>
      <c r="E69" t="s">
        <v>68</v>
      </c>
      <c r="F69">
        <f t="shared" si="4"/>
        <v>2.5339999999999998E-3</v>
      </c>
    </row>
    <row r="70" spans="1:6" x14ac:dyDescent="0.15">
      <c r="A70" t="s">
        <v>56</v>
      </c>
      <c r="B70" s="2">
        <v>724000</v>
      </c>
      <c r="C70" s="2">
        <v>1450000</v>
      </c>
      <c r="D70" t="s">
        <v>66</v>
      </c>
      <c r="E70" t="s">
        <v>68</v>
      </c>
      <c r="F70">
        <f t="shared" si="4"/>
        <v>5.0749999999999997E-3</v>
      </c>
    </row>
    <row r="71" spans="1:6" x14ac:dyDescent="0.15">
      <c r="A71" t="s">
        <v>57</v>
      </c>
      <c r="B71" s="2">
        <v>5790000</v>
      </c>
      <c r="C71" s="2">
        <v>4100000</v>
      </c>
      <c r="D71" t="s">
        <v>66</v>
      </c>
      <c r="E71" t="s">
        <v>68</v>
      </c>
      <c r="F71">
        <f t="shared" si="4"/>
        <v>1.435E-2</v>
      </c>
    </row>
    <row r="72" spans="1:6" x14ac:dyDescent="0.15">
      <c r="A72" t="s">
        <v>58</v>
      </c>
      <c r="B72" s="2">
        <v>5790000</v>
      </c>
      <c r="C72" s="2">
        <v>1450000</v>
      </c>
      <c r="D72" t="s">
        <v>66</v>
      </c>
      <c r="E72" t="s">
        <v>68</v>
      </c>
      <c r="F72">
        <f t="shared" si="4"/>
        <v>5.0749999999999997E-3</v>
      </c>
    </row>
    <row r="73" spans="1:6" x14ac:dyDescent="0.15">
      <c r="A73" t="s">
        <v>59</v>
      </c>
      <c r="B73" s="2">
        <v>4100000</v>
      </c>
      <c r="C73" s="2">
        <v>4100000</v>
      </c>
      <c r="D73" t="s">
        <v>66</v>
      </c>
      <c r="E73" t="s">
        <v>68</v>
      </c>
      <c r="F73">
        <f t="shared" si="4"/>
        <v>1.435E-2</v>
      </c>
    </row>
    <row r="74" spans="1:6" x14ac:dyDescent="0.15">
      <c r="A74" t="s">
        <v>69</v>
      </c>
      <c r="B74" s="2">
        <v>256000</v>
      </c>
      <c r="C74" s="2">
        <v>90500</v>
      </c>
      <c r="D74" t="s">
        <v>66</v>
      </c>
      <c r="E74" t="s">
        <v>68</v>
      </c>
    </row>
    <row r="75" spans="1:6" x14ac:dyDescent="0.15">
      <c r="A75" t="s">
        <v>40</v>
      </c>
      <c r="B75" s="2">
        <v>2050000</v>
      </c>
      <c r="C75" s="2">
        <v>1020000</v>
      </c>
      <c r="D75" t="s">
        <v>67</v>
      </c>
      <c r="E75" t="s">
        <v>68</v>
      </c>
      <c r="F75">
        <f t="shared" ref="F75:F84" si="5">B75*0.7*2/(1000*400000)</f>
        <v>7.175E-3</v>
      </c>
    </row>
    <row r="76" spans="1:6" x14ac:dyDescent="0.15">
      <c r="A76" t="s">
        <v>41</v>
      </c>
      <c r="B76" s="2">
        <v>362000</v>
      </c>
      <c r="C76" s="2">
        <v>362000</v>
      </c>
      <c r="D76" t="s">
        <v>67</v>
      </c>
      <c r="E76" t="s">
        <v>68</v>
      </c>
      <c r="F76">
        <f t="shared" si="5"/>
        <v>1.2669999999999999E-3</v>
      </c>
    </row>
    <row r="77" spans="1:6" x14ac:dyDescent="0.15">
      <c r="A77" t="s">
        <v>42</v>
      </c>
      <c r="B77" s="2">
        <v>512000</v>
      </c>
      <c r="C77" s="2">
        <v>512000</v>
      </c>
      <c r="D77" t="s">
        <v>67</v>
      </c>
      <c r="E77" t="s">
        <v>68</v>
      </c>
      <c r="F77">
        <f t="shared" si="5"/>
        <v>1.792E-3</v>
      </c>
    </row>
    <row r="78" spans="1:6" x14ac:dyDescent="0.15">
      <c r="A78" t="s">
        <v>43</v>
      </c>
      <c r="B78" s="2">
        <v>181000</v>
      </c>
      <c r="C78" s="2">
        <v>64000</v>
      </c>
      <c r="D78" t="s">
        <v>67</v>
      </c>
      <c r="E78" t="s">
        <v>68</v>
      </c>
      <c r="F78">
        <f t="shared" si="5"/>
        <v>6.3349999999999995E-4</v>
      </c>
    </row>
    <row r="79" spans="1:6" x14ac:dyDescent="0.15">
      <c r="A79" t="s">
        <v>44</v>
      </c>
      <c r="B79" s="2">
        <v>1020000</v>
      </c>
      <c r="C79" s="2">
        <v>362000</v>
      </c>
      <c r="D79" t="s">
        <v>67</v>
      </c>
      <c r="E79" t="s">
        <v>68</v>
      </c>
      <c r="F79">
        <f t="shared" si="5"/>
        <v>3.5699999999999998E-3</v>
      </c>
    </row>
    <row r="80" spans="1:6" x14ac:dyDescent="0.15">
      <c r="A80" t="s">
        <v>45</v>
      </c>
      <c r="B80" s="2">
        <v>1450000</v>
      </c>
      <c r="C80" s="2">
        <v>1450000</v>
      </c>
      <c r="D80" t="s">
        <v>67</v>
      </c>
      <c r="E80" t="s">
        <v>68</v>
      </c>
      <c r="F80">
        <f t="shared" si="5"/>
        <v>5.0749999999999997E-3</v>
      </c>
    </row>
    <row r="81" spans="1:6" x14ac:dyDescent="0.15">
      <c r="A81" t="s">
        <v>46</v>
      </c>
      <c r="B81" s="2">
        <v>724000</v>
      </c>
      <c r="C81" s="2">
        <v>128000</v>
      </c>
      <c r="D81" t="s">
        <v>67</v>
      </c>
      <c r="E81" t="s">
        <v>68</v>
      </c>
      <c r="F81">
        <f t="shared" si="5"/>
        <v>2.5339999999999998E-3</v>
      </c>
    </row>
    <row r="82" spans="1:6" x14ac:dyDescent="0.15">
      <c r="A82" t="s">
        <v>47</v>
      </c>
      <c r="B82" s="2">
        <v>90500</v>
      </c>
      <c r="C82" s="2">
        <v>45300</v>
      </c>
      <c r="D82" t="s">
        <v>67</v>
      </c>
      <c r="E82" t="s">
        <v>68</v>
      </c>
      <c r="F82">
        <f t="shared" si="5"/>
        <v>3.1674999999999997E-4</v>
      </c>
    </row>
    <row r="83" spans="1:6" x14ac:dyDescent="0.15">
      <c r="A83" t="s">
        <v>48</v>
      </c>
      <c r="B83" s="2">
        <v>181000</v>
      </c>
      <c r="C83" s="2">
        <v>45300</v>
      </c>
      <c r="D83" t="s">
        <v>67</v>
      </c>
      <c r="E83" t="s">
        <v>68</v>
      </c>
      <c r="F83">
        <f t="shared" si="5"/>
        <v>6.3349999999999995E-4</v>
      </c>
    </row>
    <row r="84" spans="1:6" x14ac:dyDescent="0.15">
      <c r="A84" t="s">
        <v>49</v>
      </c>
      <c r="B84" s="2">
        <v>1020000</v>
      </c>
      <c r="C84" s="2">
        <v>128000</v>
      </c>
      <c r="D84" t="s">
        <v>67</v>
      </c>
      <c r="E84" t="s">
        <v>68</v>
      </c>
      <c r="F84">
        <f t="shared" si="5"/>
        <v>3.5699999999999998E-3</v>
      </c>
    </row>
    <row r="85" spans="1:6" x14ac:dyDescent="0.15">
      <c r="A85" t="s">
        <v>50</v>
      </c>
      <c r="B85" s="2">
        <v>256000</v>
      </c>
      <c r="C85" s="2">
        <v>362000</v>
      </c>
      <c r="D85" t="s">
        <v>67</v>
      </c>
      <c r="E85" t="s">
        <v>68</v>
      </c>
      <c r="F85">
        <f t="shared" ref="F85:F94" si="6">C85*0.7*2/(1000*400000)</f>
        <v>1.2669999999999999E-3</v>
      </c>
    </row>
    <row r="86" spans="1:6" x14ac:dyDescent="0.15">
      <c r="A86" t="s">
        <v>51</v>
      </c>
      <c r="B86" s="2">
        <v>512000</v>
      </c>
      <c r="C86" s="2">
        <v>512000</v>
      </c>
      <c r="D86" t="s">
        <v>67</v>
      </c>
      <c r="E86" t="s">
        <v>68</v>
      </c>
      <c r="F86">
        <f t="shared" si="6"/>
        <v>1.792E-3</v>
      </c>
    </row>
    <row r="87" spans="1:6" x14ac:dyDescent="0.15">
      <c r="A87" t="s">
        <v>52</v>
      </c>
      <c r="B87" s="2">
        <v>2050000</v>
      </c>
      <c r="C87" s="2">
        <v>2900000</v>
      </c>
      <c r="D87" t="s">
        <v>67</v>
      </c>
      <c r="E87" t="s">
        <v>68</v>
      </c>
      <c r="F87">
        <f t="shared" si="6"/>
        <v>1.0149999999999999E-2</v>
      </c>
    </row>
    <row r="88" spans="1:6" x14ac:dyDescent="0.15">
      <c r="A88" t="s">
        <v>53</v>
      </c>
      <c r="B88" s="2">
        <v>2900000</v>
      </c>
      <c r="C88" s="2">
        <v>1020000</v>
      </c>
      <c r="D88" t="s">
        <v>67</v>
      </c>
      <c r="E88" t="s">
        <v>68</v>
      </c>
      <c r="F88">
        <f t="shared" si="6"/>
        <v>3.5699999999999998E-3</v>
      </c>
    </row>
    <row r="89" spans="1:6" x14ac:dyDescent="0.15">
      <c r="A89" t="s">
        <v>54</v>
      </c>
      <c r="B89" s="2">
        <v>4100000</v>
      </c>
      <c r="C89" s="2">
        <v>2900000</v>
      </c>
      <c r="D89" t="s">
        <v>67</v>
      </c>
      <c r="E89" t="s">
        <v>68</v>
      </c>
      <c r="F89">
        <f t="shared" si="6"/>
        <v>1.0149999999999999E-2</v>
      </c>
    </row>
    <row r="90" spans="1:6" x14ac:dyDescent="0.15">
      <c r="A90" t="s">
        <v>55</v>
      </c>
      <c r="B90" s="2">
        <v>256000</v>
      </c>
      <c r="C90" s="2">
        <v>512000</v>
      </c>
      <c r="D90" t="s">
        <v>67</v>
      </c>
      <c r="E90" t="s">
        <v>68</v>
      </c>
      <c r="F90">
        <f t="shared" si="6"/>
        <v>1.792E-3</v>
      </c>
    </row>
    <row r="91" spans="1:6" x14ac:dyDescent="0.15">
      <c r="A91" t="s">
        <v>56</v>
      </c>
      <c r="B91" s="2">
        <v>724000</v>
      </c>
      <c r="C91" s="2">
        <v>1450000</v>
      </c>
      <c r="D91" t="s">
        <v>67</v>
      </c>
      <c r="E91" t="s">
        <v>68</v>
      </c>
      <c r="F91">
        <f t="shared" si="6"/>
        <v>5.0749999999999997E-3</v>
      </c>
    </row>
    <row r="92" spans="1:6" x14ac:dyDescent="0.15">
      <c r="A92" t="s">
        <v>57</v>
      </c>
      <c r="B92" s="2">
        <v>2050000</v>
      </c>
      <c r="C92" s="2">
        <v>5790000</v>
      </c>
      <c r="D92" t="s">
        <v>67</v>
      </c>
      <c r="E92" t="s">
        <v>68</v>
      </c>
      <c r="F92">
        <f t="shared" si="6"/>
        <v>2.0264999999999998E-2</v>
      </c>
    </row>
    <row r="93" spans="1:6" x14ac:dyDescent="0.15">
      <c r="A93" t="s">
        <v>58</v>
      </c>
      <c r="B93" s="2">
        <v>1450000</v>
      </c>
      <c r="C93" s="2">
        <v>2900000</v>
      </c>
      <c r="D93" t="s">
        <v>67</v>
      </c>
      <c r="E93" t="s">
        <v>68</v>
      </c>
      <c r="F93">
        <f t="shared" si="6"/>
        <v>1.0149999999999999E-2</v>
      </c>
    </row>
    <row r="94" spans="1:6" x14ac:dyDescent="0.15">
      <c r="A94" t="s">
        <v>59</v>
      </c>
      <c r="B94" s="2">
        <v>1450000</v>
      </c>
      <c r="C94" s="2">
        <v>2050000</v>
      </c>
      <c r="D94" t="s">
        <v>67</v>
      </c>
      <c r="E94" t="s">
        <v>68</v>
      </c>
      <c r="F94">
        <f t="shared" si="6"/>
        <v>7.175E-3</v>
      </c>
    </row>
    <row r="95" spans="1:6" x14ac:dyDescent="0.15">
      <c r="A95" t="s">
        <v>69</v>
      </c>
      <c r="B95" s="2">
        <v>64000</v>
      </c>
      <c r="C95" s="2">
        <v>181000</v>
      </c>
      <c r="D95" t="s">
        <v>67</v>
      </c>
      <c r="E95" t="s">
        <v>68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Universitätsspital Zürich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Movasati Ali</dc:creator>
  <cp:lastModifiedBy>Ali Movasati</cp:lastModifiedBy>
  <dcterms:created xsi:type="dcterms:W3CDTF">2024-06-04T10:47:16Z</dcterms:created>
  <dcterms:modified xsi:type="dcterms:W3CDTF">2024-10-08T11:19:57Z</dcterms:modified>
</cp:coreProperties>
</file>